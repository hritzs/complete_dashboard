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_Inputs" sheetId="1" state="visible" r:id="rId1"/>
    <sheet name="Risk_Coefs" sheetId="2" state="visible" r:id="rId2"/>
    <sheet name="Risk_Rank_Keys" sheetId="3" state="visible" r:id="rId3"/>
    <sheet name="Risk_Excel_Formulas" sheetId="4" state="visible" r:id="rId4"/>
    <sheet name="Risk_Trade_Replay" sheetId="5" state="visible" r:id="rId5"/>
    <sheet name="Formula_Guide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Intercept</t>
        </is>
      </c>
      <c r="C1" t="inlineStr">
        <is>
          <t>IV</t>
        </is>
      </c>
      <c r="D1" t="inlineStr">
        <is>
          <t>RV10</t>
        </is>
      </c>
      <c r="E1" t="inlineStr">
        <is>
          <t>RV20</t>
        </is>
      </c>
      <c r="F1" t="inlineStr">
        <is>
          <t>VRP10</t>
        </is>
      </c>
      <c r="G1" t="inlineStr">
        <is>
          <t>VRP20</t>
        </is>
      </c>
      <c r="H1" t="inlineStr">
        <is>
          <t>SPREAD20</t>
        </is>
      </c>
      <c r="I1" t="inlineStr">
        <is>
          <t>RV_TREND</t>
        </is>
      </c>
      <c r="J1" t="inlineStr">
        <is>
          <t>IV_Ratio</t>
        </is>
      </c>
      <c r="K1" t="inlineStr">
        <is>
          <t>Str_Ratio</t>
        </is>
      </c>
      <c r="L1" t="inlineStr">
        <is>
          <t>Norm_OG</t>
        </is>
      </c>
      <c r="M1" t="inlineStr">
        <is>
          <t>Adj_IV_Chg</t>
        </is>
      </c>
      <c r="N1" t="inlineStr">
        <is>
          <t>Fixed_IDV</t>
        </is>
      </c>
      <c r="O1" t="inlineStr">
        <is>
          <t>u_range_bps</t>
        </is>
      </c>
      <c r="P1" t="inlineStr">
        <is>
          <t>str_range_pct</t>
        </is>
      </c>
      <c r="Q1" t="inlineStr">
        <is>
          <t>str_chg_abs</t>
        </is>
      </c>
      <c r="R1" t="inlineStr">
        <is>
          <t>spread_pct</t>
        </is>
      </c>
      <c r="S1" t="inlineStr">
        <is>
          <t>CW Stage=09:17</t>
        </is>
      </c>
      <c r="T1" t="inlineStr">
        <is>
          <t>CW Stage=09:18</t>
        </is>
      </c>
      <c r="U1" t="inlineStr">
        <is>
          <t>CW Stage=09:19</t>
        </is>
      </c>
      <c r="V1" t="inlineStr">
        <is>
          <t>CW Stage=09:20+</t>
        </is>
      </c>
      <c r="W1" t="inlineStr">
        <is>
          <t>CW DTE=2.0</t>
        </is>
      </c>
      <c r="X1" t="inlineStr">
        <is>
          <t>CW DTE=3.0</t>
        </is>
      </c>
      <c r="Y1" t="inlineStr">
        <is>
          <t>CW DTE=4.0</t>
        </is>
      </c>
      <c r="Z1" t="inlineStr">
        <is>
          <t>CW DTE=5.0</t>
        </is>
      </c>
      <c r="AA1" t="inlineStr">
        <is>
          <t>CW Weekday=1</t>
        </is>
      </c>
      <c r="AB1" t="inlineStr">
        <is>
          <t>CW Weekday=2</t>
        </is>
      </c>
      <c r="AC1" t="inlineStr">
        <is>
          <t>CW Weekday=3</t>
        </is>
      </c>
      <c r="AD1" t="inlineStr">
        <is>
          <t>CW Weekday=4</t>
        </is>
      </c>
      <c r="AE1" t="inlineStr">
        <is>
          <t>CW Weekday=5</t>
        </is>
      </c>
      <c r="AF1" t="inlineStr">
        <is>
          <t>CW Weekday=6</t>
        </is>
      </c>
      <c r="AG1" t="inlineStr">
        <is>
          <t>CW Event</t>
        </is>
      </c>
      <c r="AH1" t="inlineStr">
        <is>
          <t>NW</t>
        </is>
      </c>
      <c r="AI1" t="inlineStr">
        <is>
          <t>Prev_flat_DD</t>
        </is>
      </c>
      <c r="AJ1" t="inlineStr">
        <is>
          <t>Prev_flat_loss_streak</t>
        </is>
      </c>
    </row>
    <row r="2">
      <c r="A2" t="inlineStr">
        <is>
          <t>2021-01-01</t>
        </is>
      </c>
      <c r="B2" t="n">
        <v>1</v>
      </c>
      <c r="C2" t="n">
        <v>0.1871851372255643</v>
      </c>
      <c r="D2" t="n">
        <v>0.9476084876498565</v>
      </c>
      <c r="E2" t="n">
        <v>0.03914946802567789</v>
      </c>
      <c r="F2" t="n">
        <v>-1.005040217371699</v>
      </c>
      <c r="G2" t="n">
        <v>-0.09287730216945041</v>
      </c>
      <c r="H2" t="n">
        <v>0.1498247143215844</v>
      </c>
      <c r="I2" t="n">
        <v>-1.071740774718928</v>
      </c>
      <c r="J2" t="n">
        <v>1.671967805193312</v>
      </c>
      <c r="K2" t="n">
        <v>-0.2536268504978803</v>
      </c>
      <c r="L2" t="n">
        <v>0.4204840081514246</v>
      </c>
      <c r="M2" t="n">
        <v>-0.7779054151528173</v>
      </c>
      <c r="N2" t="n">
        <v>-0.5932807019978917</v>
      </c>
      <c r="O2" t="n">
        <v>-0.5801372495466396</v>
      </c>
      <c r="P2" t="n">
        <v>-0.645463992165948</v>
      </c>
      <c r="Q2" t="n">
        <v>-0.4382359221963046</v>
      </c>
      <c r="R2" t="n">
        <v>0.4359249893376115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inlineStr">
        <is>
          <t>2021-01-04</t>
        </is>
      </c>
      <c r="B3" t="n">
        <v>1</v>
      </c>
      <c r="C3" t="n">
        <v>0.4213145020836078</v>
      </c>
      <c r="D3" t="n">
        <v>0.9452119687943334</v>
      </c>
      <c r="E3" t="n">
        <v>0.03723894201500914</v>
      </c>
      <c r="F3" t="n">
        <v>-0.8698863971923637</v>
      </c>
      <c r="G3" t="n">
        <v>0.1309283202905165</v>
      </c>
      <c r="H3" t="n">
        <v>0.3928217366678988</v>
      </c>
      <c r="I3" t="n">
        <v>-1.432501477589578</v>
      </c>
      <c r="J3" t="n">
        <v>3</v>
      </c>
      <c r="K3" t="n">
        <v>-0.7371379108111999</v>
      </c>
      <c r="L3" t="n">
        <v>1.063673796253976</v>
      </c>
      <c r="M3" t="n">
        <v>-1.411813476646693</v>
      </c>
      <c r="N3" t="n">
        <v>-1.018627359299458</v>
      </c>
      <c r="O3" t="n">
        <v>2.139496675060473</v>
      </c>
      <c r="P3" t="n">
        <v>-0.2621481301447663</v>
      </c>
      <c r="Q3" t="n">
        <v>0.0117435637281616</v>
      </c>
      <c r="R3" t="n">
        <v>0.5352733868474919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inlineStr">
        <is>
          <t>2021-01-05</t>
        </is>
      </c>
      <c r="B4" t="n">
        <v>1</v>
      </c>
      <c r="C4" t="n">
        <v>-0.0175806828362736</v>
      </c>
      <c r="D4" t="n">
        <v>0.9710010882585415</v>
      </c>
      <c r="E4" t="n">
        <v>0.02783610241577298</v>
      </c>
      <c r="F4" t="n">
        <v>-1.135463325704384</v>
      </c>
      <c r="G4" t="n">
        <v>-0.2733613506867923</v>
      </c>
      <c r="H4" t="n">
        <v>-0.04850793016840942</v>
      </c>
      <c r="I4" t="n">
        <v>-1.684403011173882</v>
      </c>
      <c r="J4" t="n">
        <v>-0.5613378438156956</v>
      </c>
      <c r="K4" t="n">
        <v>-0.9004663762479242</v>
      </c>
      <c r="L4" t="n">
        <v>-0.6083215931811664</v>
      </c>
      <c r="M4" t="n">
        <v>-1.005994026833878</v>
      </c>
      <c r="N4" t="n">
        <v>0.2841252046096865</v>
      </c>
      <c r="O4" t="n">
        <v>-0.4322608119330484</v>
      </c>
      <c r="P4" t="n">
        <v>-0.2481197072769095</v>
      </c>
      <c r="Q4" t="n">
        <v>0.04897476855918965</v>
      </c>
      <c r="R4" t="n">
        <v>0.9726892159402754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inlineStr">
        <is>
          <t>2021-01-06</t>
        </is>
      </c>
      <c r="B5" t="n">
        <v>1</v>
      </c>
      <c r="C5" t="n">
        <v>0.03952197051946014</v>
      </c>
      <c r="D5" t="n">
        <v>-1.130714302032755</v>
      </c>
      <c r="E5" t="n">
        <v>0.01957114893238284</v>
      </c>
      <c r="F5" t="n">
        <v>2.734734433398259</v>
      </c>
      <c r="G5" t="n">
        <v>-0.209361834543868</v>
      </c>
      <c r="H5" t="n">
        <v>0.01927990142421002</v>
      </c>
      <c r="I5" t="n">
        <v>-1.672065158244199</v>
      </c>
      <c r="J5" t="n">
        <v>0.5265382735472187</v>
      </c>
      <c r="K5" t="n">
        <v>-0.2404823342912521</v>
      </c>
      <c r="L5" t="n">
        <v>0.3095793503823966</v>
      </c>
      <c r="M5" t="n">
        <v>1.161993996602792</v>
      </c>
      <c r="N5" t="n">
        <v>-0.2599897463731861</v>
      </c>
      <c r="O5" t="n">
        <v>-0.3622304494348942</v>
      </c>
      <c r="P5" t="n">
        <v>-0.6111594397503524</v>
      </c>
      <c r="Q5" t="n">
        <v>-0.3302052737495262</v>
      </c>
      <c r="R5" t="n">
        <v>0.4481276583392098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0.1424569293559887</v>
      </c>
      <c r="AJ5" t="n">
        <v>0.3333333333333333</v>
      </c>
    </row>
    <row r="6">
      <c r="A6" t="inlineStr">
        <is>
          <t>2021-01-07</t>
        </is>
      </c>
      <c r="B6" t="n">
        <v>1</v>
      </c>
      <c r="C6" t="n">
        <v>-0.6612448077904008</v>
      </c>
      <c r="D6" t="n">
        <v>-1.046475583898802</v>
      </c>
      <c r="E6" t="n">
        <v>0.03694914092302926</v>
      </c>
      <c r="F6" t="n">
        <v>1.158805425242548</v>
      </c>
      <c r="G6" t="n">
        <v>-0.8928093543283329</v>
      </c>
      <c r="H6" t="n">
        <v>-0.7207696208190495</v>
      </c>
      <c r="I6" t="n">
        <v>-1.437501543635979</v>
      </c>
      <c r="J6" t="n">
        <v>-1.615231929738249</v>
      </c>
      <c r="K6" t="n">
        <v>3</v>
      </c>
      <c r="L6" t="n">
        <v>0.9825385805710033</v>
      </c>
      <c r="M6" t="n">
        <v>1.287228159595998</v>
      </c>
      <c r="N6" t="n">
        <v>0.3003582412893112</v>
      </c>
      <c r="O6" t="n">
        <v>-0.6621997944252989</v>
      </c>
      <c r="P6" t="n">
        <v>-0.4005129446983809</v>
      </c>
      <c r="Q6" t="n">
        <v>-0.4732035397826992</v>
      </c>
      <c r="R6" t="n">
        <v>0.3996189886034139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0.7465468850211349</v>
      </c>
      <c r="AJ6" t="n">
        <v>0.6666666666666666</v>
      </c>
    </row>
    <row r="7">
      <c r="A7" t="inlineStr">
        <is>
          <t>2021-01-11</t>
        </is>
      </c>
      <c r="B7" t="n">
        <v>1</v>
      </c>
      <c r="C7" t="n">
        <v>0.1523260825875986</v>
      </c>
      <c r="D7" t="n">
        <v>-1.037956126796939</v>
      </c>
      <c r="E7" t="n">
        <v>0.04248206812221911</v>
      </c>
      <c r="F7" t="n">
        <v>2.435031567130338</v>
      </c>
      <c r="G7" t="n">
        <v>-0.1298586129992722</v>
      </c>
      <c r="H7" t="n">
        <v>0.1103144837627517</v>
      </c>
      <c r="I7" t="n">
        <v>-0.9005415609216363</v>
      </c>
      <c r="J7" t="n">
        <v>0.7172751801858827</v>
      </c>
      <c r="K7" t="n">
        <v>-0.1979513342706311</v>
      </c>
      <c r="L7" t="n">
        <v>1.074578294646873</v>
      </c>
      <c r="M7" t="n">
        <v>-0.844809906073684</v>
      </c>
      <c r="N7" t="n">
        <v>-0.2486882651405359</v>
      </c>
      <c r="O7" t="n">
        <v>-0.2800497090737543</v>
      </c>
      <c r="P7" t="n">
        <v>-0.3941729261537656</v>
      </c>
      <c r="Q7" t="n">
        <v>-0.1731002489967204</v>
      </c>
      <c r="R7" t="n">
        <v>-0.001033704121648969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0.2074876190089369</v>
      </c>
      <c r="AJ7" t="n">
        <v>0</v>
      </c>
    </row>
    <row r="8">
      <c r="A8" t="inlineStr">
        <is>
          <t>2021-01-12</t>
        </is>
      </c>
      <c r="B8" t="n">
        <v>1</v>
      </c>
      <c r="C8" t="n">
        <v>0.2983486397979003</v>
      </c>
      <c r="D8" t="n">
        <v>-1.064777462537417</v>
      </c>
      <c r="E8" t="n">
        <v>0.05943708036125919</v>
      </c>
      <c r="F8" t="n">
        <v>2.810789748080416</v>
      </c>
      <c r="G8" t="n">
        <v>-0.01325817599018714</v>
      </c>
      <c r="H8" t="n">
        <v>0.2420378201165426</v>
      </c>
      <c r="I8" t="n">
        <v>-0.8463608062694036</v>
      </c>
      <c r="J8" t="n">
        <v>0.2455069671956489</v>
      </c>
      <c r="K8" t="n">
        <v>-0.3550030104567991</v>
      </c>
      <c r="L8" t="n">
        <v>-0.08968868533628256</v>
      </c>
      <c r="M8" t="n">
        <v>0.2964781840388167</v>
      </c>
      <c r="N8" t="n">
        <v>0.1129591343042741</v>
      </c>
      <c r="O8" t="n">
        <v>-0.6350709519922147</v>
      </c>
      <c r="P8" t="n">
        <v>-0.5940598578536248</v>
      </c>
      <c r="Q8" t="n">
        <v>-0.3432021040951577</v>
      </c>
      <c r="R8" t="n">
        <v>0.4241680218321768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0.7131117728331965</v>
      </c>
      <c r="AJ8" t="n">
        <v>0.3333333333333333</v>
      </c>
    </row>
    <row r="9">
      <c r="A9" t="inlineStr">
        <is>
          <t>2021-01-13</t>
        </is>
      </c>
      <c r="B9" t="n">
        <v>1</v>
      </c>
      <c r="C9" t="n">
        <v>-0.1001526701169765</v>
      </c>
      <c r="D9" t="n">
        <v>-1.031152061919532</v>
      </c>
      <c r="E9" t="n">
        <v>0.07238711054950878</v>
      </c>
      <c r="F9" t="n">
        <v>1.99838055377965</v>
      </c>
      <c r="G9" t="n">
        <v>-0.4012204123856868</v>
      </c>
      <c r="H9" t="n">
        <v>-0.1821545422019462</v>
      </c>
      <c r="I9" t="n">
        <v>-0.819085950894481</v>
      </c>
      <c r="J9" t="n">
        <v>0.971491949704236</v>
      </c>
      <c r="K9" t="n">
        <v>0.6059001143785097</v>
      </c>
      <c r="L9" t="n">
        <v>0.5400704989018295</v>
      </c>
      <c r="M9" t="n">
        <v>-0.08613775844553208</v>
      </c>
      <c r="N9" t="n">
        <v>-0.5645132952238725</v>
      </c>
      <c r="O9" t="n">
        <v>-0.8059555782449452</v>
      </c>
      <c r="P9" t="n">
        <v>-0.4234766166534365</v>
      </c>
      <c r="Q9" t="n">
        <v>-0.555331192371189</v>
      </c>
      <c r="R9" t="n">
        <v>0.4983662203572782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0.4671726948933226</v>
      </c>
      <c r="AJ9" t="n">
        <v>0</v>
      </c>
    </row>
    <row r="10">
      <c r="A10" t="inlineStr">
        <is>
          <t>2021-01-14</t>
        </is>
      </c>
      <c r="B10" t="n">
        <v>1</v>
      </c>
      <c r="C10" t="n">
        <v>-0.5007439453350772</v>
      </c>
      <c r="D10" t="n">
        <v>-0.9996878766703707</v>
      </c>
      <c r="E10" t="n">
        <v>0.07489700578895525</v>
      </c>
      <c r="F10" t="n">
        <v>1.238942117339808</v>
      </c>
      <c r="G10" t="n">
        <v>-0.7774716376273141</v>
      </c>
      <c r="H10" t="n">
        <v>-0.5970888415052015</v>
      </c>
      <c r="I10" t="n">
        <v>-1.030078651143817</v>
      </c>
      <c r="J10" t="n">
        <v>-1.001875281676575</v>
      </c>
      <c r="K10" t="n">
        <v>0.5427759102744036</v>
      </c>
      <c r="L10" t="n">
        <v>-0.1749400037782652</v>
      </c>
      <c r="M10" t="n">
        <v>-1.454865198825062</v>
      </c>
      <c r="N10" t="n">
        <v>0.04021869146139727</v>
      </c>
      <c r="O10" t="n">
        <v>-0.6102069434281181</v>
      </c>
      <c r="P10" t="n">
        <v>-0.3181300688201306</v>
      </c>
      <c r="Q10" t="n">
        <v>-0.2617814672115454</v>
      </c>
      <c r="R10" t="n">
        <v>1.661945615235058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0.1832102671603786</v>
      </c>
      <c r="AJ10" t="n">
        <v>0</v>
      </c>
    </row>
    <row r="11">
      <c r="A11" t="inlineStr">
        <is>
          <t>2021-01-15</t>
        </is>
      </c>
      <c r="B11" t="n">
        <v>1</v>
      </c>
      <c r="C11" t="n">
        <v>0.1896425261301949</v>
      </c>
      <c r="D11" t="n">
        <v>-1.058565847093449</v>
      </c>
      <c r="E11" t="n">
        <v>0.06301512913335447</v>
      </c>
      <c r="F11" t="n">
        <v>2.599365186475263</v>
      </c>
      <c r="G11" t="n">
        <v>-0.1195235557626178</v>
      </c>
      <c r="H11" t="n">
        <v>0.126273852702176</v>
      </c>
      <c r="I11" t="n">
        <v>-1.134212577193897</v>
      </c>
      <c r="J11" t="n">
        <v>1.280786633845491</v>
      </c>
      <c r="K11" t="n">
        <v>-0.4291121431217422</v>
      </c>
      <c r="L11" t="n">
        <v>-0.2666813841055903</v>
      </c>
      <c r="M11" t="n">
        <v>-0.5199406046132441</v>
      </c>
      <c r="N11" t="n">
        <v>-0.4504710755125836</v>
      </c>
      <c r="O11" t="n">
        <v>0.09625075742906118</v>
      </c>
      <c r="P11" t="n">
        <v>-0.5867884227936583</v>
      </c>
      <c r="Q11" t="n">
        <v>-0.5091503752805928</v>
      </c>
      <c r="R11" t="n">
        <v>0.6340910557872337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inlineStr">
        <is>
          <t>2021-01-18</t>
        </is>
      </c>
      <c r="B12" t="n">
        <v>1</v>
      </c>
      <c r="C12" t="n">
        <v>1.250337720387642</v>
      </c>
      <c r="D12" t="n">
        <v>-0.4971940422976376</v>
      </c>
      <c r="E12" t="n">
        <v>0.2230704082468054</v>
      </c>
      <c r="F12" t="n">
        <v>1.839393554488154</v>
      </c>
      <c r="G12" t="n">
        <v>0.6354222338078034</v>
      </c>
      <c r="H12" t="n">
        <v>1.042782819584449</v>
      </c>
      <c r="I12" t="n">
        <v>-0.3249733799243367</v>
      </c>
      <c r="J12" t="n">
        <v>0.1180185360669992</v>
      </c>
      <c r="K12" t="n">
        <v>-0.3782859687172648</v>
      </c>
      <c r="L12" t="n">
        <v>-0.2560889099784455</v>
      </c>
      <c r="M12" t="n">
        <v>1.767867787733982</v>
      </c>
      <c r="N12" t="n">
        <v>1.078722076003482</v>
      </c>
      <c r="O12" t="n">
        <v>-0.7199853393757728</v>
      </c>
      <c r="P12" t="n">
        <v>-0.6944671599436482</v>
      </c>
      <c r="Q12" t="n">
        <v>-0.5809523030205973</v>
      </c>
      <c r="R12" t="n">
        <v>-0.09130508589876539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0.6017852529097035</v>
      </c>
      <c r="AJ12" t="n">
        <v>0.3333333333333333</v>
      </c>
    </row>
    <row r="13">
      <c r="A13" t="inlineStr">
        <is>
          <t>2021-01-19</t>
        </is>
      </c>
      <c r="B13" t="n">
        <v>1</v>
      </c>
      <c r="C13" t="n">
        <v>0.6793238960787769</v>
      </c>
      <c r="D13" t="n">
        <v>-0.2396124148705928</v>
      </c>
      <c r="E13" t="n">
        <v>0.3473215356988967</v>
      </c>
      <c r="F13" t="n">
        <v>0.65946653203408</v>
      </c>
      <c r="G13" t="n">
        <v>-0.01423926092603027</v>
      </c>
      <c r="H13" t="n">
        <v>0.3194570739061143</v>
      </c>
      <c r="I13" t="n">
        <v>-0.331961958338605</v>
      </c>
      <c r="J13" t="n">
        <v>-0.6803317216620361</v>
      </c>
      <c r="K13" t="n">
        <v>0.4101082031841563</v>
      </c>
      <c r="L13" t="n">
        <v>1.050416483512248</v>
      </c>
      <c r="M13" t="n">
        <v>-0.3055083516355244</v>
      </c>
      <c r="N13" t="n">
        <v>1.125366371272784</v>
      </c>
      <c r="O13" t="n">
        <v>-0.2607524750926379</v>
      </c>
      <c r="P13" t="n">
        <v>0.01795762471607611</v>
      </c>
      <c r="Q13" t="n">
        <v>-0.1744804634504903</v>
      </c>
      <c r="R13" t="n">
        <v>2.47128539257632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0.4487371793921392</v>
      </c>
      <c r="AJ13" t="n">
        <v>0</v>
      </c>
    </row>
    <row r="14">
      <c r="A14" t="inlineStr">
        <is>
          <t>2021-01-20</t>
        </is>
      </c>
      <c r="B14" t="n">
        <v>1</v>
      </c>
      <c r="C14" t="n">
        <v>0.08642192163479026</v>
      </c>
      <c r="D14" t="n">
        <v>0.1893787952537883</v>
      </c>
      <c r="E14" t="n">
        <v>-0.4777661053461278</v>
      </c>
      <c r="F14" t="n">
        <v>-0.4528130976435613</v>
      </c>
      <c r="G14" t="n">
        <v>0.5778631855382463</v>
      </c>
      <c r="H14" t="n">
        <v>0.6110076488027664</v>
      </c>
      <c r="I14" t="n">
        <v>1.943554073708367</v>
      </c>
      <c r="J14" t="n">
        <v>-0.3277405159540098</v>
      </c>
      <c r="K14" t="n">
        <v>-0.07093973407077554</v>
      </c>
      <c r="L14" t="n">
        <v>-0.2259205539509107</v>
      </c>
      <c r="M14" t="n">
        <v>-2.01610849724923</v>
      </c>
      <c r="N14" t="n">
        <v>0.2420015018334445</v>
      </c>
      <c r="O14" t="n">
        <v>-0.443094788100433</v>
      </c>
      <c r="P14" t="n">
        <v>0.3990719246568372</v>
      </c>
      <c r="Q14" t="n">
        <v>0.2937920752528687</v>
      </c>
      <c r="R14" t="n">
        <v>1.724068062417328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inlineStr">
        <is>
          <t>2021-01-21</t>
        </is>
      </c>
      <c r="B15" t="n">
        <v>1</v>
      </c>
      <c r="C15" t="n">
        <v>0.1283073681610999</v>
      </c>
      <c r="D15" t="n">
        <v>0.1714069529224236</v>
      </c>
      <c r="E15" t="n">
        <v>-0.5174018078737886</v>
      </c>
      <c r="F15" t="n">
        <v>-0.4015353691057676</v>
      </c>
      <c r="G15" t="n">
        <v>0.7029380938393809</v>
      </c>
      <c r="H15" t="n">
        <v>0.6974182765410518</v>
      </c>
      <c r="I15" t="n">
        <v>2.156823780004065</v>
      </c>
      <c r="J15" t="n">
        <v>1.822736115011977</v>
      </c>
      <c r="K15" t="n">
        <v>1.309113638907251</v>
      </c>
      <c r="L15" t="n">
        <v>1.011673961552353</v>
      </c>
      <c r="M15" t="n">
        <v>-1.974562355442377</v>
      </c>
      <c r="N15" t="n">
        <v>-0.686363811059539</v>
      </c>
      <c r="O15" t="n">
        <v>-0.3191853322512164</v>
      </c>
      <c r="P15" t="n">
        <v>-0.3351766071331188</v>
      </c>
      <c r="Q15" t="n">
        <v>-0.3009448500247113</v>
      </c>
      <c r="R15" t="n">
        <v>-0.2488136175062554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2021-01-22</t>
        </is>
      </c>
      <c r="B16" t="n">
        <v>1</v>
      </c>
      <c r="C16" t="n">
        <v>0.7118225238004611</v>
      </c>
      <c r="D16" t="n">
        <v>0.2135819259338148</v>
      </c>
      <c r="E16" t="n">
        <v>-0.5064926872537834</v>
      </c>
      <c r="F16" t="n">
        <v>-0.009883205433959453</v>
      </c>
      <c r="G16" t="n">
        <v>1.379702567342967</v>
      </c>
      <c r="H16" t="n">
        <v>1.285909814382564</v>
      </c>
      <c r="I16" t="n">
        <v>2.166348968215866</v>
      </c>
      <c r="J16" t="n">
        <v>0.8365211897599295</v>
      </c>
      <c r="K16" t="n">
        <v>-0.6170143937865891</v>
      </c>
      <c r="L16" t="n">
        <v>-0.6333076566340521</v>
      </c>
      <c r="M16" t="n">
        <v>2.142412853382123</v>
      </c>
      <c r="N16" t="n">
        <v>0.1667952812670807</v>
      </c>
      <c r="O16" t="n">
        <v>-0.5239519197224436</v>
      </c>
      <c r="P16" t="n">
        <v>-0.6135533509946249</v>
      </c>
      <c r="Q16" t="n">
        <v>-0.3796940109486308</v>
      </c>
      <c r="R16" t="n">
        <v>0.2123814548567642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2021-01-25</t>
        </is>
      </c>
      <c r="B17" t="n">
        <v>1</v>
      </c>
      <c r="C17" t="n">
        <v>0.771997617681517</v>
      </c>
      <c r="D17" t="n">
        <v>0.4441916510516042</v>
      </c>
      <c r="E17" t="n">
        <v>-0.2631253308385275</v>
      </c>
      <c r="F17" t="n">
        <v>-0.2302357877245959</v>
      </c>
      <c r="G17" t="n">
        <v>0.9511828607052512</v>
      </c>
      <c r="H17" t="n">
        <v>1.081885633491315</v>
      </c>
      <c r="I17" t="n">
        <v>1.9607153211671</v>
      </c>
      <c r="J17" t="n">
        <v>-1.140114954613152</v>
      </c>
      <c r="K17" t="n">
        <v>0.5259071811651735</v>
      </c>
      <c r="L17" t="n">
        <v>1.080110479097245</v>
      </c>
      <c r="M17" t="n">
        <v>0.5631650673868883</v>
      </c>
      <c r="N17" t="n">
        <v>1.666604581578255</v>
      </c>
      <c r="O17" t="n">
        <v>0.2491831164470772</v>
      </c>
      <c r="P17" t="n">
        <v>-0.5024985869835757</v>
      </c>
      <c r="Q17" t="n">
        <v>-0.2750898080041492</v>
      </c>
      <c r="R17" t="n">
        <v>0.4920364665692573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0.5455326709202813</v>
      </c>
      <c r="AJ17" t="n">
        <v>0.3333333333333333</v>
      </c>
    </row>
    <row r="18">
      <c r="A18" t="inlineStr">
        <is>
          <t>2021-01-27</t>
        </is>
      </c>
      <c r="B18" t="n">
        <v>1</v>
      </c>
      <c r="C18" t="n">
        <v>1.119982489223254</v>
      </c>
      <c r="D18" t="n">
        <v>0.4177643086398213</v>
      </c>
      <c r="E18" t="n">
        <v>-0.2211440815553151</v>
      </c>
      <c r="F18" t="n">
        <v>0.03752610097313464</v>
      </c>
      <c r="G18" t="n">
        <v>1.240845892327485</v>
      </c>
      <c r="H18" t="n">
        <v>1.394072063609987</v>
      </c>
      <c r="I18" t="n">
        <v>1.761017281975223</v>
      </c>
      <c r="J18" t="n">
        <v>-1.105947578349915</v>
      </c>
      <c r="K18" t="n">
        <v>-0.09545160584028149</v>
      </c>
      <c r="L18" t="n">
        <v>-0.7124523746290095</v>
      </c>
      <c r="M18" t="n">
        <v>0.2157682966063636</v>
      </c>
      <c r="N18" t="n">
        <v>2.046128869518349</v>
      </c>
      <c r="O18" t="n">
        <v>1.976035104931512</v>
      </c>
      <c r="P18" t="n">
        <v>0.7979137068123605</v>
      </c>
      <c r="Q18" t="n">
        <v>-0.5328224997455231</v>
      </c>
      <c r="R18" t="n">
        <v>3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1.061318370167604</v>
      </c>
      <c r="AJ18" t="n">
        <v>0.6666666666666666</v>
      </c>
    </row>
    <row r="19">
      <c r="A19" t="inlineStr">
        <is>
          <t>2021-01-28</t>
        </is>
      </c>
      <c r="B19" t="n">
        <v>1</v>
      </c>
      <c r="C19" t="n">
        <v>0.39462119692447</v>
      </c>
      <c r="D19" t="n">
        <v>0.6153711275316562</v>
      </c>
      <c r="E19" t="n">
        <v>0.1011566149706907</v>
      </c>
      <c r="F19" t="n">
        <v>-0.6397391751330328</v>
      </c>
      <c r="G19" t="n">
        <v>0.02449610489110031</v>
      </c>
      <c r="H19" t="n">
        <v>0.2955088467941814</v>
      </c>
      <c r="I19" t="n">
        <v>0.3249192836409259</v>
      </c>
      <c r="J19" t="n">
        <v>-0.8493023851475596</v>
      </c>
      <c r="K19" t="n">
        <v>1.02264121201788</v>
      </c>
      <c r="L19" t="n">
        <v>-1.211803487210453</v>
      </c>
      <c r="M19" t="n">
        <v>-0.5588497954770085</v>
      </c>
      <c r="N19" t="n">
        <v>0.9521454861977992</v>
      </c>
      <c r="O19" t="n">
        <v>0.9022872056302796</v>
      </c>
      <c r="P19" t="n">
        <v>-0.06060247764869049</v>
      </c>
      <c r="Q19" t="n">
        <v>-0.237753360114058</v>
      </c>
      <c r="R19" t="n">
        <v>1.58164454218477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0.4178496073004438</v>
      </c>
      <c r="AJ19" t="n">
        <v>0</v>
      </c>
    </row>
    <row r="20">
      <c r="A20" t="inlineStr">
        <is>
          <t>2021-01-29</t>
        </is>
      </c>
      <c r="B20" t="n">
        <v>1</v>
      </c>
      <c r="C20" t="n">
        <v>2.613339914050297</v>
      </c>
      <c r="D20" t="n">
        <v>0.6513336597062435</v>
      </c>
      <c r="E20" t="n">
        <v>0.2100912290245288</v>
      </c>
      <c r="F20" t="n">
        <v>0.7311062033998512</v>
      </c>
      <c r="G20" t="n">
        <v>1.862654791699663</v>
      </c>
      <c r="H20" t="n">
        <v>2.459437915340848</v>
      </c>
      <c r="I20" t="n">
        <v>-0.8376093645800238</v>
      </c>
      <c r="J20" t="n">
        <v>0.4270678385628615</v>
      </c>
      <c r="K20" t="n">
        <v>-0.4430322414355123</v>
      </c>
      <c r="L20" t="n">
        <v>1.043541878513143</v>
      </c>
      <c r="M20" t="n">
        <v>0.3062218690316484</v>
      </c>
      <c r="N20" t="n">
        <v>2.082910053893702</v>
      </c>
      <c r="O20" t="n">
        <v>3</v>
      </c>
      <c r="P20" t="n">
        <v>0.5119003012527873</v>
      </c>
      <c r="Q20" t="n">
        <v>0.2604317603285164</v>
      </c>
      <c r="R20" t="n">
        <v>0.4952431191952638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0.5896003398982725</v>
      </c>
      <c r="AJ20" t="n">
        <v>0.3333333333333333</v>
      </c>
    </row>
    <row r="21">
      <c r="A21" t="inlineStr">
        <is>
          <t>2021-02-01</t>
        </is>
      </c>
      <c r="B21" t="n">
        <v>1</v>
      </c>
      <c r="C21" t="n">
        <v>3</v>
      </c>
      <c r="D21" t="n">
        <v>0.6003804298573544</v>
      </c>
      <c r="E21" t="n">
        <v>0.2756590078899437</v>
      </c>
      <c r="F21" t="n">
        <v>1.621633999197907</v>
      </c>
      <c r="G21" t="n">
        <v>2.851976106440359</v>
      </c>
      <c r="H21" t="n">
        <v>3</v>
      </c>
      <c r="I21" t="n">
        <v>-1.424067507324239</v>
      </c>
      <c r="J21" t="n">
        <v>0.4091702487478409</v>
      </c>
      <c r="K21" t="n">
        <v>-0.4183859516052533</v>
      </c>
      <c r="L21" t="n">
        <v>0.4711374937969652</v>
      </c>
      <c r="M21" t="n">
        <v>0.8795985206234419</v>
      </c>
      <c r="N21" t="n">
        <v>3</v>
      </c>
      <c r="O21" t="n">
        <v>-0.1966199685895954</v>
      </c>
      <c r="P21" t="n">
        <v>-0.615728556330119</v>
      </c>
      <c r="Q21" t="n">
        <v>-0.3201531934273369</v>
      </c>
      <c r="R21" t="n">
        <v>1.576780225665689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1.162856715703934</v>
      </c>
      <c r="AJ21" t="n">
        <v>0.6666666666666666</v>
      </c>
    </row>
    <row r="22">
      <c r="A22" t="inlineStr">
        <is>
          <t>2021-02-03</t>
        </is>
      </c>
      <c r="B22" t="n">
        <v>1</v>
      </c>
      <c r="C22" t="n">
        <v>1.174089996357273</v>
      </c>
      <c r="D22" t="n">
        <v>2.90490201760081</v>
      </c>
      <c r="E22" t="n">
        <v>1.740277929995796</v>
      </c>
      <c r="F22" t="n">
        <v>-1.408268585504803</v>
      </c>
      <c r="G22" t="n">
        <v>-0.7879589954302735</v>
      </c>
      <c r="H22" t="n">
        <v>-0.6936147774388054</v>
      </c>
      <c r="I22" t="n">
        <v>2.38071119583983</v>
      </c>
      <c r="J22" t="n">
        <v>-1.773543647866086</v>
      </c>
      <c r="K22" t="n">
        <v>-0.2154958013878127</v>
      </c>
      <c r="L22" t="n">
        <v>0.6380208837393687</v>
      </c>
      <c r="M22" t="n">
        <v>-0.9139157426437575</v>
      </c>
      <c r="N22" t="n">
        <v>3</v>
      </c>
      <c r="O22" t="n">
        <v>1.828617435916408</v>
      </c>
      <c r="P22" t="n">
        <v>-0.3471292124342224</v>
      </c>
      <c r="Q22" t="n">
        <v>-0.0609706597946226</v>
      </c>
      <c r="R22" t="n">
        <v>3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0.7423448147954703</v>
      </c>
      <c r="AJ22" t="n">
        <v>0</v>
      </c>
    </row>
    <row r="23">
      <c r="A23" t="inlineStr">
        <is>
          <t>2021-02-04</t>
        </is>
      </c>
      <c r="B23" t="n">
        <v>1</v>
      </c>
      <c r="C23" t="n">
        <v>0.765759494893008</v>
      </c>
      <c r="D23" t="n">
        <v>2.756586038814988</v>
      </c>
      <c r="E23" t="n">
        <v>1.76293869245418</v>
      </c>
      <c r="F23" t="n">
        <v>-1.508848642261183</v>
      </c>
      <c r="G23" t="n">
        <v>-1.033169354219145</v>
      </c>
      <c r="H23" t="n">
        <v>-1.138532453118515</v>
      </c>
      <c r="I23" t="n">
        <v>1.721169118860427</v>
      </c>
      <c r="J23" t="n">
        <v>-0.4089677902769582</v>
      </c>
      <c r="K23" t="n">
        <v>0.01490129975634891</v>
      </c>
      <c r="L23" t="n">
        <v>-0.4025623745734584</v>
      </c>
      <c r="M23" t="n">
        <v>-0.5341041958901439</v>
      </c>
      <c r="N23" t="n">
        <v>0.9965294852205712</v>
      </c>
      <c r="O23" t="n">
        <v>1.03079188216943</v>
      </c>
      <c r="P23" t="n">
        <v>1.248743109097213</v>
      </c>
      <c r="Q23" t="n">
        <v>0.4697923632181619</v>
      </c>
      <c r="R23" t="n">
        <v>1.029877184516455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0.02083859750096243</v>
      </c>
      <c r="AJ23" t="n">
        <v>0</v>
      </c>
    </row>
    <row r="24">
      <c r="A24" t="inlineStr">
        <is>
          <t>2021-02-05</t>
        </is>
      </c>
      <c r="B24" t="n">
        <v>1</v>
      </c>
      <c r="C24" t="n">
        <v>0.8223004923165077</v>
      </c>
      <c r="D24" t="n">
        <v>2.753147594765189</v>
      </c>
      <c r="E24" t="n">
        <v>1.760262449407882</v>
      </c>
      <c r="F24" t="n">
        <v>-1.487523724676405</v>
      </c>
      <c r="G24" t="n">
        <v>-0.9996120245712002</v>
      </c>
      <c r="H24" t="n">
        <v>-1.077429654471465</v>
      </c>
      <c r="I24" t="n">
        <v>1.138279585795928</v>
      </c>
      <c r="J24" t="n">
        <v>0.7670073373109394</v>
      </c>
      <c r="K24" t="n">
        <v>-0.5941059338779839</v>
      </c>
      <c r="L24" t="n">
        <v>1.047126880135847</v>
      </c>
      <c r="M24" t="n">
        <v>-0.8789737664498402</v>
      </c>
      <c r="N24" t="n">
        <v>0.2954266858423367</v>
      </c>
      <c r="O24" t="n">
        <v>0.3861674086001754</v>
      </c>
      <c r="P24" t="n">
        <v>0.605814655835904</v>
      </c>
      <c r="Q24" t="n">
        <v>0.8867497848418995</v>
      </c>
      <c r="R24" t="n">
        <v>2.898717456887162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inlineStr">
        <is>
          <t>2021-02-08</t>
        </is>
      </c>
      <c r="B25" t="n">
        <v>1</v>
      </c>
      <c r="C25" t="n">
        <v>1.215530619187287</v>
      </c>
      <c r="D25" t="n">
        <v>2.738254445652405</v>
      </c>
      <c r="E25" t="n">
        <v>1.757798483528537</v>
      </c>
      <c r="F25" t="n">
        <v>-1.341323107718388</v>
      </c>
      <c r="G25" t="n">
        <v>-0.7744664700898806</v>
      </c>
      <c r="H25" t="n">
        <v>-0.67011985721162</v>
      </c>
      <c r="I25" t="n">
        <v>0.5470254535896323</v>
      </c>
      <c r="J25" t="n">
        <v>-0.5065371807477907</v>
      </c>
      <c r="K25" t="n">
        <v>-0.03865091874442526</v>
      </c>
      <c r="L25" t="n">
        <v>1.529831826831906</v>
      </c>
      <c r="M25" t="n">
        <v>0.4680199226576339</v>
      </c>
      <c r="N25" t="n">
        <v>1.548247250850863</v>
      </c>
      <c r="O25" t="n">
        <v>1.115241709090938</v>
      </c>
      <c r="P25" t="n">
        <v>0.153134682358317</v>
      </c>
      <c r="Q25" t="n">
        <v>0.06286204730107284</v>
      </c>
      <c r="R25" t="n">
        <v>2.05740995244698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0.4488413756909896</v>
      </c>
      <c r="AJ25" t="n">
        <v>0.3333333333333333</v>
      </c>
    </row>
    <row r="26">
      <c r="A26" t="inlineStr">
        <is>
          <t>2021-02-09</t>
        </is>
      </c>
      <c r="B26" t="n">
        <v>1</v>
      </c>
      <c r="C26" t="n">
        <v>0.798829665469739</v>
      </c>
      <c r="D26" t="n">
        <v>2.570188880986286</v>
      </c>
      <c r="E26" t="n">
        <v>1.773015511261119</v>
      </c>
      <c r="F26" t="n">
        <v>-1.44024125428052</v>
      </c>
      <c r="G26" t="n">
        <v>-1.019627520360914</v>
      </c>
      <c r="H26" t="n">
        <v>-1.115516169794295</v>
      </c>
      <c r="I26" t="n">
        <v>-1.039573491151464</v>
      </c>
      <c r="J26" t="n">
        <v>-0.3084159637702382</v>
      </c>
      <c r="K26" t="n">
        <v>-0.1043415160402177</v>
      </c>
      <c r="L26" t="n">
        <v>0.3938319183341193</v>
      </c>
      <c r="M26" t="n">
        <v>-1.005178931777785</v>
      </c>
      <c r="N26" t="n">
        <v>0.9531728935825848</v>
      </c>
      <c r="O26" t="n">
        <v>-0.06577424845413768</v>
      </c>
      <c r="P26" t="n">
        <v>0.7515837048613543</v>
      </c>
      <c r="Q26" t="n">
        <v>0.7594233523653837</v>
      </c>
      <c r="R26" t="n">
        <v>1.228590247554214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inlineStr">
        <is>
          <t>2021-02-10</t>
        </is>
      </c>
      <c r="B27" t="n">
        <v>1</v>
      </c>
      <c r="C27" t="n">
        <v>1.30510778671854</v>
      </c>
      <c r="D27" t="n">
        <v>2.457725533863957</v>
      </c>
      <c r="E27" t="n">
        <v>1.758479642231125</v>
      </c>
      <c r="F27" t="n">
        <v>-1.210061038740012</v>
      </c>
      <c r="G27" t="n">
        <v>-0.7238773495082426</v>
      </c>
      <c r="H27" t="n">
        <v>-0.5786930580750749</v>
      </c>
      <c r="I27" t="n">
        <v>-1.54208775176149</v>
      </c>
      <c r="J27" t="n">
        <v>-0.06765948474604597</v>
      </c>
      <c r="K27" t="n">
        <v>-0.1497664428833674</v>
      </c>
      <c r="L27" t="n">
        <v>0.1316982601018331</v>
      </c>
      <c r="M27" t="n">
        <v>-0.1079746375497218</v>
      </c>
      <c r="N27" t="n">
        <v>-0.180160192575284</v>
      </c>
      <c r="O27" t="n">
        <v>-0.3191853322512164</v>
      </c>
      <c r="P27" t="n">
        <v>-0.3351766071331188</v>
      </c>
      <c r="Q27" t="n">
        <v>-0.3009448500247113</v>
      </c>
      <c r="R27" t="n">
        <v>-0.2488136175062554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</row>
    <row r="28">
      <c r="A28" t="inlineStr">
        <is>
          <t>2021-02-11</t>
        </is>
      </c>
      <c r="B28" t="n">
        <v>1</v>
      </c>
      <c r="C28" t="n">
        <v>0.3294750014287597</v>
      </c>
      <c r="D28" t="n">
        <v>1.982249891246237</v>
      </c>
      <c r="E28" t="n">
        <v>1.744078720652471</v>
      </c>
      <c r="F28" t="n">
        <v>-1.427977739156556</v>
      </c>
      <c r="G28" t="n">
        <v>-1.272484959958061</v>
      </c>
      <c r="H28" t="n">
        <v>-1.566841463574465</v>
      </c>
      <c r="I28" t="n">
        <v>-1.516813640849735</v>
      </c>
      <c r="J28" t="n">
        <v>-1.434065509070032</v>
      </c>
      <c r="K28" t="n">
        <v>0.9095358420667904</v>
      </c>
      <c r="L28" t="n">
        <v>-0.007030459038939741</v>
      </c>
      <c r="M28" t="n">
        <v>-0.6655047375150076</v>
      </c>
      <c r="N28" t="n">
        <v>1.429067994215642</v>
      </c>
      <c r="O28" t="n">
        <v>-0.2940722961576505</v>
      </c>
      <c r="P28" t="n">
        <v>-0.06057197587398312</v>
      </c>
      <c r="Q28" t="n">
        <v>-0.03346720326135699</v>
      </c>
      <c r="R28" t="n">
        <v>0.9782064149791059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inlineStr">
        <is>
          <t>2021-02-12</t>
        </is>
      </c>
      <c r="B29" t="n">
        <v>1</v>
      </c>
      <c r="C29" t="n">
        <v>0.1925914690848066</v>
      </c>
      <c r="D29" t="n">
        <v>1.620894858694204</v>
      </c>
      <c r="E29" t="n">
        <v>1.746609674811236</v>
      </c>
      <c r="F29" t="n">
        <v>-1.347586638733052</v>
      </c>
      <c r="G29" t="n">
        <v>-1.351786085075087</v>
      </c>
      <c r="H29" t="n">
        <v>-1.710454588909238</v>
      </c>
      <c r="I29" t="n">
        <v>-1.523606058020752</v>
      </c>
      <c r="J29" t="n">
        <v>0.7750755584619691</v>
      </c>
      <c r="K29" t="n">
        <v>-0.3805438734601749</v>
      </c>
      <c r="L29" t="n">
        <v>0.3607397351656437</v>
      </c>
      <c r="M29" t="n">
        <v>-1.009178354692249</v>
      </c>
      <c r="N29" t="n">
        <v>-0.2402635245852876</v>
      </c>
      <c r="O29" t="n">
        <v>-0.6550501578908136</v>
      </c>
      <c r="P29" t="n">
        <v>-0.6469934499430458</v>
      </c>
      <c r="Q29" t="n">
        <v>-0.401398755540426</v>
      </c>
      <c r="R29" t="n">
        <v>1.983389860073753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inlineStr">
        <is>
          <t>2021-02-16</t>
        </is>
      </c>
      <c r="B30" t="n">
        <v>1</v>
      </c>
      <c r="C30" t="n">
        <v>-0.05324424616933587</v>
      </c>
      <c r="D30" t="n">
        <v>-0.1970516208983926</v>
      </c>
      <c r="E30" t="n">
        <v>1.695071759394802</v>
      </c>
      <c r="F30" t="n">
        <v>-0.08488959229530056</v>
      </c>
      <c r="G30" t="n">
        <v>-1.470473586544703</v>
      </c>
      <c r="H30" t="n">
        <v>-1.907090698410629</v>
      </c>
      <c r="I30" t="n">
        <v>-1.59432540277208</v>
      </c>
      <c r="J30" t="n">
        <v>-0.4337720212523391</v>
      </c>
      <c r="K30" t="n">
        <v>-0.2618658959089838</v>
      </c>
      <c r="L30" t="n">
        <v>0.9445529434822015</v>
      </c>
      <c r="M30" t="n">
        <v>-1.324380880461367</v>
      </c>
      <c r="N30" t="n">
        <v>0.1645349850205507</v>
      </c>
      <c r="O30" t="n">
        <v>-0.539013042656259</v>
      </c>
      <c r="P30" t="n">
        <v>-0.499827369978483</v>
      </c>
      <c r="Q30" t="n">
        <v>-0.5971135180809122</v>
      </c>
      <c r="R30" t="n">
        <v>0.3130025079596067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2021-02-17</t>
        </is>
      </c>
      <c r="B31" t="n">
        <v>1</v>
      </c>
      <c r="C31" t="n">
        <v>0.1107262411170844</v>
      </c>
      <c r="D31" t="n">
        <v>-0.8462791799563392</v>
      </c>
      <c r="E31" t="n">
        <v>1.600685537665715</v>
      </c>
      <c r="F31" t="n">
        <v>1.577261706147315</v>
      </c>
      <c r="G31" t="n">
        <v>-1.332633190814117</v>
      </c>
      <c r="H31" t="n">
        <v>-1.635230581342683</v>
      </c>
      <c r="I31" t="n">
        <v>-1.603801871939575</v>
      </c>
      <c r="J31" t="n">
        <v>-0.273263617985628</v>
      </c>
      <c r="K31" t="n">
        <v>-0.2992365815741475</v>
      </c>
      <c r="L31" t="n">
        <v>-0.7066528853293111</v>
      </c>
      <c r="M31" t="n">
        <v>0.5232922759428518</v>
      </c>
      <c r="N31" t="n">
        <v>0.2327548353703668</v>
      </c>
      <c r="O31" t="n">
        <v>-0.3760121521624705</v>
      </c>
      <c r="P31" t="n">
        <v>-0.4882329033907591</v>
      </c>
      <c r="Q31" t="n">
        <v>-0.2244265327346329</v>
      </c>
      <c r="R31" t="n">
        <v>1.746128559783472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inlineStr">
        <is>
          <t>2021-02-18</t>
        </is>
      </c>
      <c r="B32" t="n">
        <v>1</v>
      </c>
      <c r="C32" t="n">
        <v>-0.1292695583515604</v>
      </c>
      <c r="D32" t="n">
        <v>-0.6159266420146083</v>
      </c>
      <c r="E32" t="n">
        <v>1.530487360369825</v>
      </c>
      <c r="F32" t="n">
        <v>0.6134871922248248</v>
      </c>
      <c r="G32" t="n">
        <v>-1.443473819218494</v>
      </c>
      <c r="H32" t="n">
        <v>-1.805466497245486</v>
      </c>
      <c r="I32" t="n">
        <v>-1.227776248348594</v>
      </c>
      <c r="J32" t="n">
        <v>-1.017585561815501</v>
      </c>
      <c r="K32" t="n">
        <v>0.9874229179733263</v>
      </c>
      <c r="L32" t="n">
        <v>0.1763399257467724</v>
      </c>
      <c r="M32" t="n">
        <v>0.8404715615180215</v>
      </c>
      <c r="N32" t="n">
        <v>0.4857025335047768</v>
      </c>
      <c r="O32" t="n">
        <v>-0.03862736772409761</v>
      </c>
      <c r="P32" t="n">
        <v>-0.07982632520829917</v>
      </c>
      <c r="Q32" t="n">
        <v>-0.593861361695746</v>
      </c>
      <c r="R32" t="n">
        <v>1.440973583474015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0.5445295259328669</v>
      </c>
      <c r="AJ32" t="n">
        <v>0.3333333333333333</v>
      </c>
    </row>
    <row r="33">
      <c r="A33" t="inlineStr">
        <is>
          <t>2021-02-19</t>
        </is>
      </c>
      <c r="B33" t="n">
        <v>1</v>
      </c>
      <c r="C33" t="n">
        <v>0.421712691119902</v>
      </c>
      <c r="D33" t="n">
        <v>-0.5017479040532041</v>
      </c>
      <c r="E33" t="n">
        <v>1.551492252571763</v>
      </c>
      <c r="F33" t="n">
        <v>0.9592499494709421</v>
      </c>
      <c r="G33" t="n">
        <v>-1.123467024275276</v>
      </c>
      <c r="H33" t="n">
        <v>-1.2614821961883</v>
      </c>
      <c r="I33" t="n">
        <v>-1.166102675525638</v>
      </c>
      <c r="J33" t="n">
        <v>1.060122925207148</v>
      </c>
      <c r="K33" t="n">
        <v>-0.717503492344829</v>
      </c>
      <c r="L33" t="n">
        <v>-0.817262427719297</v>
      </c>
      <c r="M33" t="n">
        <v>-0.2577307269173879</v>
      </c>
      <c r="N33" t="n">
        <v>-0.176153303774617</v>
      </c>
      <c r="O33" t="n">
        <v>0.9049193856441685</v>
      </c>
      <c r="P33" t="n">
        <v>-0.2089575649981761</v>
      </c>
      <c r="Q33" t="n">
        <v>-0.4931755545399633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0.1220629592055002</v>
      </c>
      <c r="AJ33" t="n">
        <v>0</v>
      </c>
    </row>
    <row r="34">
      <c r="A34" t="inlineStr">
        <is>
          <t>2021-02-22</t>
        </is>
      </c>
      <c r="B34" t="n">
        <v>1</v>
      </c>
      <c r="C34" t="n">
        <v>0.8027709446327783</v>
      </c>
      <c r="D34" t="n">
        <v>-0.3178630714996125</v>
      </c>
      <c r="E34" t="n">
        <v>1.594560490994635</v>
      </c>
      <c r="F34" t="n">
        <v>0.933975400539934</v>
      </c>
      <c r="G34" t="n">
        <v>-0.9203533607445841</v>
      </c>
      <c r="H34" t="n">
        <v>-0.9164524627448669</v>
      </c>
      <c r="I34" t="n">
        <v>-1.019574426058011</v>
      </c>
      <c r="J34" t="n">
        <v>-0.4205950126450612</v>
      </c>
      <c r="K34" t="n">
        <v>-0.4770271172687292</v>
      </c>
      <c r="L34" t="n">
        <v>-0.05231614786404425</v>
      </c>
      <c r="M34" t="n">
        <v>0.1437407769774027</v>
      </c>
      <c r="N34" t="n">
        <v>1.043995706397702</v>
      </c>
      <c r="O34" t="n">
        <v>0.8495720194183294</v>
      </c>
      <c r="P34" t="n">
        <v>-0.1193724419811546</v>
      </c>
      <c r="Q34" t="n">
        <v>-0.2486878668202337</v>
      </c>
      <c r="R34" t="n">
        <v>2.818164376732358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0.6974271522611897</v>
      </c>
      <c r="AJ34" t="n">
        <v>0.3333333333333333</v>
      </c>
    </row>
    <row r="35">
      <c r="A35" t="inlineStr">
        <is>
          <t>2021-02-23</t>
        </is>
      </c>
      <c r="B35" t="n">
        <v>1</v>
      </c>
      <c r="C35" t="n">
        <v>1.1168807265283</v>
      </c>
      <c r="D35" t="n">
        <v>-0.07042783226376977</v>
      </c>
      <c r="E35" t="n">
        <v>1.68952112750595</v>
      </c>
      <c r="F35" t="n">
        <v>0.7377637886188171</v>
      </c>
      <c r="G35" t="n">
        <v>-0.7913261254220826</v>
      </c>
      <c r="H35" t="n">
        <v>-0.6970157688096078</v>
      </c>
      <c r="I35" t="n">
        <v>-1.195778180181284</v>
      </c>
      <c r="J35" t="n">
        <v>-0.373147231869263</v>
      </c>
      <c r="K35" t="n">
        <v>-0.2812206917440481</v>
      </c>
      <c r="L35" t="n">
        <v>0.8173814621405672</v>
      </c>
      <c r="M35" t="n">
        <v>0.9981651616285522</v>
      </c>
      <c r="N35" t="n">
        <v>1.329614959368319</v>
      </c>
      <c r="O35" t="n">
        <v>-0.3613595215686517</v>
      </c>
      <c r="P35" t="n">
        <v>-0.604942796822582</v>
      </c>
      <c r="Q35" t="n">
        <v>-0.6138133411187501</v>
      </c>
      <c r="R35" t="n">
        <v>1.299855242883182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1.053238790886142</v>
      </c>
      <c r="AJ35" t="n">
        <v>0.6666666666666666</v>
      </c>
    </row>
    <row r="36">
      <c r="A36" t="inlineStr">
        <is>
          <t>2021-02-24</t>
        </is>
      </c>
      <c r="B36" t="n">
        <v>1</v>
      </c>
      <c r="C36" t="n">
        <v>0.7255890908401883</v>
      </c>
      <c r="D36" t="n">
        <v>-0.03821120807117267</v>
      </c>
      <c r="E36" t="n">
        <v>1.639861655030147</v>
      </c>
      <c r="F36" t="n">
        <v>0.3529017862647821</v>
      </c>
      <c r="G36" t="n">
        <v>-0.9909358141019564</v>
      </c>
      <c r="H36" t="n">
        <v>-1.045372593389188</v>
      </c>
      <c r="I36" t="n">
        <v>-1.071498999794794</v>
      </c>
      <c r="J36" t="n">
        <v>-1.242515305474085</v>
      </c>
      <c r="K36" t="n">
        <v>-0.0442058500997569</v>
      </c>
      <c r="L36" t="n">
        <v>0.4066489040138626</v>
      </c>
      <c r="M36" t="n">
        <v>-0.3805706246757868</v>
      </c>
      <c r="N36" t="n">
        <v>1.720029765587148</v>
      </c>
      <c r="O36" t="n">
        <v>0.3855298406121493</v>
      </c>
      <c r="P36" t="n">
        <v>0.8672314757091013</v>
      </c>
      <c r="Q36" t="n">
        <v>1.363521961460907</v>
      </c>
      <c r="R36" t="n">
        <v>1.486256871088324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0.6209496123941957</v>
      </c>
      <c r="AJ36" t="n">
        <v>0</v>
      </c>
    </row>
    <row r="37">
      <c r="A37" t="inlineStr">
        <is>
          <t>2021-02-25</t>
        </is>
      </c>
      <c r="B37" t="n">
        <v>1</v>
      </c>
      <c r="C37" t="n">
        <v>0.02347160184618316</v>
      </c>
      <c r="D37" t="n">
        <v>0.5694360425405941</v>
      </c>
      <c r="E37" t="n">
        <v>1.548779620685791</v>
      </c>
      <c r="F37" t="n">
        <v>-0.8421810831914791</v>
      </c>
      <c r="G37" t="n">
        <v>-1.360268096517767</v>
      </c>
      <c r="H37" t="n">
        <v>-1.668291290359989</v>
      </c>
      <c r="I37" t="n">
        <v>0.2096187636510304</v>
      </c>
      <c r="J37" t="n">
        <v>-0.9613440199428693</v>
      </c>
      <c r="K37" t="n">
        <v>1.495579597166498</v>
      </c>
      <c r="L37" t="n">
        <v>1.489013470986972</v>
      </c>
      <c r="M37" t="n">
        <v>-0.2342260921472521</v>
      </c>
      <c r="N37" t="n">
        <v>0.6194709750039648</v>
      </c>
      <c r="O37" t="n">
        <v>1.417453706851924</v>
      </c>
      <c r="P37" t="n">
        <v>3</v>
      </c>
      <c r="Q37" t="n">
        <v>0.4646436519036918</v>
      </c>
      <c r="R37" t="n">
        <v>1.672946930468119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inlineStr">
        <is>
          <t>2021-02-26</t>
        </is>
      </c>
      <c r="B38" t="n">
        <v>1</v>
      </c>
      <c r="C38" t="n">
        <v>1.377539517678258</v>
      </c>
      <c r="D38" t="n">
        <v>0.6443771972598686</v>
      </c>
      <c r="E38" t="n">
        <v>1.415139612809951</v>
      </c>
      <c r="F38" t="n">
        <v>-0.04169714083266729</v>
      </c>
      <c r="G38" t="n">
        <v>-0.4586440220304506</v>
      </c>
      <c r="H38" t="n">
        <v>-0.12897600698083</v>
      </c>
      <c r="I38" t="n">
        <v>0.425191466040627</v>
      </c>
      <c r="J38" t="n">
        <v>0.96459092751426</v>
      </c>
      <c r="K38" t="n">
        <v>-1.810870369151311</v>
      </c>
      <c r="L38" t="n">
        <v>-3</v>
      </c>
      <c r="M38" t="n">
        <v>-0.5297459347271088</v>
      </c>
      <c r="N38" t="n">
        <v>0.6494712706397272</v>
      </c>
      <c r="O38" t="n">
        <v>0.5001577530809401</v>
      </c>
      <c r="P38" t="n">
        <v>-0.2881880514266904</v>
      </c>
      <c r="Q38" t="n">
        <v>-0.1737411234438124</v>
      </c>
      <c r="R38" t="n">
        <v>1.11693770712459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inlineStr">
        <is>
          <t>2021-03-02</t>
        </is>
      </c>
      <c r="B39" t="n">
        <v>1</v>
      </c>
      <c r="C39" t="n">
        <v>1.716676056126129</v>
      </c>
      <c r="D39" t="n">
        <v>2.08998582864149</v>
      </c>
      <c r="E39" t="n">
        <v>1.453103071472565</v>
      </c>
      <c r="F39" t="n">
        <v>-0.889196488715943</v>
      </c>
      <c r="G39" t="n">
        <v>-0.2775962898440283</v>
      </c>
      <c r="H39" t="n">
        <v>0.1784963363114317</v>
      </c>
      <c r="I39" t="n">
        <v>1.983090403255147</v>
      </c>
      <c r="J39" t="n">
        <v>-0.5282655297563852</v>
      </c>
      <c r="K39" t="n">
        <v>-0.08495014303323666</v>
      </c>
      <c r="L39" t="n">
        <v>0.6024289156972691</v>
      </c>
      <c r="M39" t="n">
        <v>-1.831617779432971</v>
      </c>
      <c r="N39" t="n">
        <v>2.098526646142455</v>
      </c>
      <c r="O39" t="n">
        <v>0.5689983288155891</v>
      </c>
      <c r="P39" t="n">
        <v>0.3069525593768885</v>
      </c>
      <c r="Q39" t="n">
        <v>0.4862164794269656</v>
      </c>
      <c r="R39" t="n">
        <v>1.254550713288077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0.4973452818628145</v>
      </c>
      <c r="AJ39" t="n">
        <v>0.3333333333333333</v>
      </c>
    </row>
    <row r="40">
      <c r="A40" t="inlineStr">
        <is>
          <t>2021-03-03</t>
        </is>
      </c>
      <c r="B40" t="n">
        <v>1</v>
      </c>
      <c r="C40" t="n">
        <v>1.19334297657463</v>
      </c>
      <c r="D40" t="n">
        <v>2.251941238198436</v>
      </c>
      <c r="E40" t="n">
        <v>1.226522413417523</v>
      </c>
      <c r="F40" t="n">
        <v>-1.174184603977086</v>
      </c>
      <c r="G40" t="n">
        <v>-0.4378622061099952</v>
      </c>
      <c r="H40" t="n">
        <v>-0.1123934005265029</v>
      </c>
      <c r="I40" t="n">
        <v>2.353470945591751</v>
      </c>
      <c r="J40" t="n">
        <v>-0.06765948474604597</v>
      </c>
      <c r="K40" t="n">
        <v>-0.1497664428833674</v>
      </c>
      <c r="L40" t="n">
        <v>0.1316982601018331</v>
      </c>
      <c r="M40" t="n">
        <v>-0.1079746375497218</v>
      </c>
      <c r="N40" t="n">
        <v>-0.180160192575284</v>
      </c>
      <c r="O40" t="n">
        <v>-0.3191853322512164</v>
      </c>
      <c r="P40" t="n">
        <v>-0.3351766071331188</v>
      </c>
      <c r="Q40" t="n">
        <v>-0.3009448500247113</v>
      </c>
      <c r="R40" t="n">
        <v>-0.2488136175062554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</row>
    <row r="41">
      <c r="A41" t="inlineStr">
        <is>
          <t>2021-03-04</t>
        </is>
      </c>
      <c r="B41" t="n">
        <v>1</v>
      </c>
      <c r="C41" t="n">
        <v>0.5513954253019494</v>
      </c>
      <c r="D41" t="n">
        <v>2.584719944330678</v>
      </c>
      <c r="E41" t="n">
        <v>1.411191877940943</v>
      </c>
      <c r="F41" t="n">
        <v>-1.53695336889771</v>
      </c>
      <c r="G41" t="n">
        <v>-0.9671404921183804</v>
      </c>
      <c r="H41" t="n">
        <v>-0.9747296409783838</v>
      </c>
      <c r="I41" t="n">
        <v>2.18651378975006</v>
      </c>
      <c r="J41" t="n">
        <v>0.007522562843578487</v>
      </c>
      <c r="K41" t="n">
        <v>-0.6570688896440582</v>
      </c>
      <c r="L41" t="n">
        <v>-2.506373691844148</v>
      </c>
      <c r="M41" t="n">
        <v>-1.223492084249533</v>
      </c>
      <c r="N41" t="n">
        <v>0.4902231259978369</v>
      </c>
      <c r="O41" t="n">
        <v>0.04237360920739396</v>
      </c>
      <c r="P41" t="n">
        <v>0.07206283742647873</v>
      </c>
      <c r="Q41" t="n">
        <v>-0.4656284107797898</v>
      </c>
      <c r="R41" t="n">
        <v>1.821247865373716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0.5408821661678651</v>
      </c>
      <c r="AJ41" t="n">
        <v>0.3333333333333333</v>
      </c>
    </row>
    <row r="42">
      <c r="A42" t="inlineStr">
        <is>
          <t>2021-03-05</t>
        </is>
      </c>
      <c r="B42" t="n">
        <v>1</v>
      </c>
      <c r="C42" t="n">
        <v>2.774490747470963</v>
      </c>
      <c r="D42" t="n">
        <v>2.674470098245698</v>
      </c>
      <c r="E42" t="n">
        <v>1.502551100886883</v>
      </c>
      <c r="F42" t="n">
        <v>-0.7506537511585569</v>
      </c>
      <c r="G42" t="n">
        <v>0.3258748623801455</v>
      </c>
      <c r="H42" t="n">
        <v>1.212908433803754</v>
      </c>
      <c r="I42" t="n">
        <v>2.208310491784952</v>
      </c>
      <c r="J42" t="n">
        <v>-0.05811905277173138</v>
      </c>
      <c r="K42" t="n">
        <v>-1.394998906066831</v>
      </c>
      <c r="L42" t="n">
        <v>-1.181292776207029</v>
      </c>
      <c r="M42" t="n">
        <v>2.842685526512807</v>
      </c>
      <c r="N42" t="n">
        <v>2.688053003532886</v>
      </c>
      <c r="O42" t="n">
        <v>3</v>
      </c>
      <c r="P42" t="n">
        <v>0.8491976801221892</v>
      </c>
      <c r="Q42" t="n">
        <v>1.24341751930073</v>
      </c>
      <c r="R42" t="n">
        <v>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inlineStr">
        <is>
          <t>2021-03-08</t>
        </is>
      </c>
      <c r="B43" t="n">
        <v>1</v>
      </c>
      <c r="C43" t="n">
        <v>2.51797369586788</v>
      </c>
      <c r="D43" t="n">
        <v>2.682167620293327</v>
      </c>
      <c r="E43" t="n">
        <v>1.549333454153302</v>
      </c>
      <c r="F43" t="n">
        <v>-0.8477119355594374</v>
      </c>
      <c r="G43" t="n">
        <v>0.1314508821831125</v>
      </c>
      <c r="H43" t="n">
        <v>0.8978413377776616</v>
      </c>
      <c r="I43" t="n">
        <v>0.2956701527078213</v>
      </c>
      <c r="J43" t="n">
        <v>-0.6334643491492821</v>
      </c>
      <c r="K43" t="n">
        <v>0.355950115386248</v>
      </c>
      <c r="L43" t="n">
        <v>0.7788727943919153</v>
      </c>
      <c r="M43" t="n">
        <v>0.2733798914683188</v>
      </c>
      <c r="N43" t="n">
        <v>3</v>
      </c>
      <c r="O43" t="n">
        <v>1.741719571056296</v>
      </c>
      <c r="P43" t="n">
        <v>-0.3205784304604474</v>
      </c>
      <c r="Q43" t="n">
        <v>-0.591884770552786</v>
      </c>
      <c r="R43" t="n">
        <v>-0.001472778964443099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inlineStr">
        <is>
          <t>2021-03-09</t>
        </is>
      </c>
      <c r="B44" t="n">
        <v>1</v>
      </c>
      <c r="C44" t="n">
        <v>1.213279670070166</v>
      </c>
      <c r="D44" t="n">
        <v>2.374780985975776</v>
      </c>
      <c r="E44" t="n">
        <v>1.451179090882928</v>
      </c>
      <c r="F44" t="n">
        <v>-1.214224324445625</v>
      </c>
      <c r="G44" t="n">
        <v>-0.5846046472665867</v>
      </c>
      <c r="H44" t="n">
        <v>-0.3373749452275095</v>
      </c>
      <c r="I44" t="n">
        <v>0.1884740021614555</v>
      </c>
      <c r="J44" t="n">
        <v>-0.9577137766811054</v>
      </c>
      <c r="K44" t="n">
        <v>1.615700977054787</v>
      </c>
      <c r="L44" t="n">
        <v>1.418932971978204</v>
      </c>
      <c r="M44" t="n">
        <v>-1.137133153385586</v>
      </c>
      <c r="N44" t="n">
        <v>1.99167627812467</v>
      </c>
      <c r="O44" t="n">
        <v>-0.1732875798645355</v>
      </c>
      <c r="P44" t="n">
        <v>-0.4166104146744599</v>
      </c>
      <c r="Q44" t="n">
        <v>-0.1576764482005237</v>
      </c>
      <c r="R44" t="n">
        <v>0.242427251327429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inlineStr">
        <is>
          <t>2021-03-10</t>
        </is>
      </c>
      <c r="B45" t="n">
        <v>1</v>
      </c>
      <c r="C45" t="n">
        <v>-0.342386003384918</v>
      </c>
      <c r="D45" t="n">
        <v>2.420662436514222</v>
      </c>
      <c r="E45" t="n">
        <v>1.50675287653301</v>
      </c>
      <c r="F45" t="n">
        <v>-1.83161068094636</v>
      </c>
      <c r="G45" t="n">
        <v>-1.56157400691851</v>
      </c>
      <c r="H45" t="n">
        <v>-1.998818297504199</v>
      </c>
      <c r="I45" t="n">
        <v>0.1016041801707933</v>
      </c>
      <c r="J45" t="n">
        <v>-2.284889376688</v>
      </c>
      <c r="K45" t="n">
        <v>3</v>
      </c>
      <c r="L45" t="n">
        <v>1.253291457238511</v>
      </c>
      <c r="M45" t="n">
        <v>-2.193701193882969</v>
      </c>
      <c r="N45" t="n">
        <v>1.489068585487167</v>
      </c>
      <c r="O45" t="n">
        <v>-0.7728667671022729</v>
      </c>
      <c r="P45" t="n">
        <v>-0.3358011317678684</v>
      </c>
      <c r="Q45" t="n">
        <v>-0.3731326026866204</v>
      </c>
      <c r="R45" t="n">
        <v>0.881491993546895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2021-03-16</t>
        </is>
      </c>
      <c r="B46" t="n">
        <v>1</v>
      </c>
      <c r="C46" t="n">
        <v>1.044988744374817</v>
      </c>
      <c r="D46" t="n">
        <v>0.733324213178364</v>
      </c>
      <c r="E46" t="n">
        <v>1.569495173973655</v>
      </c>
      <c r="F46" t="n">
        <v>-0.335237182775961</v>
      </c>
      <c r="G46" t="n">
        <v>-0.7618871743604874</v>
      </c>
      <c r="H46" t="n">
        <v>-0.6398301788062897</v>
      </c>
      <c r="I46" t="n">
        <v>-1.051686070422357</v>
      </c>
      <c r="J46" t="n">
        <v>-0.915826555936474</v>
      </c>
      <c r="K46" t="n">
        <v>0.2827192478556841</v>
      </c>
      <c r="L46" t="n">
        <v>0.4392315462278585</v>
      </c>
      <c r="M46" t="n">
        <v>-0.5032651488108481</v>
      </c>
      <c r="N46" t="n">
        <v>1.753934209285099</v>
      </c>
      <c r="O46" t="n">
        <v>-0.07813018746244184</v>
      </c>
      <c r="P46" t="n">
        <v>-0.4688056177243223</v>
      </c>
      <c r="Q46" t="n">
        <v>-0.35204754951393</v>
      </c>
      <c r="R46" t="n">
        <v>0.9042525498580489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inlineStr">
        <is>
          <t>2021-03-17</t>
        </is>
      </c>
      <c r="B47" t="n">
        <v>1</v>
      </c>
      <c r="C47" t="n">
        <v>1.104896611294642</v>
      </c>
      <c r="D47" t="n">
        <v>0.5519046522381957</v>
      </c>
      <c r="E47" t="n">
        <v>1.49311403739876</v>
      </c>
      <c r="F47" t="n">
        <v>-0.1206583518319326</v>
      </c>
      <c r="G47" t="n">
        <v>-0.6781753753931801</v>
      </c>
      <c r="H47" t="n">
        <v>-0.4947213408427829</v>
      </c>
      <c r="I47" t="n">
        <v>-1.026334229871517</v>
      </c>
      <c r="J47" t="n">
        <v>-0.4194623575283108</v>
      </c>
      <c r="K47" t="n">
        <v>0.2920415509310331</v>
      </c>
      <c r="L47" t="n">
        <v>-0.2384103735190868</v>
      </c>
      <c r="M47" t="n">
        <v>0.171590315267368</v>
      </c>
      <c r="N47" t="n">
        <v>1.356327551372766</v>
      </c>
      <c r="O47" t="n">
        <v>3</v>
      </c>
      <c r="P47" t="n">
        <v>0.8231802735904971</v>
      </c>
      <c r="Q47" t="n">
        <v>0.5609663921002034</v>
      </c>
      <c r="R47" t="n">
        <v>1.55236709641863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inlineStr">
        <is>
          <t>2021-03-18</t>
        </is>
      </c>
      <c r="B48" t="n">
        <v>1</v>
      </c>
      <c r="C48" t="n">
        <v>0.07562894541009811</v>
      </c>
      <c r="D48" t="n">
        <v>0.5646211926828529</v>
      </c>
      <c r="E48" t="n">
        <v>1.552269152401149</v>
      </c>
      <c r="F48" t="n">
        <v>-0.8044742853138649</v>
      </c>
      <c r="G48" t="n">
        <v>-1.330720982476989</v>
      </c>
      <c r="H48" t="n">
        <v>-1.61843679205077</v>
      </c>
      <c r="I48" t="n">
        <v>-1.230313152472295</v>
      </c>
      <c r="J48" t="n">
        <v>-1.071010798723772</v>
      </c>
      <c r="K48" t="n">
        <v>3</v>
      </c>
      <c r="L48" t="n">
        <v>1.125913259697946</v>
      </c>
      <c r="M48" t="n">
        <v>0.3117423303734865</v>
      </c>
      <c r="N48" t="n">
        <v>0.7700888976136504</v>
      </c>
      <c r="O48" t="n">
        <v>2.227230038512281</v>
      </c>
      <c r="P48" t="n">
        <v>2.442915217598104</v>
      </c>
      <c r="Q48" t="n">
        <v>2.666635099013397</v>
      </c>
      <c r="R48" t="n">
        <v>0.9315657144411175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inlineStr">
        <is>
          <t>2021-03-19</t>
        </is>
      </c>
      <c r="B49" t="n">
        <v>1</v>
      </c>
      <c r="C49" t="n">
        <v>1.811538925296623</v>
      </c>
      <c r="D49" t="n">
        <v>-0.1318840631232102</v>
      </c>
      <c r="E49" t="n">
        <v>1.597095608232316</v>
      </c>
      <c r="F49" t="n">
        <v>1.46086285801704</v>
      </c>
      <c r="G49" t="n">
        <v>-0.3253667301336445</v>
      </c>
      <c r="H49" t="n">
        <v>0.1187571287230685</v>
      </c>
      <c r="I49" t="n">
        <v>-1.602409773297008</v>
      </c>
      <c r="J49" t="n">
        <v>-0.05181886910504651</v>
      </c>
      <c r="K49" t="n">
        <v>-0.8936933322984134</v>
      </c>
      <c r="L49" t="n">
        <v>-0.7422877608917533</v>
      </c>
      <c r="M49" t="n">
        <v>0.1686983513394842</v>
      </c>
      <c r="N49" t="n">
        <v>1.748797172361166</v>
      </c>
      <c r="O49" t="n">
        <v>0.6121428113455555</v>
      </c>
      <c r="P49" t="n">
        <v>0.04235929327267401</v>
      </c>
      <c r="Q49" t="n">
        <v>-0.5980915895580643</v>
      </c>
      <c r="R49" t="n">
        <v>0.06781927734852911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inlineStr">
        <is>
          <t>2021-03-22</t>
        </is>
      </c>
      <c r="B50" t="n">
        <v>1</v>
      </c>
      <c r="C50" t="n">
        <v>1.817100301084783</v>
      </c>
      <c r="D50" t="n">
        <v>0.1359725206993427</v>
      </c>
      <c r="E50" t="n">
        <v>1.691791482318191</v>
      </c>
      <c r="F50" t="n">
        <v>0.9463796731650022</v>
      </c>
      <c r="G50" t="n">
        <v>-0.3878695610781132</v>
      </c>
      <c r="H50" t="n">
        <v>0.02099979960409833</v>
      </c>
      <c r="I50" t="n">
        <v>-0.6483086786650031</v>
      </c>
      <c r="J50" t="n">
        <v>-1.089175416628529</v>
      </c>
      <c r="K50" t="n">
        <v>-0.2964587558210733</v>
      </c>
      <c r="L50" t="n">
        <v>-0.4134739408524525</v>
      </c>
      <c r="M50" t="n">
        <v>-0.4035416452848322</v>
      </c>
      <c r="N50" t="n">
        <v>2.85613685168394</v>
      </c>
      <c r="O50" t="n">
        <v>2.858161964820721</v>
      </c>
      <c r="P50" t="n">
        <v>0.3971465507400845</v>
      </c>
      <c r="Q50" t="n">
        <v>0.7353674238146767</v>
      </c>
      <c r="R50" t="n">
        <v>1.391139618119803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0.4512786091916708</v>
      </c>
      <c r="AJ50" t="n">
        <v>0.3333333333333333</v>
      </c>
    </row>
    <row r="51">
      <c r="A51" t="inlineStr">
        <is>
          <t>2021-03-23</t>
        </is>
      </c>
      <c r="B51" t="n">
        <v>1</v>
      </c>
      <c r="C51" t="n">
        <v>1.405613669584906</v>
      </c>
      <c r="D51" t="n">
        <v>0.05069158663524514</v>
      </c>
      <c r="E51" t="n">
        <v>1.662287928269324</v>
      </c>
      <c r="F51" t="n">
        <v>0.7666179806981002</v>
      </c>
      <c r="G51" t="n">
        <v>-0.6072214140974744</v>
      </c>
      <c r="H51" t="n">
        <v>-0.370162384589431</v>
      </c>
      <c r="I51" t="n">
        <v>-0.6340898089832238</v>
      </c>
      <c r="J51" t="n">
        <v>-0.2020248506979456</v>
      </c>
      <c r="K51" t="n">
        <v>-0.3671283166113031</v>
      </c>
      <c r="L51" t="n">
        <v>0.4394989924746313</v>
      </c>
      <c r="M51" t="n">
        <v>-0.78225248148892</v>
      </c>
      <c r="N51" t="n">
        <v>1.47817806720843</v>
      </c>
      <c r="O51" t="n">
        <v>1.728562548882753</v>
      </c>
      <c r="P51" t="n">
        <v>1.716704847129522</v>
      </c>
      <c r="Q51" t="n">
        <v>1.594615145196389</v>
      </c>
      <c r="R51" t="n">
        <v>0.7076744367139191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2021-03-24</t>
        </is>
      </c>
      <c r="B52" t="n">
        <v>1</v>
      </c>
      <c r="C52" t="n">
        <v>1.130229673833286</v>
      </c>
      <c r="D52" t="n">
        <v>0.1325568601610841</v>
      </c>
      <c r="E52" t="n">
        <v>1.483754624041233</v>
      </c>
      <c r="F52" t="n">
        <v>0.4192637567129608</v>
      </c>
      <c r="G52" t="n">
        <v>-0.6567647220623153</v>
      </c>
      <c r="H52" t="n">
        <v>-0.4584271025524013</v>
      </c>
      <c r="I52" t="n">
        <v>-0.3842043146643419</v>
      </c>
      <c r="J52" t="n">
        <v>-0.06299677410341457</v>
      </c>
      <c r="K52" t="n">
        <v>-0.6910402290628723</v>
      </c>
      <c r="L52" t="n">
        <v>-0.7079169934311905</v>
      </c>
      <c r="M52" t="n">
        <v>-0.9617428164152315</v>
      </c>
      <c r="N52" t="n">
        <v>1.097215408929637</v>
      </c>
      <c r="O52" t="n">
        <v>0.8601900097105493</v>
      </c>
      <c r="P52" t="n">
        <v>2.113398482556107</v>
      </c>
      <c r="Q52" t="n">
        <v>1.022595360099332</v>
      </c>
      <c r="R52" t="n">
        <v>0.3357300064371689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2021-03-25</t>
        </is>
      </c>
      <c r="B53" t="n">
        <v>1</v>
      </c>
      <c r="C53" t="n">
        <v>1.156276572494079</v>
      </c>
      <c r="D53" t="n">
        <v>0.3207323850142824</v>
      </c>
      <c r="E53" t="n">
        <v>1.668693316660332</v>
      </c>
      <c r="F53" t="n">
        <v>0.1809273931680849</v>
      </c>
      <c r="G53" t="n">
        <v>-0.7561880530558466</v>
      </c>
      <c r="H53" t="n">
        <v>-0.6337193248533898</v>
      </c>
      <c r="I53" t="n">
        <v>-0.1353221922549584</v>
      </c>
      <c r="J53" t="n">
        <v>-0.4189286057638944</v>
      </c>
      <c r="K53" t="n">
        <v>0.5145618863106086</v>
      </c>
      <c r="L53" t="n">
        <v>-0.2097822585105281</v>
      </c>
      <c r="M53" t="n">
        <v>1.705527795817273</v>
      </c>
      <c r="N53" t="n">
        <v>1.409136290950785</v>
      </c>
      <c r="O53" t="n">
        <v>2.138268597796846</v>
      </c>
      <c r="P53" t="n">
        <v>0.6912698202654812</v>
      </c>
      <c r="Q53" t="n">
        <v>0.001694422275827898</v>
      </c>
      <c r="R53" t="n">
        <v>1.388621761195954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0.4962719070784048</v>
      </c>
      <c r="AJ53" t="n">
        <v>0.3333333333333333</v>
      </c>
    </row>
    <row r="54">
      <c r="A54" t="inlineStr">
        <is>
          <t>2021-03-26</t>
        </is>
      </c>
      <c r="B54" t="n">
        <v>1</v>
      </c>
      <c r="C54" t="n">
        <v>1.428908101974549</v>
      </c>
      <c r="D54" t="n">
        <v>0.3078816918135053</v>
      </c>
      <c r="E54" t="n">
        <v>1.524901650257152</v>
      </c>
      <c r="F54" t="n">
        <v>0.3936417132013648</v>
      </c>
      <c r="G54" t="n">
        <v>-0.5034412705283815</v>
      </c>
      <c r="H54" t="n">
        <v>-0.1960633262016449</v>
      </c>
      <c r="I54" t="n">
        <v>-0.01175562740796272</v>
      </c>
      <c r="J54" t="n">
        <v>-0.08450672981677966</v>
      </c>
      <c r="K54" t="n">
        <v>-0.3845307983444546</v>
      </c>
      <c r="L54" t="n">
        <v>1.591400019146257</v>
      </c>
      <c r="M54" t="n">
        <v>-0.01302402093086046</v>
      </c>
      <c r="N54" t="n">
        <v>1.404410216980768</v>
      </c>
      <c r="O54" t="n">
        <v>1.50422897087633</v>
      </c>
      <c r="P54" t="n">
        <v>0.7858075315043135</v>
      </c>
      <c r="Q54" t="n">
        <v>1.304569027017823</v>
      </c>
      <c r="R54" t="n">
        <v>1.702776206560361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1.246309860041038</v>
      </c>
      <c r="AJ54" t="n">
        <v>0.6666666666666666</v>
      </c>
    </row>
    <row r="55">
      <c r="A55" t="inlineStr">
        <is>
          <t>2021-03-31</t>
        </is>
      </c>
      <c r="B55" t="n">
        <v>1</v>
      </c>
      <c r="C55" t="n">
        <v>1.133479711093672</v>
      </c>
      <c r="D55" t="n">
        <v>1.191622860550495</v>
      </c>
      <c r="E55" t="n">
        <v>0.9795392912782335</v>
      </c>
      <c r="F55" t="n">
        <v>-0.6461425811871707</v>
      </c>
      <c r="G55" t="n">
        <v>-0.2814041650604163</v>
      </c>
      <c r="H55" t="n">
        <v>0.09590279855171757</v>
      </c>
      <c r="I55" t="n">
        <v>1.187279817057584</v>
      </c>
      <c r="J55" t="n">
        <v>-0.1268174068055142</v>
      </c>
      <c r="K55" t="n">
        <v>0.1059924303031128</v>
      </c>
      <c r="L55" t="n">
        <v>-0.4031973338012675</v>
      </c>
      <c r="M55" t="n">
        <v>-0.847515416745882</v>
      </c>
      <c r="N55" t="n">
        <v>1.148791259645914</v>
      </c>
      <c r="O55" t="n">
        <v>1.180211219550667</v>
      </c>
      <c r="P55" t="n">
        <v>0.00280484555244672</v>
      </c>
      <c r="Q55" t="n">
        <v>-0.46345154882235</v>
      </c>
      <c r="R55" t="n">
        <v>0.1289718899623773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0.6904685247429431</v>
      </c>
      <c r="AJ55" t="n">
        <v>0</v>
      </c>
    </row>
    <row r="56">
      <c r="A56" t="inlineStr">
        <is>
          <t>2021-04-01</t>
        </is>
      </c>
      <c r="B56" t="n">
        <v>1</v>
      </c>
      <c r="C56" t="n">
        <v>0.1103732064374859</v>
      </c>
      <c r="D56" t="n">
        <v>1.265613714772523</v>
      </c>
      <c r="E56" t="n">
        <v>0.9210330184696324</v>
      </c>
      <c r="F56" t="n">
        <v>-1.224792037347755</v>
      </c>
      <c r="G56" t="n">
        <v>-0.9533586430801583</v>
      </c>
      <c r="H56" t="n">
        <v>-0.8928975579792332</v>
      </c>
      <c r="I56" t="n">
        <v>1.311311837301282</v>
      </c>
      <c r="J56" t="n">
        <v>-1.134917365835207</v>
      </c>
      <c r="K56" t="n">
        <v>2.984570788571018</v>
      </c>
      <c r="L56" t="n">
        <v>1.002510676057877</v>
      </c>
      <c r="M56" t="n">
        <v>0.3819023575640583</v>
      </c>
      <c r="N56" t="n">
        <v>0.8664597103066134</v>
      </c>
      <c r="O56" t="n">
        <v>-0.1415274163451137</v>
      </c>
      <c r="P56" t="n">
        <v>0.9514463133596101</v>
      </c>
      <c r="Q56" t="n">
        <v>0.3837593774270119</v>
      </c>
      <c r="R56" t="n">
        <v>1.99517033085704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0.09333600260359769</v>
      </c>
      <c r="AJ56" t="n">
        <v>0</v>
      </c>
    </row>
    <row r="57">
      <c r="A57" t="inlineStr">
        <is>
          <t>2021-04-05</t>
        </is>
      </c>
      <c r="B57" t="n">
        <v>1</v>
      </c>
      <c r="C57" t="n">
        <v>1.267681608126969</v>
      </c>
      <c r="D57" t="n">
        <v>1.30005918212908</v>
      </c>
      <c r="E57" t="n">
        <v>0.9360479476391269</v>
      </c>
      <c r="F57" t="n">
        <v>-0.6495805209433803</v>
      </c>
      <c r="G57" t="n">
        <v>-0.1498211139141095</v>
      </c>
      <c r="H57" t="n">
        <v>0.2815164604894021</v>
      </c>
      <c r="I57" t="n">
        <v>0.8426732335239905</v>
      </c>
      <c r="J57" t="n">
        <v>0.8737570713629412</v>
      </c>
      <c r="K57" t="n">
        <v>-1.287263578932075</v>
      </c>
      <c r="L57" t="n">
        <v>-0.9660975971874403</v>
      </c>
      <c r="M57" t="n">
        <v>-1.886985611348845</v>
      </c>
      <c r="N57" t="n">
        <v>0.6102243085408877</v>
      </c>
      <c r="O57" t="n">
        <v>3</v>
      </c>
      <c r="P57" t="n">
        <v>1.59322690928964</v>
      </c>
      <c r="Q57" t="n">
        <v>2.643742792788062</v>
      </c>
      <c r="R57" t="n">
        <v>-0.1544577885546785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2021-04-06</t>
        </is>
      </c>
      <c r="B58" t="n">
        <v>1</v>
      </c>
      <c r="C58" t="n">
        <v>1.422250781895674</v>
      </c>
      <c r="D58" t="n">
        <v>1.413996429969907</v>
      </c>
      <c r="E58" t="n">
        <v>0.7716073413053747</v>
      </c>
      <c r="F58" t="n">
        <v>-0.6462496747456512</v>
      </c>
      <c r="G58" t="n">
        <v>0.1184560680509269</v>
      </c>
      <c r="H58" t="n">
        <v>0.6202555672733095</v>
      </c>
      <c r="I58" t="n">
        <v>1.207129608450442</v>
      </c>
      <c r="J58" t="n">
        <v>-1.013131413765319</v>
      </c>
      <c r="K58" t="n">
        <v>-0.5695453148874567</v>
      </c>
      <c r="L58" t="n">
        <v>0.1332990987038687</v>
      </c>
      <c r="M58" t="n">
        <v>1.535992171659463</v>
      </c>
      <c r="N58" t="n">
        <v>2.296816271406228</v>
      </c>
      <c r="O58" t="n">
        <v>0.3704912765376174</v>
      </c>
      <c r="P58" t="n">
        <v>-0.5257740867480762</v>
      </c>
      <c r="Q58" t="n">
        <v>-0.2465127710313971</v>
      </c>
      <c r="R58" t="n">
        <v>1.505694469023772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0.4521883525379993</v>
      </c>
      <c r="AJ58" t="n">
        <v>0.3333333333333333</v>
      </c>
    </row>
    <row r="59">
      <c r="A59" t="inlineStr">
        <is>
          <t>2021-04-07</t>
        </is>
      </c>
      <c r="B59" t="n">
        <v>1</v>
      </c>
      <c r="C59" t="n">
        <v>1.368912184293822</v>
      </c>
      <c r="D59" t="n">
        <v>1.271583493264612</v>
      </c>
      <c r="E59" t="n">
        <v>0.7123171418687176</v>
      </c>
      <c r="F59" t="n">
        <v>-0.5782676384406379</v>
      </c>
      <c r="G59" t="n">
        <v>0.1398866040511053</v>
      </c>
      <c r="H59" t="n">
        <v>0.6301622797087353</v>
      </c>
      <c r="I59" t="n">
        <v>1.162867605009114</v>
      </c>
      <c r="J59" t="n">
        <v>-0.03049083251038676</v>
      </c>
      <c r="K59" t="n">
        <v>-0.8288320734168481</v>
      </c>
      <c r="L59" t="n">
        <v>0.1756672134752882</v>
      </c>
      <c r="M59" t="n">
        <v>-0.361563998500621</v>
      </c>
      <c r="N59" t="n">
        <v>1.303313330317787</v>
      </c>
      <c r="O59" t="n">
        <v>2.657209665584391</v>
      </c>
      <c r="P59" t="n">
        <v>0.6945234017547078</v>
      </c>
      <c r="Q59" t="n">
        <v>0.9128191282512532</v>
      </c>
      <c r="R59" t="n">
        <v>3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0.2101918410666743</v>
      </c>
      <c r="AJ59" t="n">
        <v>0</v>
      </c>
    </row>
    <row r="60">
      <c r="A60" t="inlineStr">
        <is>
          <t>2021-04-08</t>
        </is>
      </c>
      <c r="B60" t="n">
        <v>1</v>
      </c>
      <c r="C60" t="n">
        <v>0.03933980462478649</v>
      </c>
      <c r="D60" t="n">
        <v>1.35027704828164</v>
      </c>
      <c r="E60" t="n">
        <v>0.7298595643004814</v>
      </c>
      <c r="F60" t="n">
        <v>-1.302042507727308</v>
      </c>
      <c r="G60" t="n">
        <v>-0.8714474223991342</v>
      </c>
      <c r="H60" t="n">
        <v>-0.7570814664258008</v>
      </c>
      <c r="I60" t="n">
        <v>0.403812262920417</v>
      </c>
      <c r="J60" t="n">
        <v>-0.8324746447175397</v>
      </c>
      <c r="K60" t="n">
        <v>1.856505147236751</v>
      </c>
      <c r="L60" t="n">
        <v>1.025640838219768</v>
      </c>
      <c r="M60" t="n">
        <v>-0.4571760287200508</v>
      </c>
      <c r="N60" t="n">
        <v>0.5381003101288827</v>
      </c>
      <c r="O60" t="n">
        <v>2.431099747614666</v>
      </c>
      <c r="P60" t="n">
        <v>0.4938834407178493</v>
      </c>
      <c r="Q60" t="n">
        <v>-0.3798569239835287</v>
      </c>
      <c r="R60" t="n">
        <v>2.458370462811898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2021-04-09</t>
        </is>
      </c>
      <c r="B61" t="n">
        <v>1</v>
      </c>
      <c r="C61" t="n">
        <v>0.9835182320473703</v>
      </c>
      <c r="D61" t="n">
        <v>1.316168940131004</v>
      </c>
      <c r="E61" t="n">
        <v>0.7342769756718889</v>
      </c>
      <c r="F61" t="n">
        <v>-0.8049839923934513</v>
      </c>
      <c r="G61" t="n">
        <v>-0.1703618698258647</v>
      </c>
      <c r="H61" t="n">
        <v>0.209611295335441</v>
      </c>
      <c r="I61" t="n">
        <v>0.1185044182341893</v>
      </c>
      <c r="J61" t="n">
        <v>0.8953286803990381</v>
      </c>
      <c r="K61" t="n">
        <v>-1.203532492973801</v>
      </c>
      <c r="L61" t="n">
        <v>-0.5801163201774953</v>
      </c>
      <c r="M61" t="n">
        <v>0.07286146779529137</v>
      </c>
      <c r="N61" t="n">
        <v>0.3626191288073672</v>
      </c>
      <c r="O61" t="n">
        <v>1.776411956479775</v>
      </c>
      <c r="P61" t="n">
        <v>-0.02393392110499929</v>
      </c>
      <c r="Q61" t="n">
        <v>0.05858158273917899</v>
      </c>
      <c r="R61" t="n">
        <v>2.115875241584384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inlineStr">
        <is>
          <t>2021-04-12</t>
        </is>
      </c>
      <c r="B62" t="n">
        <v>1</v>
      </c>
      <c r="C62" t="n">
        <v>1.149126914162847</v>
      </c>
      <c r="D62" t="n">
        <v>0.9167594120054063</v>
      </c>
      <c r="E62" t="n">
        <v>0.660833061638181</v>
      </c>
      <c r="F62" t="n">
        <v>-0.4313097506781863</v>
      </c>
      <c r="G62" t="n">
        <v>0.02678781337467059</v>
      </c>
      <c r="H62" t="n">
        <v>0.4602721547126183</v>
      </c>
      <c r="I62" t="n">
        <v>-0.2026714721004238</v>
      </c>
      <c r="J62" t="n">
        <v>0.7042501977867074</v>
      </c>
      <c r="K62" t="n">
        <v>-1.047691679986633</v>
      </c>
      <c r="L62" t="n">
        <v>-2.780021072862382</v>
      </c>
      <c r="M62" t="n">
        <v>-0.7444842845036738</v>
      </c>
      <c r="N62" t="n">
        <v>0.6077585308174002</v>
      </c>
      <c r="O62" t="n">
        <v>-0.8572862602301036</v>
      </c>
      <c r="P62" t="n">
        <v>-0.3053564706327102</v>
      </c>
      <c r="Q62" t="n">
        <v>0.05853719046867847</v>
      </c>
      <c r="R62" t="n">
        <v>0.07188648384774866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inlineStr">
        <is>
          <t>2021-04-15</t>
        </is>
      </c>
      <c r="B63" t="n">
        <v>1</v>
      </c>
      <c r="C63" t="n">
        <v>1.436939142775058</v>
      </c>
      <c r="D63" t="n">
        <v>2.015149932426351</v>
      </c>
      <c r="E63" t="n">
        <v>1.424582512363853</v>
      </c>
      <c r="F63" t="n">
        <v>-0.9708667559104242</v>
      </c>
      <c r="G63" t="n">
        <v>-0.4286820632997743</v>
      </c>
      <c r="H63" t="n">
        <v>-0.07817510048061357</v>
      </c>
      <c r="I63" t="n">
        <v>1.224517228041197</v>
      </c>
      <c r="J63" t="n">
        <v>-0.4290237980390286</v>
      </c>
      <c r="K63" t="n">
        <v>-0.4531970537037672</v>
      </c>
      <c r="L63" t="n">
        <v>0.3556841233138158</v>
      </c>
      <c r="M63" t="n">
        <v>-3</v>
      </c>
      <c r="N63" t="n">
        <v>1.709344728785369</v>
      </c>
      <c r="O63" t="n">
        <v>0.9973913106165928</v>
      </c>
      <c r="P63" t="n">
        <v>3</v>
      </c>
      <c r="Q63" t="n">
        <v>2.62787672189207</v>
      </c>
      <c r="R63" t="n">
        <v>1.439777671735781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0.416921085996158</v>
      </c>
      <c r="AJ63" t="n">
        <v>0.3333333333333333</v>
      </c>
    </row>
    <row r="64">
      <c r="A64" t="inlineStr">
        <is>
          <t>2021-04-16</t>
        </is>
      </c>
      <c r="B64" t="n">
        <v>1</v>
      </c>
      <c r="C64" t="n">
        <v>0.8592871382070202</v>
      </c>
      <c r="D64" t="n">
        <v>1.595737873505602</v>
      </c>
      <c r="E64" t="n">
        <v>1.430677442974233</v>
      </c>
      <c r="F64" t="n">
        <v>-1.022785969089185</v>
      </c>
      <c r="G64" t="n">
        <v>-0.7887929197919628</v>
      </c>
      <c r="H64" t="n">
        <v>-0.6792150291080816</v>
      </c>
      <c r="I64" t="n">
        <v>1.086766717257442</v>
      </c>
      <c r="J64" t="n">
        <v>-0.5144199383281789</v>
      </c>
      <c r="K64" t="n">
        <v>-0.3763140552700429</v>
      </c>
      <c r="L64" t="n">
        <v>0.8457579095499105</v>
      </c>
      <c r="M64" t="n">
        <v>0.07366481671906458</v>
      </c>
      <c r="N64" t="n">
        <v>1.179202518235591</v>
      </c>
      <c r="O64" t="n">
        <v>2.462557972298754</v>
      </c>
      <c r="P64" t="n">
        <v>-0.2679938254207826</v>
      </c>
      <c r="Q64" t="n">
        <v>-0.4829538399404846</v>
      </c>
      <c r="R64" t="n">
        <v>1.317015147699801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inlineStr">
        <is>
          <t>2021-04-19</t>
        </is>
      </c>
      <c r="B65" t="n">
        <v>1</v>
      </c>
      <c r="C65" t="n">
        <v>1.502403069482408</v>
      </c>
      <c r="D65" t="n">
        <v>1.557841662024097</v>
      </c>
      <c r="E65" t="n">
        <v>1.446917708315643</v>
      </c>
      <c r="F65" t="n">
        <v>-0.6970764428554755</v>
      </c>
      <c r="G65" t="n">
        <v>-0.4043991050832034</v>
      </c>
      <c r="H65" t="n">
        <v>-0.03522245297726327</v>
      </c>
      <c r="I65" t="n">
        <v>1.099329258008491</v>
      </c>
      <c r="J65" t="n">
        <v>0.9866482487746281</v>
      </c>
      <c r="K65" t="n">
        <v>-0.9535293530493408</v>
      </c>
      <c r="L65" t="n">
        <v>-3</v>
      </c>
      <c r="M65" t="n">
        <v>-0.6379596884572489</v>
      </c>
      <c r="N65" t="n">
        <v>0.7390611945931012</v>
      </c>
      <c r="O65" t="n">
        <v>1.966834336799283</v>
      </c>
      <c r="P65" t="n">
        <v>0.7043692628455887</v>
      </c>
      <c r="Q65" t="n">
        <v>1.262705801153397</v>
      </c>
      <c r="R65" t="n">
        <v>3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2021-04-22</t>
        </is>
      </c>
      <c r="B66" t="n">
        <v>1</v>
      </c>
      <c r="C66" t="n">
        <v>1.599806749722412</v>
      </c>
      <c r="D66" t="n">
        <v>1.4250908894364</v>
      </c>
      <c r="E66" t="n">
        <v>1.472077034410243</v>
      </c>
      <c r="F66" t="n">
        <v>-0.5656920445275028</v>
      </c>
      <c r="G66" t="n">
        <v>-0.3629441608760709</v>
      </c>
      <c r="H66" t="n">
        <v>0.0375087656798837</v>
      </c>
      <c r="I66" t="n">
        <v>-0.286478528624989</v>
      </c>
      <c r="J66" t="n">
        <v>-0.4617971697100164</v>
      </c>
      <c r="K66" t="n">
        <v>1.126374367976013</v>
      </c>
      <c r="L66" t="n">
        <v>-0.8728511419547036</v>
      </c>
      <c r="M66" t="n">
        <v>-1.259297826908997</v>
      </c>
      <c r="N66" t="n">
        <v>1.909894650295673</v>
      </c>
      <c r="O66" t="n">
        <v>1.474680168172691</v>
      </c>
      <c r="P66" t="n">
        <v>1.878975504289312</v>
      </c>
      <c r="Q66" t="n">
        <v>2.002910333067498</v>
      </c>
      <c r="R66" t="n">
        <v>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inlineStr">
        <is>
          <t>2021-04-23</t>
        </is>
      </c>
      <c r="B67" t="n">
        <v>1</v>
      </c>
      <c r="C67" t="n">
        <v>1.579262804357531</v>
      </c>
      <c r="D67" t="n">
        <v>1.489378478439186</v>
      </c>
      <c r="E67" t="n">
        <v>1.413669954684565</v>
      </c>
      <c r="F67" t="n">
        <v>-0.6176072523222608</v>
      </c>
      <c r="G67" t="n">
        <v>-0.3328341026869574</v>
      </c>
      <c r="H67" t="n">
        <v>0.0801947603711885</v>
      </c>
      <c r="I67" t="n">
        <v>-0.5082449513212066</v>
      </c>
      <c r="J67" t="n">
        <v>-0.2304078050246843</v>
      </c>
      <c r="K67" t="n">
        <v>-0.1229323829428028</v>
      </c>
      <c r="L67" t="n">
        <v>-0.3529248162925644</v>
      </c>
      <c r="M67" t="n">
        <v>-0.1592036474447227</v>
      </c>
      <c r="N67" t="n">
        <v>1.675851248041333</v>
      </c>
      <c r="O67" t="n">
        <v>1.814780627987006</v>
      </c>
      <c r="P67" t="n">
        <v>-0.0894091670620927</v>
      </c>
      <c r="Q67" t="n">
        <v>0.07099978223560589</v>
      </c>
      <c r="R67" t="n">
        <v>0.8548819695566566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0.1103000758523437</v>
      </c>
      <c r="AJ67" t="n">
        <v>0.3333333333333333</v>
      </c>
    </row>
    <row r="68">
      <c r="A68" t="inlineStr">
        <is>
          <t>2021-04-26</t>
        </is>
      </c>
      <c r="B68" t="n">
        <v>1</v>
      </c>
      <c r="C68" t="n">
        <v>1.374581215178818</v>
      </c>
      <c r="D68" t="n">
        <v>1.360876317765013</v>
      </c>
      <c r="E68" t="n">
        <v>1.417804770265887</v>
      </c>
      <c r="F68" t="n">
        <v>-0.6355081851438292</v>
      </c>
      <c r="G68" t="n">
        <v>-0.4623595193532025</v>
      </c>
      <c r="H68" t="n">
        <v>-0.1349323502456857</v>
      </c>
      <c r="I68" t="n">
        <v>-0.578964245893013</v>
      </c>
      <c r="J68" t="n">
        <v>-0.190732113285603</v>
      </c>
      <c r="K68" t="n">
        <v>0.6770018023821907</v>
      </c>
      <c r="L68" t="n">
        <v>1.194752953538604</v>
      </c>
      <c r="M68" t="n">
        <v>-0.6292015178545929</v>
      </c>
      <c r="N68" t="n">
        <v>1.437903697724805</v>
      </c>
      <c r="O68" t="n">
        <v>-0.05458130186343121</v>
      </c>
      <c r="P68" t="n">
        <v>-0.4194101763044294</v>
      </c>
      <c r="Q68" t="n">
        <v>-0.3089458382776428</v>
      </c>
      <c r="R68" t="n">
        <v>1.10216423879558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inlineStr">
        <is>
          <t>2021-04-27</t>
        </is>
      </c>
      <c r="B69" t="n">
        <v>1</v>
      </c>
      <c r="C69" t="n">
        <v>1.082545279659888</v>
      </c>
      <c r="D69" t="n">
        <v>1.494774134170481</v>
      </c>
      <c r="E69" t="n">
        <v>1.454719032570435</v>
      </c>
      <c r="F69" t="n">
        <v>-0.8616082067539826</v>
      </c>
      <c r="G69" t="n">
        <v>-0.6670122927077686</v>
      </c>
      <c r="H69" t="n">
        <v>-0.4757634419183566</v>
      </c>
      <c r="I69" t="n">
        <v>-0.3410155818748471</v>
      </c>
      <c r="J69" t="n">
        <v>-0.1999007387464243</v>
      </c>
      <c r="K69" t="n">
        <v>0.3855360636399235</v>
      </c>
      <c r="L69" t="n">
        <v>0.6179609242094747</v>
      </c>
      <c r="M69" t="n">
        <v>-0.8788395042223384</v>
      </c>
      <c r="N69" t="n">
        <v>1.154955703954632</v>
      </c>
      <c r="O69" t="n">
        <v>2.132198934286515</v>
      </c>
      <c r="P69" t="n">
        <v>0.1196158378729107</v>
      </c>
      <c r="Q69" t="n">
        <v>-0.2616230992474734</v>
      </c>
      <c r="R69" t="n">
        <v>1.472353037492255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0.5079903838710955</v>
      </c>
      <c r="AJ69" t="n">
        <v>0.3333333333333333</v>
      </c>
    </row>
    <row r="70">
      <c r="A70" t="inlineStr">
        <is>
          <t>2021-04-28</t>
        </is>
      </c>
      <c r="B70" t="n">
        <v>1</v>
      </c>
      <c r="C70" t="n">
        <v>0.4270043620147009</v>
      </c>
      <c r="D70" t="n">
        <v>1.651717282569156</v>
      </c>
      <c r="E70" t="n">
        <v>1.343923600977564</v>
      </c>
      <c r="F70" t="n">
        <v>-1.251647656333387</v>
      </c>
      <c r="G70" t="n">
        <v>-1.005660892913029</v>
      </c>
      <c r="H70" t="n">
        <v>-1.029214815532751</v>
      </c>
      <c r="I70" t="n">
        <v>-0.9992917307263127</v>
      </c>
      <c r="J70" t="n">
        <v>0.8472659010199867</v>
      </c>
      <c r="K70" t="n">
        <v>0.7068348641523242</v>
      </c>
      <c r="L70" t="n">
        <v>0.9500737068886121</v>
      </c>
      <c r="M70" t="n">
        <v>-1.129787246336725</v>
      </c>
      <c r="N70" t="n">
        <v>-0.07628930597337914</v>
      </c>
      <c r="O70" t="n">
        <v>-0.2539679591851808</v>
      </c>
      <c r="P70" t="n">
        <v>-0.4427117067819945</v>
      </c>
      <c r="Q70" t="n">
        <v>-0.5645272728868193</v>
      </c>
      <c r="R70" t="n">
        <v>1.047459794481985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0.06850777542418049</v>
      </c>
      <c r="AJ70" t="n">
        <v>0</v>
      </c>
    </row>
    <row r="71">
      <c r="A71" t="inlineStr">
        <is>
          <t>2021-04-30</t>
        </is>
      </c>
      <c r="B71" t="n">
        <v>1</v>
      </c>
      <c r="C71" t="n">
        <v>1.536254903204749</v>
      </c>
      <c r="D71" t="n">
        <v>0.2413309999594931</v>
      </c>
      <c r="E71" t="n">
        <v>1.278679799686248</v>
      </c>
      <c r="F71" t="n">
        <v>0.5663283795469441</v>
      </c>
      <c r="G71" t="n">
        <v>-0.2568767254833332</v>
      </c>
      <c r="H71" t="n">
        <v>0.1834531190563017</v>
      </c>
      <c r="I71" t="n">
        <v>-1.013693373401813</v>
      </c>
      <c r="J71" t="n">
        <v>-0.3895584141306312</v>
      </c>
      <c r="K71" t="n">
        <v>-0.8219791278808876</v>
      </c>
      <c r="L71" t="n">
        <v>-1.291678280819508</v>
      </c>
      <c r="M71" t="n">
        <v>1.002015560081661</v>
      </c>
      <c r="N71" t="n">
        <v>1.77571524584257</v>
      </c>
      <c r="O71" t="n">
        <v>0.7090527918584598</v>
      </c>
      <c r="P71" t="n">
        <v>-0.5131770931352891</v>
      </c>
      <c r="Q71" t="n">
        <v>-0.4931992881198496</v>
      </c>
      <c r="R71" t="n">
        <v>1.335809218291986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0.04112292018033561</v>
      </c>
      <c r="AJ71" t="n">
        <v>0</v>
      </c>
    </row>
    <row r="72">
      <c r="A72" t="inlineStr">
        <is>
          <t>2021-05-05</t>
        </is>
      </c>
      <c r="B72" t="n">
        <v>1</v>
      </c>
      <c r="C72" t="n">
        <v>1.150766407214903</v>
      </c>
      <c r="D72" t="n">
        <v>0.2929897677826718</v>
      </c>
      <c r="E72" t="n">
        <v>1.059179499893954</v>
      </c>
      <c r="F72" t="n">
        <v>0.2125282547359982</v>
      </c>
      <c r="G72" t="n">
        <v>-0.3355542883103713</v>
      </c>
      <c r="H72" t="n">
        <v>0.02666254250386172</v>
      </c>
      <c r="I72" t="n">
        <v>-0.04328809215365613</v>
      </c>
      <c r="J72" t="n">
        <v>-0.481976724938156</v>
      </c>
      <c r="K72" t="n">
        <v>0.3844122352769868</v>
      </c>
      <c r="L72" t="n">
        <v>0.7572972493963642</v>
      </c>
      <c r="M72" t="n">
        <v>0.2184513542564551</v>
      </c>
      <c r="N72" t="n">
        <v>1.458246363943575</v>
      </c>
      <c r="O72" t="n">
        <v>0.5552967842427461</v>
      </c>
      <c r="P72" t="n">
        <v>1.535837494711132</v>
      </c>
      <c r="Q72" t="n">
        <v>1.955588060522467</v>
      </c>
      <c r="R72" t="n">
        <v>2.625338430388705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inlineStr">
        <is>
          <t>2021-05-06</t>
        </is>
      </c>
      <c r="B73" t="n">
        <v>1</v>
      </c>
      <c r="C73" t="n">
        <v>0.2115388242232941</v>
      </c>
      <c r="D73" t="n">
        <v>0.3003691414789136</v>
      </c>
      <c r="E73" t="n">
        <v>0.9553758588837133</v>
      </c>
      <c r="F73" t="n">
        <v>-0.4754556095483664</v>
      </c>
      <c r="G73" t="n">
        <v>-0.9053285373847448</v>
      </c>
      <c r="H73" t="n">
        <v>-0.8263308298875077</v>
      </c>
      <c r="I73" t="n">
        <v>-0.4041811515253847</v>
      </c>
      <c r="J73" t="n">
        <v>-1.435710782538961</v>
      </c>
      <c r="K73" t="n">
        <v>2.150652462851048</v>
      </c>
      <c r="L73" t="n">
        <v>0.7049175582140577</v>
      </c>
      <c r="M73" t="n">
        <v>-0.5722963036564224</v>
      </c>
      <c r="N73" t="n">
        <v>1.279066516036829</v>
      </c>
      <c r="O73" t="n">
        <v>0.9289189967401942</v>
      </c>
      <c r="P73" t="n">
        <v>3</v>
      </c>
      <c r="Q73" t="n">
        <v>2.846151871017043</v>
      </c>
      <c r="R73" t="n">
        <v>2.640008730081593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inlineStr">
        <is>
          <t>2021-05-07</t>
        </is>
      </c>
      <c r="B74" t="n">
        <v>1</v>
      </c>
      <c r="C74" t="n">
        <v>0.491967246720978</v>
      </c>
      <c r="D74" t="n">
        <v>0.278237908293573</v>
      </c>
      <c r="E74" t="n">
        <v>0.9700170046112783</v>
      </c>
      <c r="F74" t="n">
        <v>-0.2484918791792699</v>
      </c>
      <c r="G74" t="n">
        <v>-0.719933765202218</v>
      </c>
      <c r="H74" t="n">
        <v>-0.5537810079274789</v>
      </c>
      <c r="I74" t="n">
        <v>-0.2870639005619851</v>
      </c>
      <c r="J74" t="n">
        <v>0.6448075721165507</v>
      </c>
      <c r="K74" t="n">
        <v>0.3690118095573861</v>
      </c>
      <c r="L74" t="n">
        <v>1.46080903488133</v>
      </c>
      <c r="M74" t="n">
        <v>-0.4196640436565364</v>
      </c>
      <c r="N74" t="n">
        <v>0.07658891288283541</v>
      </c>
      <c r="O74" t="n">
        <v>-0.518890261279324</v>
      </c>
      <c r="P74" t="n">
        <v>-0.6429060900055665</v>
      </c>
      <c r="Q74" t="n">
        <v>-0.4251677614149532</v>
      </c>
      <c r="R74" t="n">
        <v>0.5994782119305329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inlineStr">
        <is>
          <t>2021-05-10</t>
        </is>
      </c>
      <c r="B75" t="n">
        <v>1</v>
      </c>
      <c r="C75" t="n">
        <v>0.4740052810483958</v>
      </c>
      <c r="D75" t="n">
        <v>0.2316507807893094</v>
      </c>
      <c r="E75" t="n">
        <v>0.9493131303953826</v>
      </c>
      <c r="F75" t="n">
        <v>-0.2089933555253264</v>
      </c>
      <c r="G75" t="n">
        <v>-0.7174324638469751</v>
      </c>
      <c r="H75" t="n">
        <v>-0.549638774788205</v>
      </c>
      <c r="I75" t="n">
        <v>-0.8876675762349254</v>
      </c>
      <c r="J75" t="n">
        <v>-0.3952966310145349</v>
      </c>
      <c r="K75" t="n">
        <v>1.165290230303983</v>
      </c>
      <c r="L75" t="n">
        <v>1.113489370845644</v>
      </c>
      <c r="M75" t="n">
        <v>-0.7523623434333804</v>
      </c>
      <c r="N75" t="n">
        <v>0.6848140846763796</v>
      </c>
      <c r="O75" t="n">
        <v>-0.5732592630369756</v>
      </c>
      <c r="P75" t="n">
        <v>-0.5817349601983737</v>
      </c>
      <c r="Q75" t="n">
        <v>-0.2623519103569713</v>
      </c>
      <c r="R75" t="n">
        <v>0.6009149176082751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2021-05-12</t>
        </is>
      </c>
      <c r="B76" t="n">
        <v>1</v>
      </c>
      <c r="C76" t="n">
        <v>-0.1280367612504015</v>
      </c>
      <c r="D76" t="n">
        <v>0.1851679736703492</v>
      </c>
      <c r="E76" t="n">
        <v>1.003185626303324</v>
      </c>
      <c r="F76" t="n">
        <v>-0.6109351297896469</v>
      </c>
      <c r="G76" t="n">
        <v>-1.17134554735179</v>
      </c>
      <c r="H76" t="n">
        <v>-1.227984382978078</v>
      </c>
      <c r="I76" t="n">
        <v>-1.204175298985586</v>
      </c>
      <c r="J76" t="n">
        <v>-1.290991804674171</v>
      </c>
      <c r="K76" t="n">
        <v>1.679972394552816</v>
      </c>
      <c r="L76" t="n">
        <v>-0.5104752677787651</v>
      </c>
      <c r="M76" t="n">
        <v>0.01877415612989545</v>
      </c>
      <c r="N76" t="n">
        <v>0.7115266766808257</v>
      </c>
      <c r="O76" t="n">
        <v>0.9149601365799017</v>
      </c>
      <c r="P76" t="n">
        <v>3</v>
      </c>
      <c r="Q76" t="n">
        <v>2.693636100281732</v>
      </c>
      <c r="R76" t="n">
        <v>1.542284392161301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inlineStr">
        <is>
          <t>2021-05-14</t>
        </is>
      </c>
      <c r="B77" t="n">
        <v>1</v>
      </c>
      <c r="C77" t="n">
        <v>0.2958052351867005</v>
      </c>
      <c r="D77" t="n">
        <v>0.04802920514700454</v>
      </c>
      <c r="E77" t="n">
        <v>0.1806390696558063</v>
      </c>
      <c r="F77" t="n">
        <v>-0.1234264460158787</v>
      </c>
      <c r="G77" t="n">
        <v>-0.1597651360687889</v>
      </c>
      <c r="H77" t="n">
        <v>0.1069762214985165</v>
      </c>
      <c r="I77" t="n">
        <v>-0.124123961161823</v>
      </c>
      <c r="J77" t="n">
        <v>0.1817106719593136</v>
      </c>
      <c r="K77" t="n">
        <v>0.1392398730798649</v>
      </c>
      <c r="L77" t="n">
        <v>0.2821100132192735</v>
      </c>
      <c r="M77" t="n">
        <v>0.191992973422428</v>
      </c>
      <c r="N77" t="n">
        <v>0.145630689140481</v>
      </c>
      <c r="O77" t="n">
        <v>0.3544720673313649</v>
      </c>
      <c r="P77" t="n">
        <v>-0.4636550493970912</v>
      </c>
      <c r="Q77" t="n">
        <v>-0.2720595814420191</v>
      </c>
      <c r="R77" t="n">
        <v>0.9585498661777976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2021-05-19</t>
        </is>
      </c>
      <c r="B78" t="n">
        <v>1</v>
      </c>
      <c r="C78" t="n">
        <v>-0.08299377254976077</v>
      </c>
      <c r="D78" t="n">
        <v>0.1775708722487768</v>
      </c>
      <c r="E78" t="n">
        <v>0.338098120026526</v>
      </c>
      <c r="F78" t="n">
        <v>-0.5690395819433188</v>
      </c>
      <c r="G78" t="n">
        <v>-0.6501676121074355</v>
      </c>
      <c r="H78" t="n">
        <v>-0.4548568053718909</v>
      </c>
      <c r="I78" t="n">
        <v>0.5879835870442288</v>
      </c>
      <c r="J78" t="n">
        <v>-1.208978893956984</v>
      </c>
      <c r="K78" t="n">
        <v>0.4004176725171242</v>
      </c>
      <c r="L78" t="n">
        <v>-0.6347283595508346</v>
      </c>
      <c r="M78" t="n">
        <v>0.1697820768850281</v>
      </c>
      <c r="N78" t="n">
        <v>0.6963210473859873</v>
      </c>
      <c r="O78" t="n">
        <v>-0.7224666502482429</v>
      </c>
      <c r="P78" t="n">
        <v>-0.6535432959461643</v>
      </c>
      <c r="Q78" t="n">
        <v>-0.5857150444201856</v>
      </c>
      <c r="R78" t="n">
        <v>0.6704480199774528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inlineStr">
        <is>
          <t>2021-05-20</t>
        </is>
      </c>
      <c r="B79" t="n">
        <v>1</v>
      </c>
      <c r="C79" t="n">
        <v>-0.5343994474105817</v>
      </c>
      <c r="D79" t="n">
        <v>0.02080473770904018</v>
      </c>
      <c r="E79" t="n">
        <v>0.0513040220873226</v>
      </c>
      <c r="F79" t="n">
        <v>-0.765587876555203</v>
      </c>
      <c r="G79" t="n">
        <v>-0.7865681184473777</v>
      </c>
      <c r="H79" t="n">
        <v>-0.6059374980175289</v>
      </c>
      <c r="I79" t="n">
        <v>0.8590094522927008</v>
      </c>
      <c r="J79" t="n">
        <v>-0.803093817722769</v>
      </c>
      <c r="K79" t="n">
        <v>2.866422508506973</v>
      </c>
      <c r="L79" t="n">
        <v>0.3871282792883647</v>
      </c>
      <c r="M79" t="n">
        <v>0.9988014111589708</v>
      </c>
      <c r="N79" t="n">
        <v>-0.1258103419200837</v>
      </c>
      <c r="O79" t="n">
        <v>-0.3898767257999211</v>
      </c>
      <c r="P79" t="n">
        <v>0.1090149658723868</v>
      </c>
      <c r="Q79" t="n">
        <v>0.1505127340238712</v>
      </c>
      <c r="R79" t="n">
        <v>2.501706409472824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0.005565936022042782</v>
      </c>
      <c r="AJ79" t="n">
        <v>0.3333333333333333</v>
      </c>
    </row>
    <row r="80">
      <c r="A80" t="inlineStr">
        <is>
          <t>2021-05-24</t>
        </is>
      </c>
      <c r="B80" t="n">
        <v>1</v>
      </c>
      <c r="C80" t="n">
        <v>0.1480123518375822</v>
      </c>
      <c r="D80" t="n">
        <v>0.4572341354885446</v>
      </c>
      <c r="E80" t="n">
        <v>0.2651676216888267</v>
      </c>
      <c r="F80" t="n">
        <v>-0.6672364643889247</v>
      </c>
      <c r="G80" t="n">
        <v>-0.3814989464592684</v>
      </c>
      <c r="H80" t="n">
        <v>-0.1374657654570792</v>
      </c>
      <c r="I80" t="n">
        <v>0.8155816818852446</v>
      </c>
      <c r="J80" t="n">
        <v>-0.01697798703504966</v>
      </c>
      <c r="K80" t="n">
        <v>-0.1821941049781079</v>
      </c>
      <c r="L80" t="n">
        <v>0.4210335553530099</v>
      </c>
      <c r="M80" t="n">
        <v>-1.338638589441377</v>
      </c>
      <c r="N80" t="n">
        <v>0.1174797267973342</v>
      </c>
      <c r="O80" t="n">
        <v>-0.06626358822377154</v>
      </c>
      <c r="P80" t="n">
        <v>-0.527473964554225</v>
      </c>
      <c r="Q80" t="n">
        <v>-0.3113163194556301</v>
      </c>
      <c r="R80" t="n">
        <v>0.9711526443515615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2021-05-26</t>
        </is>
      </c>
      <c r="B81" t="n">
        <v>1</v>
      </c>
      <c r="C81" t="n">
        <v>0.1483796974750378</v>
      </c>
      <c r="D81" t="n">
        <v>0.403003344301395</v>
      </c>
      <c r="E81" t="n">
        <v>0.1914092860172006</v>
      </c>
      <c r="F81" t="n">
        <v>-0.6185883236506629</v>
      </c>
      <c r="G81" t="n">
        <v>-0.3036044584166844</v>
      </c>
      <c r="H81" t="n">
        <v>-0.05648771077706363</v>
      </c>
      <c r="I81" t="n">
        <v>0.268823014007078</v>
      </c>
      <c r="J81" t="n">
        <v>-0.06765948474604597</v>
      </c>
      <c r="K81" t="n">
        <v>-0.1497664428833674</v>
      </c>
      <c r="L81" t="n">
        <v>0.1316982601018331</v>
      </c>
      <c r="M81" t="n">
        <v>-0.1079746375497218</v>
      </c>
      <c r="N81" t="n">
        <v>-0.180160192575284</v>
      </c>
      <c r="O81" t="n">
        <v>-0.3191853322512164</v>
      </c>
      <c r="P81" t="n">
        <v>-0.3351766071331188</v>
      </c>
      <c r="Q81" t="n">
        <v>-0.3009448500247113</v>
      </c>
      <c r="R81" t="n">
        <v>-0.2488136175062554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</row>
    <row r="82">
      <c r="A82" t="inlineStr">
        <is>
          <t>2021-05-27</t>
        </is>
      </c>
      <c r="B82" t="n">
        <v>1</v>
      </c>
      <c r="C82" t="n">
        <v>-0.6058819093357301</v>
      </c>
      <c r="D82" t="n">
        <v>0.3157894170838436</v>
      </c>
      <c r="E82" t="n">
        <v>0.1391972845376894</v>
      </c>
      <c r="F82" t="n">
        <v>-1.077655025339577</v>
      </c>
      <c r="G82" t="n">
        <v>-0.9326747404751681</v>
      </c>
      <c r="H82" t="n">
        <v>-0.7755360848964912</v>
      </c>
      <c r="I82" t="n">
        <v>0.1756556941367402</v>
      </c>
      <c r="J82" t="n">
        <v>-0.03133989890768518</v>
      </c>
      <c r="K82" t="n">
        <v>1.180612154526581</v>
      </c>
      <c r="L82" t="n">
        <v>0.2133632438996211</v>
      </c>
      <c r="M82" t="n">
        <v>-0.03985039242166243</v>
      </c>
      <c r="N82" t="n">
        <v>-0.6019109240300975</v>
      </c>
      <c r="O82" t="n">
        <v>0.1700114839407214</v>
      </c>
      <c r="P82" t="n">
        <v>3</v>
      </c>
      <c r="Q82" t="n">
        <v>2.723946084996976</v>
      </c>
      <c r="R82" t="n">
        <v>2.084008509079485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0.1615561787029674</v>
      </c>
      <c r="AJ82" t="n">
        <v>0.3333333333333333</v>
      </c>
    </row>
    <row r="83">
      <c r="A83" t="inlineStr">
        <is>
          <t>2021-05-28</t>
        </is>
      </c>
      <c r="B83" t="n">
        <v>1</v>
      </c>
      <c r="C83" t="n">
        <v>-0.3022921064265512</v>
      </c>
      <c r="D83" t="n">
        <v>0.01680153894943091</v>
      </c>
      <c r="E83" t="n">
        <v>0.01184498042585092</v>
      </c>
      <c r="F83" t="n">
        <v>-0.571744410485223</v>
      </c>
      <c r="G83" t="n">
        <v>-0.5266676157939163</v>
      </c>
      <c r="H83" t="n">
        <v>-0.3239895818187141</v>
      </c>
      <c r="I83" t="n">
        <v>-0.3864861997770638</v>
      </c>
      <c r="J83" t="n">
        <v>0.959642735691615</v>
      </c>
      <c r="K83" t="n">
        <v>0.0330874960921851</v>
      </c>
      <c r="L83" t="n">
        <v>1.432129679768739</v>
      </c>
      <c r="M83" t="n">
        <v>-0.4490180671121058</v>
      </c>
      <c r="N83" t="n">
        <v>-0.7258162546353363</v>
      </c>
      <c r="O83" t="n">
        <v>-0.6161821236658908</v>
      </c>
      <c r="P83" t="n">
        <v>-0.4958136144774125</v>
      </c>
      <c r="Q83" t="n">
        <v>-0.2294041192991684</v>
      </c>
      <c r="R83" t="n">
        <v>0.07921483328910484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2021-06-01</t>
        </is>
      </c>
      <c r="B84" t="n">
        <v>1</v>
      </c>
      <c r="C84" t="n">
        <v>-0.4452327723149742</v>
      </c>
      <c r="D84" t="n">
        <v>-0.2217419417002903</v>
      </c>
      <c r="E84" t="n">
        <v>-0.2374531236417148</v>
      </c>
      <c r="F84" t="n">
        <v>-0.4087436971638627</v>
      </c>
      <c r="G84" t="n">
        <v>-0.3828929917854549</v>
      </c>
      <c r="H84" t="n">
        <v>-0.1986468198987165</v>
      </c>
      <c r="I84" t="n">
        <v>-1.622681987009214</v>
      </c>
      <c r="J84" t="n">
        <v>0.5802725874268426</v>
      </c>
      <c r="K84" t="n">
        <v>0.2448241937998966</v>
      </c>
      <c r="L84" t="n">
        <v>0.667067811867492</v>
      </c>
      <c r="M84" t="n">
        <v>-0.4554531599548248</v>
      </c>
      <c r="N84" t="n">
        <v>-0.706295514324395</v>
      </c>
      <c r="O84" t="n">
        <v>-0.7927819175842072</v>
      </c>
      <c r="P84" t="n">
        <v>-0.4328957015497115</v>
      </c>
      <c r="Q84" t="n">
        <v>-0.1116507603868386</v>
      </c>
      <c r="R84" t="n">
        <v>1.115065651116259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inlineStr">
        <is>
          <t>2021-06-02</t>
        </is>
      </c>
      <c r="B85" t="n">
        <v>1</v>
      </c>
      <c r="C85" t="n">
        <v>-0.4606709788538272</v>
      </c>
      <c r="D85" t="n">
        <v>-0.3799687567633621</v>
      </c>
      <c r="E85" t="n">
        <v>-0.2483475518199588</v>
      </c>
      <c r="F85" t="n">
        <v>-0.1964768480537236</v>
      </c>
      <c r="G85" t="n">
        <v>-0.3856708981904071</v>
      </c>
      <c r="H85" t="n">
        <v>-0.2026271032843879</v>
      </c>
      <c r="I85" t="n">
        <v>-1.749219316383129</v>
      </c>
      <c r="J85" t="n">
        <v>-0.419453497082528</v>
      </c>
      <c r="K85" t="n">
        <v>0.2586603389738891</v>
      </c>
      <c r="L85" t="n">
        <v>-0.3847127689138059</v>
      </c>
      <c r="M85" t="n">
        <v>-0.0908247161423083</v>
      </c>
      <c r="N85" t="n">
        <v>-0.2667706351127768</v>
      </c>
      <c r="O85" t="n">
        <v>-0.4247240155390592</v>
      </c>
      <c r="P85" t="n">
        <v>-0.2214445672210035</v>
      </c>
      <c r="Q85" t="n">
        <v>-0.0100363137176033</v>
      </c>
      <c r="R85" t="n">
        <v>0.9632556335921381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0.4777359929819249</v>
      </c>
      <c r="AJ85" t="n">
        <v>0.3333333333333333</v>
      </c>
    </row>
    <row r="86">
      <c r="A86" t="inlineStr">
        <is>
          <t>2021-06-03</t>
        </is>
      </c>
      <c r="B86" t="n">
        <v>1</v>
      </c>
      <c r="C86" t="n">
        <v>-0.3105561662483043</v>
      </c>
      <c r="D86" t="n">
        <v>-0.4937873955929962</v>
      </c>
      <c r="E86" t="n">
        <v>-0.403177073779707</v>
      </c>
      <c r="F86" t="n">
        <v>0.1545993930200114</v>
      </c>
      <c r="G86" t="n">
        <v>-0.007374639224277672</v>
      </c>
      <c r="H86" t="n">
        <v>0.1210260558695341</v>
      </c>
      <c r="I86" t="n">
        <v>-1.432044898738346</v>
      </c>
      <c r="J86" t="n">
        <v>-0.06765948474604597</v>
      </c>
      <c r="K86" t="n">
        <v>-0.1497664428833674</v>
      </c>
      <c r="L86" t="n">
        <v>0.1316982601018331</v>
      </c>
      <c r="M86" t="n">
        <v>-0.1079746375497218</v>
      </c>
      <c r="N86" t="n">
        <v>-0.180160192575284</v>
      </c>
      <c r="O86" t="n">
        <v>-0.3191853322512164</v>
      </c>
      <c r="P86" t="n">
        <v>-0.3351766071331188</v>
      </c>
      <c r="Q86" t="n">
        <v>-0.3009448500247113</v>
      </c>
      <c r="R86" t="n">
        <v>-0.2488136175062554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</row>
    <row r="87">
      <c r="A87" t="inlineStr">
        <is>
          <t>2021-06-04</t>
        </is>
      </c>
      <c r="B87" t="n">
        <v>1</v>
      </c>
      <c r="C87" t="n">
        <v>-0.5015661661554949</v>
      </c>
      <c r="D87" t="n">
        <v>-0.8302862312892261</v>
      </c>
      <c r="E87" t="n">
        <v>-0.4189888695554991</v>
      </c>
      <c r="F87" t="n">
        <v>0.694676612507278</v>
      </c>
      <c r="G87" t="n">
        <v>-0.2023775633850562</v>
      </c>
      <c r="H87" t="n">
        <v>-0.05823672849205011</v>
      </c>
      <c r="I87" t="n">
        <v>-1.36240904201317</v>
      </c>
      <c r="J87" t="n">
        <v>0.9463422356092944</v>
      </c>
      <c r="K87" t="n">
        <v>-0.6246471858061502</v>
      </c>
      <c r="L87" t="n">
        <v>0.1900130273363081</v>
      </c>
      <c r="M87" t="n">
        <v>-0.5481214069780009</v>
      </c>
      <c r="N87" t="n">
        <v>-0.8848589178002699</v>
      </c>
      <c r="O87" t="n">
        <v>0.5898683038927963</v>
      </c>
      <c r="P87" t="n">
        <v>0.6352130067445113</v>
      </c>
      <c r="Q87" t="n">
        <v>-0.373270542240267</v>
      </c>
      <c r="R87" t="n">
        <v>1.274053663309659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2021-06-07</t>
        </is>
      </c>
      <c r="B88" t="n">
        <v>1</v>
      </c>
      <c r="C88" t="n">
        <v>-0.5716121269177243</v>
      </c>
      <c r="D88" t="n">
        <v>-1.391595382892951</v>
      </c>
      <c r="E88" t="n">
        <v>-0.4126436758014546</v>
      </c>
      <c r="F88" t="n">
        <v>3</v>
      </c>
      <c r="G88" t="n">
        <v>-0.2915719256814714</v>
      </c>
      <c r="H88" t="n">
        <v>-0.1372448451556488</v>
      </c>
      <c r="I88" t="n">
        <v>-1.166590169886766</v>
      </c>
      <c r="J88" t="n">
        <v>0.02741625937289435</v>
      </c>
      <c r="K88" t="n">
        <v>0.3378070067461392</v>
      </c>
      <c r="L88" t="n">
        <v>0.7253731926651232</v>
      </c>
      <c r="M88" t="n">
        <v>-0.3281740801784636</v>
      </c>
      <c r="N88" t="n">
        <v>-0.5949245538135499</v>
      </c>
      <c r="O88" t="n">
        <v>-0.6259603498346107</v>
      </c>
      <c r="P88" t="n">
        <v>-0.6680981772032594</v>
      </c>
      <c r="Q88" t="n">
        <v>-0.434463819303199</v>
      </c>
      <c r="R88" t="n">
        <v>-0.9894794262576789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inlineStr">
        <is>
          <t>2021-06-08</t>
        </is>
      </c>
      <c r="B89" t="n">
        <v>1</v>
      </c>
      <c r="C89" t="n">
        <v>-0.6393841943602885</v>
      </c>
      <c r="D89" t="n">
        <v>-1.417241104276545</v>
      </c>
      <c r="E89" t="n">
        <v>-0.4207881469878358</v>
      </c>
      <c r="F89" t="n">
        <v>3</v>
      </c>
      <c r="G89" t="n">
        <v>-0.3580299308045278</v>
      </c>
      <c r="H89" t="n">
        <v>-0.1980795120592334</v>
      </c>
      <c r="I89" t="n">
        <v>-1.442377122629948</v>
      </c>
      <c r="J89" t="n">
        <v>0.9519601836393657</v>
      </c>
      <c r="K89" t="n">
        <v>0.3179221517554967</v>
      </c>
      <c r="L89" t="n">
        <v>-0.1147210309357852</v>
      </c>
      <c r="M89" t="n">
        <v>-0.2127622102332381</v>
      </c>
      <c r="N89" t="n">
        <v>-0.9999285448963456</v>
      </c>
      <c r="O89" t="n">
        <v>-0.6531303789566603</v>
      </c>
      <c r="P89" t="n">
        <v>-0.5908859981780046</v>
      </c>
      <c r="Q89" t="n">
        <v>-0.4017493528400815</v>
      </c>
      <c r="R89" t="n">
        <v>0.8013249482331657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inlineStr">
        <is>
          <t>2021-06-09</t>
        </is>
      </c>
      <c r="B90" t="n">
        <v>1</v>
      </c>
      <c r="C90" t="n">
        <v>-0.8425853073824364</v>
      </c>
      <c r="D90" t="n">
        <v>-1.36756903709632</v>
      </c>
      <c r="E90" t="n">
        <v>-0.4337176196411801</v>
      </c>
      <c r="F90" t="n">
        <v>2.462705384297871</v>
      </c>
      <c r="G90" t="n">
        <v>-0.5750205420413974</v>
      </c>
      <c r="H90" t="n">
        <v>-0.3930361235380976</v>
      </c>
      <c r="I90" t="n">
        <v>-1.30084998986017</v>
      </c>
      <c r="J90" t="n">
        <v>0.409139265797011</v>
      </c>
      <c r="K90" t="n">
        <v>0.599723912538583</v>
      </c>
      <c r="L90" t="n">
        <v>0.07379917936289161</v>
      </c>
      <c r="M90" t="n">
        <v>-0.4506610347156095</v>
      </c>
      <c r="N90" t="n">
        <v>-0.9945860264954562</v>
      </c>
      <c r="O90" t="n">
        <v>-0.6667498559058506</v>
      </c>
      <c r="P90" t="n">
        <v>-0.4492982669079006</v>
      </c>
      <c r="Q90" t="n">
        <v>-0.2367917907125291</v>
      </c>
      <c r="R90" t="n">
        <v>0.009638226214651715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2021-06-10</t>
        </is>
      </c>
      <c r="B91" t="n">
        <v>1</v>
      </c>
      <c r="C91" t="n">
        <v>-0.8497617963493194</v>
      </c>
      <c r="D91" t="n">
        <v>-1.077728072556652</v>
      </c>
      <c r="E91" t="n">
        <v>-0.4327296268984233</v>
      </c>
      <c r="F91" t="n">
        <v>0.9656304454341862</v>
      </c>
      <c r="G91" t="n">
        <v>-0.5845600686929293</v>
      </c>
      <c r="H91" t="n">
        <v>-0.401500066903822</v>
      </c>
      <c r="I91" t="n">
        <v>-0.666370313335892</v>
      </c>
      <c r="J91" t="n">
        <v>-1.050358635797482</v>
      </c>
      <c r="K91" t="n">
        <v>0.9132889072249502</v>
      </c>
      <c r="L91" t="n">
        <v>0.6393180092861906</v>
      </c>
      <c r="M91" t="n">
        <v>0.6623450491279879</v>
      </c>
      <c r="N91" t="n">
        <v>-0.3382781890939093</v>
      </c>
      <c r="O91" t="n">
        <v>-0.5607907787851706</v>
      </c>
      <c r="P91" t="n">
        <v>-0.1031385889210952</v>
      </c>
      <c r="Q91" t="n">
        <v>-0.3623939194325363</v>
      </c>
      <c r="R91" t="n">
        <v>0.8349507460541834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0.5806355169605104</v>
      </c>
      <c r="AJ91" t="n">
        <v>0.3333333333333333</v>
      </c>
    </row>
    <row r="92">
      <c r="A92" t="inlineStr">
        <is>
          <t>2021-06-11</t>
        </is>
      </c>
      <c r="B92" t="n">
        <v>1</v>
      </c>
      <c r="C92" t="n">
        <v>-0.7933865150900539</v>
      </c>
      <c r="D92" t="n">
        <v>-1.052296206278389</v>
      </c>
      <c r="E92" t="n">
        <v>-0.6240327121587459</v>
      </c>
      <c r="F92" t="n">
        <v>0.9655868414555869</v>
      </c>
      <c r="G92" t="n">
        <v>-0.2472974712254112</v>
      </c>
      <c r="H92" t="n">
        <v>-0.1344441387274615</v>
      </c>
      <c r="I92" t="n">
        <v>-0.5701812364835468</v>
      </c>
      <c r="J92" t="n">
        <v>0.09001266444172827</v>
      </c>
      <c r="K92" t="n">
        <v>0.1467619763016843</v>
      </c>
      <c r="L92" t="n">
        <v>1.111513861982121</v>
      </c>
      <c r="M92" t="n">
        <v>-0.5192576167494681</v>
      </c>
      <c r="N92" t="n">
        <v>-0.8316392152683346</v>
      </c>
      <c r="O92" t="n">
        <v>-0.6577946340497857</v>
      </c>
      <c r="P92" t="n">
        <v>-0.685095798010346</v>
      </c>
      <c r="Q92" t="n">
        <v>-0.5330021688538185</v>
      </c>
      <c r="R92" t="n">
        <v>-0.3184715558559717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0.3085706850571963</v>
      </c>
      <c r="AJ92" t="n">
        <v>0</v>
      </c>
    </row>
    <row r="93">
      <c r="A93" t="inlineStr">
        <is>
          <t>2021-06-14</t>
        </is>
      </c>
      <c r="B93" t="n">
        <v>1</v>
      </c>
      <c r="C93" t="n">
        <v>-0.4003705373702882</v>
      </c>
      <c r="D93" t="n">
        <v>-1.063563610352924</v>
      </c>
      <c r="E93" t="n">
        <v>-0.6404498265028782</v>
      </c>
      <c r="F93" t="n">
        <v>1.653825003637128</v>
      </c>
      <c r="G93" t="n">
        <v>0.2813794166722707</v>
      </c>
      <c r="H93" t="n">
        <v>0.2878927340309078</v>
      </c>
      <c r="I93" t="n">
        <v>-0.4840947377718516</v>
      </c>
      <c r="J93" t="n">
        <v>0.9736085438146295</v>
      </c>
      <c r="K93" t="n">
        <v>-1.01395396410865</v>
      </c>
      <c r="L93" t="n">
        <v>-0.6866771089010105</v>
      </c>
      <c r="M93" t="n">
        <v>-1.08416638883632</v>
      </c>
      <c r="N93" t="n">
        <v>-0.8110910675726067</v>
      </c>
      <c r="O93" t="n">
        <v>0.8856959411786496</v>
      </c>
      <c r="P93" t="n">
        <v>0.1986915811338801</v>
      </c>
      <c r="Q93" t="n">
        <v>0.6534182884515219</v>
      </c>
      <c r="R93" t="n">
        <v>0.6278002438549817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2021-06-15</t>
        </is>
      </c>
      <c r="B94" t="n">
        <v>1</v>
      </c>
      <c r="C94" t="n">
        <v>-0.8056402281624312</v>
      </c>
      <c r="D94" t="n">
        <v>-1.186650550941116</v>
      </c>
      <c r="E94" t="n">
        <v>-0.8255956034242157</v>
      </c>
      <c r="F94" t="n">
        <v>1.497405138650902</v>
      </c>
      <c r="G94" t="n">
        <v>0.08696771764813076</v>
      </c>
      <c r="H94" t="n">
        <v>0.07320693155397159</v>
      </c>
      <c r="I94" t="n">
        <v>-0.4755980250722545</v>
      </c>
      <c r="J94" t="n">
        <v>-1.068772652015193</v>
      </c>
      <c r="K94" t="n">
        <v>0.0836166569874424</v>
      </c>
      <c r="L94" t="n">
        <v>0.7854920882267757</v>
      </c>
      <c r="M94" t="n">
        <v>-0.1106071969313623</v>
      </c>
      <c r="N94" t="n">
        <v>-0.2749898941910676</v>
      </c>
      <c r="O94" t="n">
        <v>-0.7225450401344348</v>
      </c>
      <c r="P94" t="n">
        <v>-0.6929145265503447</v>
      </c>
      <c r="Q94" t="n">
        <v>-0.5995440633559191</v>
      </c>
      <c r="R94" t="n">
        <v>0.1455065621603349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2021-06-16</t>
        </is>
      </c>
      <c r="B95" t="n">
        <v>1</v>
      </c>
      <c r="C95" t="n">
        <v>-0.7247846954939371</v>
      </c>
      <c r="D95" t="n">
        <v>-1.179008698824376</v>
      </c>
      <c r="E95" t="n">
        <v>-0.9614727148361061</v>
      </c>
      <c r="F95" t="n">
        <v>1.611131458409744</v>
      </c>
      <c r="G95" t="n">
        <v>0.4966381514672952</v>
      </c>
      <c r="H95" t="n">
        <v>0.3048847882777452</v>
      </c>
      <c r="I95" t="n">
        <v>-0.281385596688961</v>
      </c>
      <c r="J95" t="n">
        <v>1.346870928409854</v>
      </c>
      <c r="K95" t="n">
        <v>0.1187670177556773</v>
      </c>
      <c r="L95" t="n">
        <v>-0.3324696127115107</v>
      </c>
      <c r="M95" t="n">
        <v>0.4649482068586948</v>
      </c>
      <c r="N95" t="n">
        <v>-1.184039948250067</v>
      </c>
      <c r="O95" t="n">
        <v>-0.5324314130957406</v>
      </c>
      <c r="P95" t="n">
        <v>-0.4680396870069986</v>
      </c>
      <c r="Q95" t="n">
        <v>-0.4799966366784124</v>
      </c>
      <c r="R95" t="n">
        <v>0.2201658518402974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2021-06-17</t>
        </is>
      </c>
      <c r="B96" t="n">
        <v>1</v>
      </c>
      <c r="C96" t="n">
        <v>-0.5757496933626202</v>
      </c>
      <c r="D96" t="n">
        <v>-1.038048297561763</v>
      </c>
      <c r="E96" t="n">
        <v>-0.957293965513211</v>
      </c>
      <c r="F96" t="n">
        <v>1.264737209220768</v>
      </c>
      <c r="G96" t="n">
        <v>0.7151006945341488</v>
      </c>
      <c r="H96" t="n">
        <v>0.4536691777900574</v>
      </c>
      <c r="I96" t="n">
        <v>-0.5327410779226002</v>
      </c>
      <c r="J96" t="n">
        <v>0.1037292951919455</v>
      </c>
      <c r="K96" t="n">
        <v>1.154706671312732</v>
      </c>
      <c r="L96" t="n">
        <v>-1.033094835754115</v>
      </c>
      <c r="M96" t="n">
        <v>1.935854622113431</v>
      </c>
      <c r="N96" t="n">
        <v>-0.6319112196658599</v>
      </c>
      <c r="O96" t="n">
        <v>-0.1752501207828609</v>
      </c>
      <c r="P96" t="n">
        <v>0.2606092422754852</v>
      </c>
      <c r="Q96" t="n">
        <v>-0.2950693854032267</v>
      </c>
      <c r="R96" t="n">
        <v>1.875479458806612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0.1814146137179523</v>
      </c>
      <c r="AJ96" t="n">
        <v>0.3333333333333333</v>
      </c>
    </row>
    <row r="97">
      <c r="A97" t="inlineStr">
        <is>
          <t>2021-06-18</t>
        </is>
      </c>
      <c r="B97" t="n">
        <v>1</v>
      </c>
      <c r="C97" t="n">
        <v>-0.02767506885394444</v>
      </c>
      <c r="D97" t="n">
        <v>-0.9936655059903966</v>
      </c>
      <c r="E97" t="n">
        <v>-1.008101123572541</v>
      </c>
      <c r="F97" t="n">
        <v>1.94783135776485</v>
      </c>
      <c r="G97" t="n">
        <v>1.712527981445033</v>
      </c>
      <c r="H97" t="n">
        <v>1.073134905857599</v>
      </c>
      <c r="I97" t="n">
        <v>-0.1652953975892542</v>
      </c>
      <c r="J97" t="n">
        <v>0.5146068196392652</v>
      </c>
      <c r="K97" t="n">
        <v>-1.133442288706882</v>
      </c>
      <c r="L97" t="n">
        <v>0.8259945775989995</v>
      </c>
      <c r="M97" t="n">
        <v>-0.03865974343108228</v>
      </c>
      <c r="N97" t="n">
        <v>-0.3136204118590357</v>
      </c>
      <c r="O97" t="n">
        <v>0.228924317373343</v>
      </c>
      <c r="P97" t="n">
        <v>-0.05390510779479114</v>
      </c>
      <c r="Q97" t="n">
        <v>0.2631407899222841</v>
      </c>
      <c r="R97" t="n">
        <v>0.1992761268200915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inlineStr">
        <is>
          <t>2021-06-21</t>
        </is>
      </c>
      <c r="B98" t="n">
        <v>1</v>
      </c>
      <c r="C98" t="n">
        <v>0.194062195444438</v>
      </c>
      <c r="D98" t="n">
        <v>-0.9942101766482219</v>
      </c>
      <c r="E98" t="n">
        <v>-1.39281503216007</v>
      </c>
      <c r="F98" t="n">
        <v>2.292957951192635</v>
      </c>
      <c r="G98" t="n">
        <v>3</v>
      </c>
      <c r="H98" t="n">
        <v>1.721692748018319</v>
      </c>
      <c r="I98" t="n">
        <v>0.1490137147383025</v>
      </c>
      <c r="J98" t="n">
        <v>-0.4922632055110983</v>
      </c>
      <c r="K98" t="n">
        <v>-1.467607791946598</v>
      </c>
      <c r="L98" t="n">
        <v>-2.086013610203176</v>
      </c>
      <c r="M98" t="n">
        <v>-0.8714107255186534</v>
      </c>
      <c r="N98" t="n">
        <v>0.4614557192238177</v>
      </c>
      <c r="O98" t="n">
        <v>-0.2403176366430813</v>
      </c>
      <c r="P98" t="n">
        <v>-0.5625965185331803</v>
      </c>
      <c r="Q98" t="n">
        <v>-0.5292146939042544</v>
      </c>
      <c r="R98" t="n">
        <v>-0.0054623834465022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0.5549773800907587</v>
      </c>
      <c r="AJ98" t="n">
        <v>0.3333333333333333</v>
      </c>
    </row>
    <row r="99">
      <c r="A99" t="inlineStr">
        <is>
          <t>2021-06-23</t>
        </is>
      </c>
      <c r="B99" t="n">
        <v>1</v>
      </c>
      <c r="C99" t="n">
        <v>-0.8056338735381974</v>
      </c>
      <c r="D99" t="n">
        <v>-1.037663473753412</v>
      </c>
      <c r="E99" t="n">
        <v>-1.392166554121514</v>
      </c>
      <c r="F99" t="n">
        <v>0.8937360386493221</v>
      </c>
      <c r="G99" t="n">
        <v>1.715306879856222</v>
      </c>
      <c r="H99" t="n">
        <v>0.6923388706639344</v>
      </c>
      <c r="I99" t="n">
        <v>0.2743996818743271</v>
      </c>
      <c r="J99" t="n">
        <v>-0.6204611649923669</v>
      </c>
      <c r="K99" t="n">
        <v>0.881387853380597</v>
      </c>
      <c r="L99" t="n">
        <v>1.013459481990268</v>
      </c>
      <c r="M99" t="n">
        <v>0.01459493554594139</v>
      </c>
      <c r="N99" t="n">
        <v>-0.5258827775559044</v>
      </c>
      <c r="O99" t="n">
        <v>-0.4263919713614333</v>
      </c>
      <c r="P99" t="n">
        <v>-0.6036304069256702</v>
      </c>
      <c r="Q99" t="n">
        <v>-0.5180217935022224</v>
      </c>
      <c r="R99" t="n">
        <v>0.2890131192131196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0.4334710830454848</v>
      </c>
      <c r="AJ99" t="n">
        <v>0</v>
      </c>
    </row>
    <row r="100">
      <c r="A100" t="inlineStr">
        <is>
          <t>2021-06-24</t>
        </is>
      </c>
      <c r="B100" t="n">
        <v>1</v>
      </c>
      <c r="C100" t="n">
        <v>-0.4643997311397486</v>
      </c>
      <c r="D100" t="n">
        <v>-1.101039330230611</v>
      </c>
      <c r="E100" t="n">
        <v>-1.352782075300493</v>
      </c>
      <c r="F100" t="n">
        <v>1.711462834860059</v>
      </c>
      <c r="G100" t="n">
        <v>2.246300826376946</v>
      </c>
      <c r="H100" t="n">
        <v>1.00041672797517</v>
      </c>
      <c r="I100" t="n">
        <v>0.109959059738936</v>
      </c>
      <c r="J100" t="n">
        <v>-0.850374802458309</v>
      </c>
      <c r="K100" t="n">
        <v>0.7681775850768159</v>
      </c>
      <c r="L100" t="n">
        <v>0.4019231653740022</v>
      </c>
      <c r="M100" t="n">
        <v>1.568352594449326</v>
      </c>
      <c r="N100" t="n">
        <v>-0.01752160356359809</v>
      </c>
      <c r="O100" t="n">
        <v>-0.3078331459897906</v>
      </c>
      <c r="P100" t="n">
        <v>0.2187754861054396</v>
      </c>
      <c r="Q100" t="n">
        <v>-0.5497131861632948</v>
      </c>
      <c r="R100" t="n">
        <v>1.700609024147353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1.021306373914922</v>
      </c>
      <c r="AJ100" t="n">
        <v>0.3333333333333333</v>
      </c>
    </row>
    <row r="101">
      <c r="A101" t="inlineStr">
        <is>
          <t>2021-06-25</t>
        </is>
      </c>
      <c r="B101" t="n">
        <v>1</v>
      </c>
      <c r="C101" t="n">
        <v>-0.5678906477490484</v>
      </c>
      <c r="D101" t="n">
        <v>-1.093556114519439</v>
      </c>
      <c r="E101" t="n">
        <v>-1.327861923649496</v>
      </c>
      <c r="F101" t="n">
        <v>1.502631186068343</v>
      </c>
      <c r="G101" t="n">
        <v>1.928762845087302</v>
      </c>
      <c r="H101" t="n">
        <v>0.8666972081458132</v>
      </c>
      <c r="I101" t="n">
        <v>-0.1072664611554055</v>
      </c>
      <c r="J101" t="n">
        <v>0.8898833000668901</v>
      </c>
      <c r="K101" t="n">
        <v>-0.02174843911614988</v>
      </c>
      <c r="L101" t="n">
        <v>0.762319933801885</v>
      </c>
      <c r="M101" t="n">
        <v>-0.8288700957380222</v>
      </c>
      <c r="N101" t="n">
        <v>-0.9208181762677934</v>
      </c>
      <c r="O101" t="n">
        <v>-0.4927051985484894</v>
      </c>
      <c r="P101" t="n">
        <v>-0.7398584999912041</v>
      </c>
      <c r="Q101" t="n">
        <v>-0.5863275156761945</v>
      </c>
      <c r="R101" t="n">
        <v>0.06109729770393645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0.7825478331229442</v>
      </c>
      <c r="AJ101" t="n">
        <v>0</v>
      </c>
    </row>
    <row r="102">
      <c r="A102" t="inlineStr">
        <is>
          <t>2021-06-29</t>
        </is>
      </c>
      <c r="B102" t="n">
        <v>1</v>
      </c>
      <c r="C102" t="n">
        <v>-0.5518393605827592</v>
      </c>
      <c r="D102" t="n">
        <v>-1.094838039243424</v>
      </c>
      <c r="E102" t="n">
        <v>-1.416443006118636</v>
      </c>
      <c r="F102" t="n">
        <v>1.535345784286261</v>
      </c>
      <c r="G102" t="n">
        <v>2.36545393543717</v>
      </c>
      <c r="H102" t="n">
        <v>0.9800110668315579</v>
      </c>
      <c r="I102" t="n">
        <v>0.2625632236421754</v>
      </c>
      <c r="J102" t="n">
        <v>0.7147206623767649</v>
      </c>
      <c r="K102" t="n">
        <v>0.1296089985830845</v>
      </c>
      <c r="L102" t="n">
        <v>-0.0650837827015831</v>
      </c>
      <c r="M102" t="n">
        <v>0.8599524163737409</v>
      </c>
      <c r="N102" t="n">
        <v>-0.8474612889940449</v>
      </c>
      <c r="O102" t="n">
        <v>-0.5632509906441554</v>
      </c>
      <c r="P102" t="n">
        <v>-0.7073053458626272</v>
      </c>
      <c r="Q102" t="n">
        <v>-0.5111995927998683</v>
      </c>
      <c r="R102" t="n">
        <v>-0.07040266754577648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0.3702391604240287</v>
      </c>
      <c r="AJ102" t="n">
        <v>0</v>
      </c>
    </row>
    <row r="103">
      <c r="A103" t="inlineStr">
        <is>
          <t>2021-07-02</t>
        </is>
      </c>
      <c r="B103" t="n">
        <v>1</v>
      </c>
      <c r="C103" t="n">
        <v>-1.068761642081861</v>
      </c>
      <c r="D103" t="n">
        <v>-1.270186438943658</v>
      </c>
      <c r="E103" t="n">
        <v>-1.424276423129949</v>
      </c>
      <c r="F103" t="n">
        <v>1.390079956530472</v>
      </c>
      <c r="G103" t="n">
        <v>1.287779036746284</v>
      </c>
      <c r="H103" t="n">
        <v>0.4566797959855005</v>
      </c>
      <c r="I103" t="n">
        <v>-0.6000462756814836</v>
      </c>
      <c r="J103" t="n">
        <v>0.4044982608903847</v>
      </c>
      <c r="K103" t="n">
        <v>-0.1202199261050949</v>
      </c>
      <c r="L103" t="n">
        <v>0.3853250146924833</v>
      </c>
      <c r="M103" t="n">
        <v>-0.5224041121427604</v>
      </c>
      <c r="N103" t="n">
        <v>-1.195546910959675</v>
      </c>
      <c r="O103" t="n">
        <v>-0.7553714705588571</v>
      </c>
      <c r="P103" t="n">
        <v>-0.5820405800467304</v>
      </c>
      <c r="Q103" t="n">
        <v>-0.248510437557939</v>
      </c>
      <c r="R103" t="n">
        <v>0.6042611660139272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2021-07-09</t>
        </is>
      </c>
      <c r="B104" t="n">
        <v>1</v>
      </c>
      <c r="C104" t="n">
        <v>-0.6892332331218473</v>
      </c>
      <c r="D104" t="n">
        <v>-1.007594632808272</v>
      </c>
      <c r="E104" t="n">
        <v>-1.337611126460102</v>
      </c>
      <c r="F104" t="n">
        <v>0.9734345455815387</v>
      </c>
      <c r="G104" t="n">
        <v>1.7266356000903</v>
      </c>
      <c r="H104" t="n">
        <v>0.7524943139790123</v>
      </c>
      <c r="I104" t="n">
        <v>1.260441429807762</v>
      </c>
      <c r="J104" t="n">
        <v>0.5977244018397914</v>
      </c>
      <c r="K104" t="n">
        <v>-0.55150698400221</v>
      </c>
      <c r="L104" t="n">
        <v>-0.9393579589944121</v>
      </c>
      <c r="M104" t="n">
        <v>1.522236196765651</v>
      </c>
      <c r="N104" t="n">
        <v>-0.9247223243299818</v>
      </c>
      <c r="O104" t="n">
        <v>-0.8028636245967004</v>
      </c>
      <c r="P104" t="n">
        <v>-0.697426223851048</v>
      </c>
      <c r="Q104" t="n">
        <v>-0.5604395519779299</v>
      </c>
      <c r="R104" t="n">
        <v>-0.5773463770284933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2021-07-16</t>
        </is>
      </c>
      <c r="B105" t="n">
        <v>1</v>
      </c>
      <c r="C105" t="n">
        <v>-1.21601634166626</v>
      </c>
      <c r="D105" t="n">
        <v>-0.9627434076325956</v>
      </c>
      <c r="E105" t="n">
        <v>-1.381047859007914</v>
      </c>
      <c r="F105" t="n">
        <v>0.03110409450597271</v>
      </c>
      <c r="G105" t="n">
        <v>0.8143703228921753</v>
      </c>
      <c r="H105" t="n">
        <v>0.2579225033415017</v>
      </c>
      <c r="I105" t="n">
        <v>-0.2669515256821752</v>
      </c>
      <c r="J105" t="n">
        <v>1.063076628573923</v>
      </c>
      <c r="K105" t="n">
        <v>-0.1533644558364129</v>
      </c>
      <c r="L105" t="n">
        <v>0.6735161723444063</v>
      </c>
      <c r="M105" t="n">
        <v>-0.5056158836588516</v>
      </c>
      <c r="N105" t="n">
        <v>-1.500275941287319</v>
      </c>
      <c r="O105" t="n">
        <v>-0.7069283097882998</v>
      </c>
      <c r="P105" t="n">
        <v>-0.5793406156680023</v>
      </c>
      <c r="Q105" t="n">
        <v>-0.2746818302467141</v>
      </c>
      <c r="R105" t="n">
        <v>1.236826471194655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2021-07-19</t>
        </is>
      </c>
      <c r="B106" t="n">
        <v>1</v>
      </c>
      <c r="C106" t="n">
        <v>-0.7012418718155377</v>
      </c>
      <c r="D106" t="n">
        <v>-0.9598193176806109</v>
      </c>
      <c r="E106" t="n">
        <v>-1.381467031986374</v>
      </c>
      <c r="F106" t="n">
        <v>0.7961149769920296</v>
      </c>
      <c r="G106" t="n">
        <v>1.887396376058898</v>
      </c>
      <c r="H106" t="n">
        <v>0.7880618567080544</v>
      </c>
      <c r="I106" t="n">
        <v>-0.4811921435682445</v>
      </c>
      <c r="J106" t="n">
        <v>1.201792460006145</v>
      </c>
      <c r="K106" t="n">
        <v>-0.9826866016471266</v>
      </c>
      <c r="L106" t="n">
        <v>-2.287146029840918</v>
      </c>
      <c r="M106" t="n">
        <v>-0.7671227913560624</v>
      </c>
      <c r="N106" t="n">
        <v>-1.125066764363328</v>
      </c>
      <c r="O106" t="n">
        <v>-0.4381441014902439</v>
      </c>
      <c r="P106" t="n">
        <v>0.01462424166328071</v>
      </c>
      <c r="Q106" t="n">
        <v>0.4354287614419025</v>
      </c>
      <c r="R106" t="n">
        <v>-0.07232080273083982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2021-07-20</t>
        </is>
      </c>
      <c r="B107" t="n">
        <v>1</v>
      </c>
      <c r="C107" t="n">
        <v>-0.8224439728419708</v>
      </c>
      <c r="D107" t="n">
        <v>-0.7361977638057904</v>
      </c>
      <c r="E107" t="n">
        <v>-1.181966179102806</v>
      </c>
      <c r="F107" t="n">
        <v>0.04591426105244693</v>
      </c>
      <c r="G107" t="n">
        <v>0.9253676050061773</v>
      </c>
      <c r="H107" t="n">
        <v>0.445343672215877</v>
      </c>
      <c r="I107" t="n">
        <v>1.368540296354413</v>
      </c>
      <c r="J107" t="n">
        <v>-1.278871543423244</v>
      </c>
      <c r="K107" t="n">
        <v>-1.037371747752398</v>
      </c>
      <c r="L107" t="n">
        <v>-0.2196836934077199</v>
      </c>
      <c r="M107" t="n">
        <v>0.3303148185453564</v>
      </c>
      <c r="N107" t="n">
        <v>-0.1605367115258637</v>
      </c>
      <c r="O107" t="n">
        <v>-0.2936214995496226</v>
      </c>
      <c r="P107" t="n">
        <v>0.01646759674007018</v>
      </c>
      <c r="Q107" t="n">
        <v>0.1628680607680877</v>
      </c>
      <c r="R107" t="n">
        <v>-0.07868854683435303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2021-07-26</t>
        </is>
      </c>
      <c r="B108" t="n">
        <v>1</v>
      </c>
      <c r="C108" t="n">
        <v>-0.9323330775606626</v>
      </c>
      <c r="D108" t="n">
        <v>-0.5574875555331492</v>
      </c>
      <c r="E108" t="n">
        <v>-1.00770375905877</v>
      </c>
      <c r="F108" t="n">
        <v>-0.4147414223157277</v>
      </c>
      <c r="G108" t="n">
        <v>0.2806218746674254</v>
      </c>
      <c r="H108" t="n">
        <v>0.1418456054986802</v>
      </c>
      <c r="I108" t="n">
        <v>1.716130752372745</v>
      </c>
      <c r="J108" t="n">
        <v>-0.5460581896201602</v>
      </c>
      <c r="K108" t="n">
        <v>-0.6267583731296855</v>
      </c>
      <c r="L108" t="n">
        <v>-0.9372310279362642</v>
      </c>
      <c r="M108" t="n">
        <v>-0.4175408203944544</v>
      </c>
      <c r="N108" t="n">
        <v>-0.6978707737691464</v>
      </c>
      <c r="O108" t="n">
        <v>-0.9612314949558786</v>
      </c>
      <c r="P108" t="n">
        <v>-0.1499774819900254</v>
      </c>
      <c r="Q108" t="n">
        <v>-0.06981291101008644</v>
      </c>
      <c r="R108" t="n">
        <v>0.4763859988465894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2021-07-28</t>
        </is>
      </c>
      <c r="B109" t="n">
        <v>1</v>
      </c>
      <c r="C109" t="n">
        <v>-0.6928837757760377</v>
      </c>
      <c r="D109" t="n">
        <v>-0.4812875350230013</v>
      </c>
      <c r="E109" t="n">
        <v>-0.9866147998051752</v>
      </c>
      <c r="F109" t="n">
        <v>-0.2759045644794302</v>
      </c>
      <c r="G109" t="n">
        <v>0.6066146335794022</v>
      </c>
      <c r="H109" t="n">
        <v>0.3651837291423751</v>
      </c>
      <c r="I109" t="n">
        <v>0.9934420583077707</v>
      </c>
      <c r="J109" t="n">
        <v>0.2481821910185374</v>
      </c>
      <c r="K109" t="n">
        <v>-0.4850564309294598</v>
      </c>
      <c r="L109" t="n">
        <v>-0.1622016349774848</v>
      </c>
      <c r="M109" t="n">
        <v>0.803576136997826</v>
      </c>
      <c r="N109" t="n">
        <v>-0.7997895863399566</v>
      </c>
      <c r="O109" t="n">
        <v>-0.8324255019898331</v>
      </c>
      <c r="P109" t="n">
        <v>-0.2371654209646037</v>
      </c>
      <c r="Q109" t="n">
        <v>-0.1126378579940489</v>
      </c>
      <c r="R109" t="n">
        <v>0.5534109500304737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2021-07-29</t>
        </is>
      </c>
      <c r="B110" t="n">
        <v>1</v>
      </c>
      <c r="C110" t="n">
        <v>-0.6529349221554998</v>
      </c>
      <c r="D110" t="n">
        <v>-0.5869068627867077</v>
      </c>
      <c r="E110" t="n">
        <v>-1.003023065800979</v>
      </c>
      <c r="F110" t="n">
        <v>-0.04893407731217878</v>
      </c>
      <c r="G110" t="n">
        <v>0.7104602007428744</v>
      </c>
      <c r="H110" t="n">
        <v>0.4242196981465479</v>
      </c>
      <c r="I110" t="n">
        <v>0.6041737514642241</v>
      </c>
      <c r="J110" t="n">
        <v>-0.06765948474604597</v>
      </c>
      <c r="K110" t="n">
        <v>-0.1497664428833674</v>
      </c>
      <c r="L110" t="n">
        <v>0.1316982601018331</v>
      </c>
      <c r="M110" t="n">
        <v>-0.1079746375497218</v>
      </c>
      <c r="N110" t="n">
        <v>-0.180160192575284</v>
      </c>
      <c r="O110" t="n">
        <v>-0.3191853322512164</v>
      </c>
      <c r="P110" t="n">
        <v>-0.3351766071331188</v>
      </c>
      <c r="Q110" t="n">
        <v>-0.3009448500247113</v>
      </c>
      <c r="R110" t="n">
        <v>-0.2488136175062554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0.5329498275011004</v>
      </c>
      <c r="AJ110" t="n">
        <v>0.3333333333333333</v>
      </c>
    </row>
    <row r="111">
      <c r="A111" t="inlineStr">
        <is>
          <t>2021-08-03</t>
        </is>
      </c>
      <c r="B111" t="n">
        <v>1</v>
      </c>
      <c r="C111" t="n">
        <v>-0.832995473345817</v>
      </c>
      <c r="D111" t="n">
        <v>-0.4743653025573808</v>
      </c>
      <c r="E111" t="n">
        <v>-0.9250776138991565</v>
      </c>
      <c r="F111" t="n">
        <v>-0.4355707056155649</v>
      </c>
      <c r="G111" t="n">
        <v>0.2502707602233023</v>
      </c>
      <c r="H111" t="n">
        <v>0.1537693775813985</v>
      </c>
      <c r="I111" t="n">
        <v>-0.1025709404110864</v>
      </c>
      <c r="J111" t="n">
        <v>0.3585233252907711</v>
      </c>
      <c r="K111" t="n">
        <v>-0.7943689842096221</v>
      </c>
      <c r="L111" t="n">
        <v>0.5744506408289266</v>
      </c>
      <c r="M111" t="n">
        <v>-1.088567321486114</v>
      </c>
      <c r="N111" t="n">
        <v>-0.9682843974449248</v>
      </c>
      <c r="O111" t="n">
        <v>-0.9788250034444842</v>
      </c>
      <c r="P111" t="n">
        <v>-0.7375265961462404</v>
      </c>
      <c r="Q111" t="n">
        <v>-0.4912980474420626</v>
      </c>
      <c r="R111" t="n">
        <v>-0.6033069246576196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0.2513367790484517</v>
      </c>
      <c r="AJ111" t="n">
        <v>0</v>
      </c>
    </row>
    <row r="112">
      <c r="A112" t="inlineStr">
        <is>
          <t>2021-08-04</t>
        </is>
      </c>
      <c r="B112" t="n">
        <v>1</v>
      </c>
      <c r="C112" t="n">
        <v>-0.4879083104542264</v>
      </c>
      <c r="D112" t="n">
        <v>-0.3740266364829958</v>
      </c>
      <c r="E112" t="n">
        <v>-0.7262177556752986</v>
      </c>
      <c r="F112" t="n">
        <v>-0.2329520417823681</v>
      </c>
      <c r="G112" t="n">
        <v>0.3303678323166973</v>
      </c>
      <c r="H112" t="n">
        <v>0.2915437045207265</v>
      </c>
      <c r="I112" t="n">
        <v>0.4070736501646535</v>
      </c>
      <c r="J112" t="n">
        <v>1.586305271292568</v>
      </c>
      <c r="K112" t="n">
        <v>-0.5260115809290994</v>
      </c>
      <c r="L112" t="n">
        <v>1.660159712892506</v>
      </c>
      <c r="M112" t="n">
        <v>2.840903399457686</v>
      </c>
      <c r="N112" t="n">
        <v>-1.069586765584863</v>
      </c>
      <c r="O112" t="n">
        <v>1.668335508420931</v>
      </c>
      <c r="P112" t="n">
        <v>2.924415856712048</v>
      </c>
      <c r="Q112" t="n">
        <v>3</v>
      </c>
      <c r="R112" t="n">
        <v>2.643760497183699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0.754010072764407</v>
      </c>
      <c r="AJ112" t="n">
        <v>0.3333333333333333</v>
      </c>
    </row>
    <row r="113">
      <c r="A113" t="inlineStr">
        <is>
          <t>2021-08-05</t>
        </is>
      </c>
      <c r="B113" t="n">
        <v>1</v>
      </c>
      <c r="C113" t="n">
        <v>-0.5163967802208863</v>
      </c>
      <c r="D113" t="n">
        <v>-0.5067313009761577</v>
      </c>
      <c r="E113" t="n">
        <v>-0.670077881843527</v>
      </c>
      <c r="F113" t="n">
        <v>-0.04345298064375101</v>
      </c>
      <c r="G113" t="n">
        <v>0.1863331279554293</v>
      </c>
      <c r="H113" t="n">
        <v>0.2008829242503819</v>
      </c>
      <c r="I113" t="n">
        <v>-0.03842158641261675</v>
      </c>
      <c r="J113" t="n">
        <v>-0.06765948474604597</v>
      </c>
      <c r="K113" t="n">
        <v>-0.1497664428833674</v>
      </c>
      <c r="L113" t="n">
        <v>0.1316982601018331</v>
      </c>
      <c r="M113" t="n">
        <v>-0.1079746375497218</v>
      </c>
      <c r="N113" t="n">
        <v>-0.180160192575284</v>
      </c>
      <c r="O113" t="n">
        <v>-0.3191853322512164</v>
      </c>
      <c r="P113" t="n">
        <v>-0.3351766071331188</v>
      </c>
      <c r="Q113" t="n">
        <v>-0.3009448500247113</v>
      </c>
      <c r="R113" t="n">
        <v>-0.2488136175062554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0.2795446119730999</v>
      </c>
      <c r="AJ113" t="n">
        <v>0</v>
      </c>
    </row>
    <row r="114">
      <c r="A114" t="inlineStr">
        <is>
          <t>2021-08-11</t>
        </is>
      </c>
      <c r="B114" t="n">
        <v>1</v>
      </c>
      <c r="C114" t="n">
        <v>-0.8676253511370139</v>
      </c>
      <c r="D114" t="n">
        <v>-0.7626593953096086</v>
      </c>
      <c r="E114" t="n">
        <v>-0.7911496828915888</v>
      </c>
      <c r="F114" t="n">
        <v>0.04545169626104923</v>
      </c>
      <c r="G114" t="n">
        <v>-0.06449439581420779</v>
      </c>
      <c r="H114" t="n">
        <v>-0.02821423863037149</v>
      </c>
      <c r="I114" t="n">
        <v>-0.7412163579956773</v>
      </c>
      <c r="J114" t="n">
        <v>-0.1572630659738588</v>
      </c>
      <c r="K114" t="n">
        <v>-0.5580720313631813</v>
      </c>
      <c r="L114" t="n">
        <v>0.7095359724445687</v>
      </c>
      <c r="M114" t="n">
        <v>0.170704826483041</v>
      </c>
      <c r="N114" t="n">
        <v>-0.8032827714482303</v>
      </c>
      <c r="O114" t="n">
        <v>-0.5108433004541209</v>
      </c>
      <c r="P114" t="n">
        <v>-0.0425987102599849</v>
      </c>
      <c r="Q114" t="n">
        <v>0.1332902583160965</v>
      </c>
      <c r="R114" t="n">
        <v>-0.02392594754392867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0.09344588692628653</v>
      </c>
      <c r="AJ114" t="n">
        <v>0</v>
      </c>
    </row>
    <row r="115">
      <c r="A115" t="inlineStr">
        <is>
          <t>2021-08-12</t>
        </is>
      </c>
      <c r="B115" t="n">
        <v>1</v>
      </c>
      <c r="C115" t="n">
        <v>-0.7898426584860734</v>
      </c>
      <c r="D115" t="n">
        <v>-0.8025754939999166</v>
      </c>
      <c r="E115" t="n">
        <v>-0.8243035795839094</v>
      </c>
      <c r="F115" t="n">
        <v>0.2377475500772669</v>
      </c>
      <c r="G115" t="n">
        <v>0.1068144415491443</v>
      </c>
      <c r="H115" t="n">
        <v>0.08805009648911809</v>
      </c>
      <c r="I115" t="n">
        <v>-1.530396430657422</v>
      </c>
      <c r="J115" t="n">
        <v>-0.06765948474604597</v>
      </c>
      <c r="K115" t="n">
        <v>-0.1497664428833674</v>
      </c>
      <c r="L115" t="n">
        <v>0.1316982601018331</v>
      </c>
      <c r="M115" t="n">
        <v>-0.1079746375497218</v>
      </c>
      <c r="N115" t="n">
        <v>-0.180160192575284</v>
      </c>
      <c r="O115" t="n">
        <v>-0.3191853322512164</v>
      </c>
      <c r="P115" t="n">
        <v>-0.3351766071331188</v>
      </c>
      <c r="Q115" t="n">
        <v>-0.3009448500247113</v>
      </c>
      <c r="R115" t="n">
        <v>-0.2488136175062554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</row>
    <row r="116">
      <c r="A116" t="inlineStr">
        <is>
          <t>2021-08-16</t>
        </is>
      </c>
      <c r="B116" t="n">
        <v>1</v>
      </c>
      <c r="C116" t="n">
        <v>-0.6956589813923629</v>
      </c>
      <c r="D116" t="n">
        <v>-0.8093369249553565</v>
      </c>
      <c r="E116" t="n">
        <v>-0.7391177728781299</v>
      </c>
      <c r="F116" t="n">
        <v>0.3791692294477196</v>
      </c>
      <c r="G116" t="n">
        <v>0.07573075999022218</v>
      </c>
      <c r="H116" t="n">
        <v>0.09187360141778972</v>
      </c>
      <c r="I116" t="n">
        <v>-0.8241299008967221</v>
      </c>
      <c r="J116" t="n">
        <v>0.8986580507058933</v>
      </c>
      <c r="K116" t="n">
        <v>-0.0007323415806689548</v>
      </c>
      <c r="L116" t="n">
        <v>-0.2639776283019072</v>
      </c>
      <c r="M116" t="n">
        <v>0.7214286056204108</v>
      </c>
      <c r="N116" t="n">
        <v>-1.029517877578194</v>
      </c>
      <c r="O116" t="n">
        <v>-0.4354716624841543</v>
      </c>
      <c r="P116" t="n">
        <v>-0.5529773920886707</v>
      </c>
      <c r="Q116" t="n">
        <v>-0.3744210878523229</v>
      </c>
      <c r="R116" t="n">
        <v>-0.5551406566989624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inlineStr">
        <is>
          <t>2021-08-17</t>
        </is>
      </c>
      <c r="B117" t="n">
        <v>1</v>
      </c>
      <c r="C117" t="n">
        <v>-0.617200907233025</v>
      </c>
      <c r="D117" t="n">
        <v>-0.8193915652690625</v>
      </c>
      <c r="E117" t="n">
        <v>-0.7423204885500404</v>
      </c>
      <c r="F117" t="n">
        <v>0.5096492529290712</v>
      </c>
      <c r="G117" t="n">
        <v>0.187619869368654</v>
      </c>
      <c r="H117" t="n">
        <v>0.1761034586619354</v>
      </c>
      <c r="I117" t="n">
        <v>-0.896210952035365</v>
      </c>
      <c r="J117" t="n">
        <v>0.3265820355385407</v>
      </c>
      <c r="K117" t="n">
        <v>-0.7101212175631503</v>
      </c>
      <c r="L117" t="n">
        <v>-0.3848171456724606</v>
      </c>
      <c r="M117" t="n">
        <v>-0.351663507668305</v>
      </c>
      <c r="N117" t="n">
        <v>-0.7611590686719883</v>
      </c>
      <c r="O117" t="n">
        <v>-0.1742695460769046</v>
      </c>
      <c r="P117" t="n">
        <v>0.5167678815278874</v>
      </c>
      <c r="Q117" t="n">
        <v>0.01312854367082934</v>
      </c>
      <c r="R117" t="n">
        <v>0.3256409489410484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inlineStr">
        <is>
          <t>2021-08-30</t>
        </is>
      </c>
      <c r="B118" t="n">
        <v>1</v>
      </c>
      <c r="C118" t="n">
        <v>-0.9518135311809199</v>
      </c>
      <c r="D118" t="n">
        <v>-0.9176679696336135</v>
      </c>
      <c r="E118" t="n">
        <v>-1.107520444862911</v>
      </c>
      <c r="F118" t="n">
        <v>0.3037209345063958</v>
      </c>
      <c r="G118" t="n">
        <v>0.4917551942804235</v>
      </c>
      <c r="H118" t="n">
        <v>0.2308766005579554</v>
      </c>
      <c r="I118" t="n">
        <v>-0.7833533332232679</v>
      </c>
      <c r="J118" t="n">
        <v>0.01254197256052288</v>
      </c>
      <c r="K118" t="n">
        <v>0.5643929550749572</v>
      </c>
      <c r="L118" t="n">
        <v>1.589716874384715</v>
      </c>
      <c r="M118" t="n">
        <v>0.5440494622731433</v>
      </c>
      <c r="N118" t="n">
        <v>-0.9524623237192145</v>
      </c>
      <c r="O118" t="n">
        <v>-0.5423609414044023</v>
      </c>
      <c r="P118" t="n">
        <v>-0.6456745687337114</v>
      </c>
      <c r="Q118" t="n">
        <v>-0.52664544074076</v>
      </c>
      <c r="R118" t="n">
        <v>-0.3925834578653635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0.06635674752173751</v>
      </c>
      <c r="AJ118" t="n">
        <v>0.3333333333333333</v>
      </c>
    </row>
    <row r="119">
      <c r="A119" t="inlineStr">
        <is>
          <t>2021-08-31</t>
        </is>
      </c>
      <c r="B119" t="n">
        <v>1</v>
      </c>
      <c r="C119" t="n">
        <v>-0.8273158514204332</v>
      </c>
      <c r="D119" t="n">
        <v>-0.7655733799420262</v>
      </c>
      <c r="E119" t="n">
        <v>-1.005927989228171</v>
      </c>
      <c r="F119" t="n">
        <v>0.1036726843264585</v>
      </c>
      <c r="G119" t="n">
        <v>0.4424487940686583</v>
      </c>
      <c r="H119" t="n">
        <v>0.2479634301863014</v>
      </c>
      <c r="I119" t="n">
        <v>0.2589028977925519</v>
      </c>
      <c r="J119" t="n">
        <v>-0.2126598021913638</v>
      </c>
      <c r="K119" t="n">
        <v>-0.2833102860338547</v>
      </c>
      <c r="L119" t="n">
        <v>0.68739775099958</v>
      </c>
      <c r="M119" t="n">
        <v>-0.4211448810407171</v>
      </c>
      <c r="N119" t="n">
        <v>-0.7397889950684312</v>
      </c>
      <c r="O119" t="n">
        <v>-0.5654335493453193</v>
      </c>
      <c r="P119" t="n">
        <v>-0.203420368056869</v>
      </c>
      <c r="Q119" t="n">
        <v>-0.5259575108824223</v>
      </c>
      <c r="R119" t="n">
        <v>-0.2463754025925315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0.4061324899139011</v>
      </c>
      <c r="AJ119" t="n">
        <v>0.6666666666666666</v>
      </c>
    </row>
    <row r="120">
      <c r="A120" t="inlineStr">
        <is>
          <t>2021-09-02</t>
        </is>
      </c>
      <c r="B120" t="n">
        <v>1</v>
      </c>
      <c r="C120" t="n">
        <v>-0.584889404920103</v>
      </c>
      <c r="D120" t="n">
        <v>-0.5715032200324912</v>
      </c>
      <c r="E120" t="n">
        <v>-1.107837168366296</v>
      </c>
      <c r="F120" t="n">
        <v>-0.0007330714447736468</v>
      </c>
      <c r="G120" t="n">
        <v>1.11275873534365</v>
      </c>
      <c r="H120" t="n">
        <v>0.6087722105478514</v>
      </c>
      <c r="I120" t="n">
        <v>0.9783911193480161</v>
      </c>
      <c r="J120" t="n">
        <v>-0.06765948474604597</v>
      </c>
      <c r="K120" t="n">
        <v>-0.1497664428833674</v>
      </c>
      <c r="L120" t="n">
        <v>0.1316982601018331</v>
      </c>
      <c r="M120" t="n">
        <v>-0.1079746375497218</v>
      </c>
      <c r="N120" t="n">
        <v>-0.180160192575284</v>
      </c>
      <c r="O120" t="n">
        <v>-0.3191853322512164</v>
      </c>
      <c r="P120" t="n">
        <v>-0.3351766071331188</v>
      </c>
      <c r="Q120" t="n">
        <v>-0.3009448500247113</v>
      </c>
      <c r="R120" t="n">
        <v>-0.2488136175062554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0.9314077113169151</v>
      </c>
      <c r="AJ120" t="n">
        <v>1</v>
      </c>
    </row>
    <row r="121">
      <c r="A121" t="inlineStr">
        <is>
          <t>2021-09-03</t>
        </is>
      </c>
      <c r="B121" t="n">
        <v>1</v>
      </c>
      <c r="C121" t="n">
        <v>-0.7049421919113863</v>
      </c>
      <c r="D121" t="n">
        <v>-0.5531758770680075</v>
      </c>
      <c r="E121" t="n">
        <v>-1.102043935314132</v>
      </c>
      <c r="F121" t="n">
        <v>-0.1684270664238548</v>
      </c>
      <c r="G121" t="n">
        <v>0.8932365485503794</v>
      </c>
      <c r="H121" t="n">
        <v>0.4789123309283271</v>
      </c>
      <c r="I121" t="n">
        <v>0.5031431265170703</v>
      </c>
      <c r="J121" t="n">
        <v>1.788414905148944</v>
      </c>
      <c r="K121" t="n">
        <v>-0.7753544791959777</v>
      </c>
      <c r="L121" t="n">
        <v>1.151159749856498</v>
      </c>
      <c r="M121" t="n">
        <v>-0.2937201571279837</v>
      </c>
      <c r="N121" t="n">
        <v>-1.282671057189561</v>
      </c>
      <c r="O121" t="n">
        <v>0.06733792493946046</v>
      </c>
      <c r="P121" t="n">
        <v>0.4902136682355198</v>
      </c>
      <c r="Q121" t="n">
        <v>1.114143049669142</v>
      </c>
      <c r="R121" t="n">
        <v>1.038816290402544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1.045464793188215</v>
      </c>
      <c r="AJ121" t="n">
        <v>1.333333333333333</v>
      </c>
    </row>
    <row r="122">
      <c r="A122" t="inlineStr">
        <is>
          <t>2021-09-06</t>
        </is>
      </c>
      <c r="B122" t="n">
        <v>1</v>
      </c>
      <c r="C122" t="n">
        <v>-0.6272518045611993</v>
      </c>
      <c r="D122" t="n">
        <v>-0.9180315900661321</v>
      </c>
      <c r="E122" t="n">
        <v>-1.097312224273844</v>
      </c>
      <c r="F122" t="n">
        <v>0.774891129754565</v>
      </c>
      <c r="G122" t="n">
        <v>1.010141467122292</v>
      </c>
      <c r="H122" t="n">
        <v>0.5536818559759109</v>
      </c>
      <c r="I122" t="n">
        <v>0.4566873913541757</v>
      </c>
      <c r="J122" t="n">
        <v>-0.6936246470874958</v>
      </c>
      <c r="K122" t="n">
        <v>-0.151171685685638</v>
      </c>
      <c r="L122" t="n">
        <v>1.367386333738768</v>
      </c>
      <c r="M122" t="n">
        <v>-0.1079746375497218</v>
      </c>
      <c r="N122" t="n">
        <v>-0.2928667826863504</v>
      </c>
      <c r="O122" t="n">
        <v>-0.5703512336950893</v>
      </c>
      <c r="P122" t="n">
        <v>-0.0773149505099358</v>
      </c>
      <c r="Q122" t="n">
        <v>-0.2796702436820423</v>
      </c>
      <c r="R122" t="n">
        <v>0.1631551586776238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0.9170875897400037</v>
      </c>
      <c r="AJ122" t="n">
        <v>0</v>
      </c>
    </row>
    <row r="123">
      <c r="A123" t="inlineStr">
        <is>
          <t>2021-09-07</t>
        </is>
      </c>
      <c r="B123" t="n">
        <v>1</v>
      </c>
      <c r="C123" t="n">
        <v>-0.546776137207953</v>
      </c>
      <c r="D123" t="n">
        <v>-0.9252644488292281</v>
      </c>
      <c r="E123" t="n">
        <v>-1.155529704859357</v>
      </c>
      <c r="F123" t="n">
        <v>0.9144111865508271</v>
      </c>
      <c r="G123" t="n">
        <v>1.328143342825369</v>
      </c>
      <c r="H123" t="n">
        <v>0.7001056011286082</v>
      </c>
      <c r="I123" t="n">
        <v>0.03965624038456685</v>
      </c>
      <c r="J123" t="n">
        <v>-0.05185838800789934</v>
      </c>
      <c r="K123" t="n">
        <v>-0.3292087531217159</v>
      </c>
      <c r="L123" t="n">
        <v>0.2461699307867292</v>
      </c>
      <c r="M123" t="n">
        <v>0.1490759550895509</v>
      </c>
      <c r="N123" t="n">
        <v>-0.5355404069728964</v>
      </c>
      <c r="O123" t="n">
        <v>-0.6831123753457431</v>
      </c>
      <c r="P123" t="n">
        <v>-0.6950650564658855</v>
      </c>
      <c r="Q123" t="n">
        <v>-0.5671109300249033</v>
      </c>
      <c r="R123" t="n">
        <v>-0.2580509151555716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0.6221916491274594</v>
      </c>
      <c r="AJ123" t="n">
        <v>0</v>
      </c>
    </row>
    <row r="124">
      <c r="A124" t="inlineStr">
        <is>
          <t>2021-09-08</t>
        </is>
      </c>
      <c r="B124" t="n">
        <v>1</v>
      </c>
      <c r="C124" t="n">
        <v>-0.7015550135763412</v>
      </c>
      <c r="D124" t="n">
        <v>-0.8483624505344042</v>
      </c>
      <c r="E124" t="n">
        <v>-1.131465406290147</v>
      </c>
      <c r="F124" t="n">
        <v>0.4717987585601799</v>
      </c>
      <c r="G124" t="n">
        <v>0.9847851878517152</v>
      </c>
      <c r="H124" t="n">
        <v>0.5145481668516144</v>
      </c>
      <c r="I124" t="n">
        <v>-0.2126777172551727</v>
      </c>
      <c r="J124" t="n">
        <v>0.1408611977910689</v>
      </c>
      <c r="K124" t="n">
        <v>-0.2068785077089484</v>
      </c>
      <c r="L124" t="n">
        <v>-0.1289334013625317</v>
      </c>
      <c r="M124" t="n">
        <v>-0.4421246247354062</v>
      </c>
      <c r="N124" t="n">
        <v>-0.7654741796880909</v>
      </c>
      <c r="O124" t="n">
        <v>-0.2856955786023803</v>
      </c>
      <c r="P124" t="n">
        <v>-0.3375625374861606</v>
      </c>
      <c r="Q124" t="n">
        <v>-0.6138133411187501</v>
      </c>
      <c r="R124" t="n">
        <v>0.6100737420765594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0.2411300560266985</v>
      </c>
      <c r="AJ124" t="n">
        <v>0</v>
      </c>
    </row>
    <row r="125">
      <c r="A125" t="inlineStr">
        <is>
          <t>2021-09-09</t>
        </is>
      </c>
      <c r="B125" t="n">
        <v>1</v>
      </c>
      <c r="C125" t="n">
        <v>-0.8197858904476233</v>
      </c>
      <c r="D125" t="n">
        <v>-0.820449758619891</v>
      </c>
      <c r="E125" t="n">
        <v>-1.112431281146673</v>
      </c>
      <c r="F125" t="n">
        <v>0.240812348421191</v>
      </c>
      <c r="G125" t="n">
        <v>0.7283803026040844</v>
      </c>
      <c r="H125" t="n">
        <v>0.3720938546421135</v>
      </c>
      <c r="I125" t="n">
        <v>-0.3240758647778504</v>
      </c>
      <c r="J125" t="n">
        <v>-0.06765948474604597</v>
      </c>
      <c r="K125" t="n">
        <v>-0.1497664428833674</v>
      </c>
      <c r="L125" t="n">
        <v>0.1316982601018331</v>
      </c>
      <c r="M125" t="n">
        <v>-0.1079746375497218</v>
      </c>
      <c r="N125" t="n">
        <v>-0.180160192575284</v>
      </c>
      <c r="O125" t="n">
        <v>-0.3191853322512164</v>
      </c>
      <c r="P125" t="n">
        <v>-0.3351766071331188</v>
      </c>
      <c r="Q125" t="n">
        <v>-0.3009448500247113</v>
      </c>
      <c r="R125" t="n">
        <v>-0.2488136175062554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</row>
    <row r="126">
      <c r="A126" t="inlineStr">
        <is>
          <t>2021-09-13</t>
        </is>
      </c>
      <c r="B126" t="n">
        <v>1</v>
      </c>
      <c r="C126" t="n">
        <v>-0.59499043643543</v>
      </c>
      <c r="D126" t="n">
        <v>-0.8417025325999354</v>
      </c>
      <c r="E126" t="n">
        <v>-1.111568016610399</v>
      </c>
      <c r="F126" t="n">
        <v>0.599456028146899</v>
      </c>
      <c r="G126" t="n">
        <v>1.106928143710658</v>
      </c>
      <c r="H126" t="n">
        <v>0.6024555908735661</v>
      </c>
      <c r="I126" t="n">
        <v>-0.9955277001323334</v>
      </c>
      <c r="J126" t="n">
        <v>1.248299563440668</v>
      </c>
      <c r="K126" t="n">
        <v>-0.4548792235286129</v>
      </c>
      <c r="L126" t="n">
        <v>-0.3123008505834034</v>
      </c>
      <c r="M126" t="n">
        <v>-0.6803282142632363</v>
      </c>
      <c r="N126" t="n">
        <v>-1.054792099243939</v>
      </c>
      <c r="O126" t="n">
        <v>0.6540577183336675</v>
      </c>
      <c r="P126" t="n">
        <v>-0.2081598095204628</v>
      </c>
      <c r="Q126" t="n">
        <v>-0.4790062169909435</v>
      </c>
      <c r="R126" t="n">
        <v>0.3338894070955281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inlineStr">
        <is>
          <t>2021-09-22</t>
        </is>
      </c>
      <c r="B127" t="n">
        <v>1</v>
      </c>
      <c r="C127" t="n">
        <v>-0.2752635382208439</v>
      </c>
      <c r="D127" t="n">
        <v>-0.6971396409916911</v>
      </c>
      <c r="E127" t="n">
        <v>-0.9424401501806905</v>
      </c>
      <c r="F127" t="n">
        <v>0.6353293516501289</v>
      </c>
      <c r="G127" t="n">
        <v>1.134554346905609</v>
      </c>
      <c r="H127" t="n">
        <v>0.7466251672196352</v>
      </c>
      <c r="I127" t="n">
        <v>1.517623118574644</v>
      </c>
      <c r="J127" t="n">
        <v>-0.06765948474604597</v>
      </c>
      <c r="K127" t="n">
        <v>-0.1497664428833674</v>
      </c>
      <c r="L127" t="n">
        <v>0.1316982601018331</v>
      </c>
      <c r="M127" t="n">
        <v>-0.1079746375497218</v>
      </c>
      <c r="N127" t="n">
        <v>-0.180160192575284</v>
      </c>
      <c r="O127" t="n">
        <v>-0.3191853322512164</v>
      </c>
      <c r="P127" t="n">
        <v>-0.3351766071331188</v>
      </c>
      <c r="Q127" t="n">
        <v>-0.3009448500247113</v>
      </c>
      <c r="R127" t="n">
        <v>-0.2488136175062554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</row>
    <row r="128">
      <c r="A128" t="inlineStr">
        <is>
          <t>2021-09-23</t>
        </is>
      </c>
      <c r="B128" t="n">
        <v>1</v>
      </c>
      <c r="C128" t="n">
        <v>-0.4566009459163849</v>
      </c>
      <c r="D128" t="n">
        <v>-0.709117581944623</v>
      </c>
      <c r="E128" t="n">
        <v>-0.9641143358701517</v>
      </c>
      <c r="F128" t="n">
        <v>0.4412961375574425</v>
      </c>
      <c r="G128" t="n">
        <v>0.9154200301452196</v>
      </c>
      <c r="H128" t="n">
        <v>0.5837212520495093</v>
      </c>
      <c r="I128" t="n">
        <v>1.223267739719291</v>
      </c>
      <c r="J128" t="n">
        <v>-0.06765948474604597</v>
      </c>
      <c r="K128" t="n">
        <v>-0.1497664428833674</v>
      </c>
      <c r="L128" t="n">
        <v>0.1316982601018331</v>
      </c>
      <c r="M128" t="n">
        <v>-0.1079746375497218</v>
      </c>
      <c r="N128" t="n">
        <v>-0.180160192575284</v>
      </c>
      <c r="O128" t="n">
        <v>-0.3191853322512164</v>
      </c>
      <c r="P128" t="n">
        <v>-0.3351766071331188</v>
      </c>
      <c r="Q128" t="n">
        <v>-0.3009448500247113</v>
      </c>
      <c r="R128" t="n">
        <v>-0.2488136175062554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</row>
    <row r="129">
      <c r="A129" t="inlineStr">
        <is>
          <t>2021-09-24</t>
        </is>
      </c>
      <c r="B129" t="n">
        <v>1</v>
      </c>
      <c r="C129" t="n">
        <v>-0.3883620829160735</v>
      </c>
      <c r="D129" t="n">
        <v>-0.36687644194138</v>
      </c>
      <c r="E129" t="n">
        <v>-0.7940309793865004</v>
      </c>
      <c r="F129" t="n">
        <v>-0.14475587987372</v>
      </c>
      <c r="G129" t="n">
        <v>0.6071050124919535</v>
      </c>
      <c r="H129" t="n">
        <v>0.4680760876325533</v>
      </c>
      <c r="I129" t="n">
        <v>1.890395139149094</v>
      </c>
      <c r="J129" t="n">
        <v>1.016015850865183</v>
      </c>
      <c r="K129" t="n">
        <v>-0.5275498648606337</v>
      </c>
      <c r="L129" t="n">
        <v>1.091729533550953</v>
      </c>
      <c r="M129" t="n">
        <v>-0.1792469806710333</v>
      </c>
      <c r="N129" t="n">
        <v>-0.8158171415426243</v>
      </c>
      <c r="O129" t="n">
        <v>3</v>
      </c>
      <c r="P129" t="n">
        <v>0.4935655334704711</v>
      </c>
      <c r="Q129" t="n">
        <v>0.341598223169592</v>
      </c>
      <c r="R129" t="n">
        <v>-0.008120069497647613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0.5177026218919916</v>
      </c>
      <c r="AJ129" t="n">
        <v>0.3333333333333333</v>
      </c>
    </row>
    <row r="130">
      <c r="A130" t="inlineStr">
        <is>
          <t>2021-09-27</t>
        </is>
      </c>
      <c r="B130" t="n">
        <v>1</v>
      </c>
      <c r="C130" t="n">
        <v>-0.3620934583041572</v>
      </c>
      <c r="D130" t="n">
        <v>-0.3769581971379735</v>
      </c>
      <c r="E130" t="n">
        <v>-0.8111468995577895</v>
      </c>
      <c r="F130" t="n">
        <v>-0.102442554932262</v>
      </c>
      <c r="G130" t="n">
        <v>0.6819442506585555</v>
      </c>
      <c r="H130" t="n">
        <v>0.5138089711747663</v>
      </c>
      <c r="I130" t="n">
        <v>1.873487243549924</v>
      </c>
      <c r="J130" t="n">
        <v>-0.5472838679214663</v>
      </c>
      <c r="K130" t="n">
        <v>0.1110118776958687</v>
      </c>
      <c r="L130" t="n">
        <v>1.167487706062419</v>
      </c>
      <c r="M130" t="n">
        <v>-0.3211726501161549</v>
      </c>
      <c r="N130" t="n">
        <v>-0.09128945379126065</v>
      </c>
      <c r="O130" t="n">
        <v>-0.3919251736543875</v>
      </c>
      <c r="P130" t="n">
        <v>-0.7154949663503113</v>
      </c>
      <c r="Q130" t="n">
        <v>-0.554234079817803</v>
      </c>
      <c r="R130" t="n">
        <v>0.07130053735932285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0.1078535327555013</v>
      </c>
      <c r="AJ130" t="n">
        <v>0</v>
      </c>
    </row>
    <row r="131">
      <c r="A131" t="inlineStr">
        <is>
          <t>2021-09-28</t>
        </is>
      </c>
      <c r="B131" t="n">
        <v>1</v>
      </c>
      <c r="C131" t="n">
        <v>-0.3570916629636022</v>
      </c>
      <c r="D131" t="n">
        <v>-0.3800225981117403</v>
      </c>
      <c r="E131" t="n">
        <v>-0.7986267247901285</v>
      </c>
      <c r="F131" t="n">
        <v>-0.09247694750756669</v>
      </c>
      <c r="G131" t="n">
        <v>0.6608163292115823</v>
      </c>
      <c r="H131" t="n">
        <v>0.5052740770646454</v>
      </c>
      <c r="I131" t="n">
        <v>0.3586127407587841</v>
      </c>
      <c r="J131" t="n">
        <v>0.1161297313896906</v>
      </c>
      <c r="K131" t="n">
        <v>-0.2140866544907724</v>
      </c>
      <c r="L131" t="n">
        <v>0.4667163092303227</v>
      </c>
      <c r="M131" t="n">
        <v>-0.292119369433812</v>
      </c>
      <c r="N131" t="n">
        <v>-0.4315667796325139</v>
      </c>
      <c r="O131" t="n">
        <v>-0.3091448781337892</v>
      </c>
      <c r="P131" t="n">
        <v>-0.5459797998765471</v>
      </c>
      <c r="Q131" t="n">
        <v>-0.5926014540924299</v>
      </c>
      <c r="R131" t="n">
        <v>-0.6387850901984835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inlineStr">
        <is>
          <t>2021-09-29</t>
        </is>
      </c>
      <c r="B132" t="n">
        <v>1</v>
      </c>
      <c r="C132" t="n">
        <v>0.03334668790391913</v>
      </c>
      <c r="D132" t="n">
        <v>-0.2524172018363479</v>
      </c>
      <c r="E132" t="n">
        <v>-0.8334598971339563</v>
      </c>
      <c r="F132" t="n">
        <v>0.0799083742447393</v>
      </c>
      <c r="G132" t="n">
        <v>1.295384381576329</v>
      </c>
      <c r="H132" t="n">
        <v>0.9450829898144887</v>
      </c>
      <c r="I132" t="n">
        <v>0.8817689357157189</v>
      </c>
      <c r="J132" t="n">
        <v>-0.062279764724389</v>
      </c>
      <c r="K132" t="n">
        <v>-0.8639783868616945</v>
      </c>
      <c r="L132" t="n">
        <v>-1.236445293067336</v>
      </c>
      <c r="M132" t="n">
        <v>0.5402147487693393</v>
      </c>
      <c r="N132" t="n">
        <v>0.03220491386006338</v>
      </c>
      <c r="O132" t="n">
        <v>1.201375981946789</v>
      </c>
      <c r="P132" t="n">
        <v>1.147089284591606</v>
      </c>
      <c r="Q132" t="n">
        <v>1.714526764371002</v>
      </c>
      <c r="R132" t="n">
        <v>1.322710824887767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0.6231490467878211</v>
      </c>
      <c r="AJ132" t="n">
        <v>0.3333333333333333</v>
      </c>
    </row>
    <row r="133">
      <c r="A133" t="inlineStr">
        <is>
          <t>2021-09-30</t>
        </is>
      </c>
      <c r="B133" t="n">
        <v>1</v>
      </c>
      <c r="C133" t="n">
        <v>-0.4223420036897936</v>
      </c>
      <c r="D133" t="n">
        <v>-0.3050742102509943</v>
      </c>
      <c r="E133" t="n">
        <v>-0.9105588945526377</v>
      </c>
      <c r="F133" t="n">
        <v>-0.271695403955761</v>
      </c>
      <c r="G133" t="n">
        <v>0.8305031561582862</v>
      </c>
      <c r="H133" t="n">
        <v>0.5604490834537317</v>
      </c>
      <c r="I133" t="n">
        <v>1.152153654254691</v>
      </c>
      <c r="J133" t="n">
        <v>-1.362007010956785</v>
      </c>
      <c r="K133" t="n">
        <v>1.194252485542087</v>
      </c>
      <c r="L133" t="n">
        <v>0.2082325895900992</v>
      </c>
      <c r="M133" t="n">
        <v>0.9070467367664139</v>
      </c>
      <c r="N133" t="n">
        <v>0.4022770538601216</v>
      </c>
      <c r="O133" t="n">
        <v>-0.351658753339127</v>
      </c>
      <c r="P133" t="n">
        <v>-0.06750598919025211</v>
      </c>
      <c r="Q133" t="n">
        <v>0.02559827020276566</v>
      </c>
      <c r="R133" t="n">
        <v>0.1533641434547621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inlineStr">
        <is>
          <t>2021-10-01</t>
        </is>
      </c>
      <c r="B134" t="n">
        <v>1</v>
      </c>
      <c r="C134" t="n">
        <v>0.3023422557644738</v>
      </c>
      <c r="D134" t="n">
        <v>-0.2622775694311584</v>
      </c>
      <c r="E134" t="n">
        <v>-0.849024507453889</v>
      </c>
      <c r="F134" t="n">
        <v>0.3486407742893597</v>
      </c>
      <c r="G134" t="n">
        <v>1.722925337065431</v>
      </c>
      <c r="H134" t="n">
        <v>1.238876490939544</v>
      </c>
      <c r="I134" t="n">
        <v>-1.03261043759226</v>
      </c>
      <c r="J134" t="n">
        <v>0.5948365680881645</v>
      </c>
      <c r="K134" t="n">
        <v>-0.9133725587995062</v>
      </c>
      <c r="L134" t="n">
        <v>-1.824888716204054</v>
      </c>
      <c r="M134" t="n">
        <v>0.1998847894910295</v>
      </c>
      <c r="N134" t="n">
        <v>-0.06272752849419948</v>
      </c>
      <c r="O134" t="n">
        <v>0.117771493358601</v>
      </c>
      <c r="P134" t="n">
        <v>-0.6658741763927769</v>
      </c>
      <c r="Q134" t="n">
        <v>-0.4562402370417333</v>
      </c>
      <c r="R134" t="n">
        <v>-0.1393426398640275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inlineStr">
        <is>
          <t>2021-10-05</t>
        </is>
      </c>
      <c r="B135" t="n">
        <v>1</v>
      </c>
      <c r="C135" t="n">
        <v>-0.3588268284138295</v>
      </c>
      <c r="D135" t="n">
        <v>-0.3329330660203955</v>
      </c>
      <c r="E135" t="n">
        <v>-0.7929466886619808</v>
      </c>
      <c r="F135" t="n">
        <v>-0.1684681153840599</v>
      </c>
      <c r="G135" t="n">
        <v>0.6457655709888315</v>
      </c>
      <c r="H135" t="n">
        <v>0.4972817551826103</v>
      </c>
      <c r="I135" t="n">
        <v>0.3562868937489478</v>
      </c>
      <c r="J135" t="n">
        <v>0.07453200789836317</v>
      </c>
      <c r="K135" t="n">
        <v>-0.3861973145793657</v>
      </c>
      <c r="L135" t="n">
        <v>-0.4835882922692189</v>
      </c>
      <c r="M135" t="n">
        <v>-1.404045937754409</v>
      </c>
      <c r="N135" t="n">
        <v>-0.413895372614188</v>
      </c>
      <c r="O135" t="n">
        <v>0.1962405107105491</v>
      </c>
      <c r="P135" t="n">
        <v>-0.4343420097486898</v>
      </c>
      <c r="Q135" t="n">
        <v>-0.3477696788566569</v>
      </c>
      <c r="R135" t="n">
        <v>0.6601527098901111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2021-10-06</t>
        </is>
      </c>
      <c r="B136" t="n">
        <v>1</v>
      </c>
      <c r="C136" t="n">
        <v>-0.6626209369714764</v>
      </c>
      <c r="D136" t="n">
        <v>-0.3979651408592242</v>
      </c>
      <c r="E136" t="n">
        <v>-0.7653777111903377</v>
      </c>
      <c r="F136" t="n">
        <v>-0.372802737587981</v>
      </c>
      <c r="G136" t="n">
        <v>0.1699273299014815</v>
      </c>
      <c r="H136" t="n">
        <v>0.1545641399133937</v>
      </c>
      <c r="I136" t="n">
        <v>0.5415963807902808</v>
      </c>
      <c r="J136" t="n">
        <v>0.1730113862367601</v>
      </c>
      <c r="K136" t="n">
        <v>-0.1643385667141344</v>
      </c>
      <c r="L136" t="n">
        <v>0.4680398768305929</v>
      </c>
      <c r="M136" t="n">
        <v>-0.8000009557199375</v>
      </c>
      <c r="N136" t="n">
        <v>-0.7420492913149612</v>
      </c>
      <c r="O136" t="n">
        <v>-0.2719748119853845</v>
      </c>
      <c r="P136" t="n">
        <v>-0.6060992220283744</v>
      </c>
      <c r="Q136" t="n">
        <v>-0.4757555487495667</v>
      </c>
      <c r="R136" t="n">
        <v>0.4927897742145259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inlineStr">
        <is>
          <t>2021-10-07</t>
        </is>
      </c>
      <c r="B137" t="n">
        <v>1</v>
      </c>
      <c r="C137" t="n">
        <v>-0.1962812860308569</v>
      </c>
      <c r="D137" t="n">
        <v>-0.1837206360683582</v>
      </c>
      <c r="E137" t="n">
        <v>-0.6336836287144156</v>
      </c>
      <c r="F137" t="n">
        <v>-0.2333876526599619</v>
      </c>
      <c r="G137" t="n">
        <v>0.5290776658024526</v>
      </c>
      <c r="H137" t="n">
        <v>0.4904981754536258</v>
      </c>
      <c r="I137" t="n">
        <v>0.9118834025836823</v>
      </c>
      <c r="J137" t="n">
        <v>-0.06765948474604597</v>
      </c>
      <c r="K137" t="n">
        <v>-0.1497664428833674</v>
      </c>
      <c r="L137" t="n">
        <v>0.1316982601018331</v>
      </c>
      <c r="M137" t="n">
        <v>-0.1079746375497218</v>
      </c>
      <c r="N137" t="n">
        <v>-0.180160192575284</v>
      </c>
      <c r="O137" t="n">
        <v>-0.3191853322512164</v>
      </c>
      <c r="P137" t="n">
        <v>-0.3351766071331188</v>
      </c>
      <c r="Q137" t="n">
        <v>-0.3009448500247113</v>
      </c>
      <c r="R137" t="n">
        <v>-0.2488136175062554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0.5184065579266401</v>
      </c>
      <c r="AJ137" t="n">
        <v>0.3333333333333333</v>
      </c>
    </row>
    <row r="138">
      <c r="A138" t="inlineStr">
        <is>
          <t>2021-10-11</t>
        </is>
      </c>
      <c r="B138" t="n">
        <v>1</v>
      </c>
      <c r="C138" t="n">
        <v>-0.5102829423778344</v>
      </c>
      <c r="D138" t="n">
        <v>-0.382501855762211</v>
      </c>
      <c r="E138" t="n">
        <v>-0.547097713572153</v>
      </c>
      <c r="F138" t="n">
        <v>-0.2423614110791543</v>
      </c>
      <c r="G138" t="n">
        <v>-0.01755395234274695</v>
      </c>
      <c r="H138" t="n">
        <v>0.07278614358532944</v>
      </c>
      <c r="I138" t="n">
        <v>0.5784079221076645</v>
      </c>
      <c r="J138" t="n">
        <v>-0.337654556412305</v>
      </c>
      <c r="K138" t="n">
        <v>-0.195204296298375</v>
      </c>
      <c r="L138" t="n">
        <v>0.08901240706001456</v>
      </c>
      <c r="M138" t="n">
        <v>-0.5433807480980417</v>
      </c>
      <c r="N138" t="n">
        <v>-0.3608811515592102</v>
      </c>
      <c r="O138" t="n">
        <v>-0.6633992775161811</v>
      </c>
      <c r="P138" t="n">
        <v>-0.5343916965065805</v>
      </c>
      <c r="Q138" t="n">
        <v>-0.3169163236426052</v>
      </c>
      <c r="R138" t="n">
        <v>-0.3794737791711527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0.02947872350935844</v>
      </c>
      <c r="AJ138" t="n">
        <v>0</v>
      </c>
    </row>
    <row r="139">
      <c r="A139" t="inlineStr">
        <is>
          <t>2021-10-12</t>
        </is>
      </c>
      <c r="B139" t="n">
        <v>1</v>
      </c>
      <c r="C139" t="n">
        <v>-0.4917966344153262</v>
      </c>
      <c r="D139" t="n">
        <v>-0.3593095360597692</v>
      </c>
      <c r="E139" t="n">
        <v>-0.5448710369492153</v>
      </c>
      <c r="F139" t="n">
        <v>-0.2592055928469234</v>
      </c>
      <c r="G139" t="n">
        <v>0.001378595188177976</v>
      </c>
      <c r="H139" t="n">
        <v>0.08937455716800959</v>
      </c>
      <c r="I139" t="n">
        <v>0.3577312438665891</v>
      </c>
      <c r="J139" t="n">
        <v>0.9238042300385528</v>
      </c>
      <c r="K139" t="n">
        <v>-0.267715525700772</v>
      </c>
      <c r="L139" t="n">
        <v>-0.335850755036474</v>
      </c>
      <c r="M139" t="n">
        <v>0.06284045382064987</v>
      </c>
      <c r="N139" t="n">
        <v>-0.8692423255515165</v>
      </c>
      <c r="O139" t="n">
        <v>0.5750217635192622</v>
      </c>
      <c r="P139" t="n">
        <v>1.120707963066487</v>
      </c>
      <c r="Q139" t="n">
        <v>1.879136849972876</v>
      </c>
      <c r="R139" t="n">
        <v>0.5192562315143305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0.05809111269325513</v>
      </c>
      <c r="AJ139" t="n">
        <v>0.3333333333333333</v>
      </c>
    </row>
    <row r="140">
      <c r="A140" t="inlineStr">
        <is>
          <t>2021-10-13</t>
        </is>
      </c>
      <c r="B140" t="n">
        <v>1</v>
      </c>
      <c r="C140" t="n">
        <v>-0.5946314001662774</v>
      </c>
      <c r="D140" t="n">
        <v>-0.447919632747113</v>
      </c>
      <c r="E140" t="n">
        <v>-0.5448745796914287</v>
      </c>
      <c r="F140" t="n">
        <v>-0.2259600800181285</v>
      </c>
      <c r="G140" t="n">
        <v>-0.1239447585278245</v>
      </c>
      <c r="H140" t="n">
        <v>-0.01643422425940574</v>
      </c>
      <c r="I140" t="n">
        <v>0.2415434842247932</v>
      </c>
      <c r="J140" t="n">
        <v>-0.3285597347307119</v>
      </c>
      <c r="K140" t="n">
        <v>0.1274376890694674</v>
      </c>
      <c r="L140" t="n">
        <v>0.9156221967616013</v>
      </c>
      <c r="M140" t="n">
        <v>0.1749213509709357</v>
      </c>
      <c r="N140" t="n">
        <v>-0.4514984828973694</v>
      </c>
      <c r="O140" t="n">
        <v>-0.7395142217892799</v>
      </c>
      <c r="P140" t="n">
        <v>-0.6472612439347006</v>
      </c>
      <c r="Q140" t="n">
        <v>-0.5296626927925643</v>
      </c>
      <c r="R140" t="n">
        <v>1.228951994159582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2021-10-19</t>
        </is>
      </c>
      <c r="B141" t="n">
        <v>1</v>
      </c>
      <c r="C141" t="n">
        <v>-0.5256614860558344</v>
      </c>
      <c r="D141" t="n">
        <v>-0.6386164339692292</v>
      </c>
      <c r="E141" t="n">
        <v>-0.4467667949498754</v>
      </c>
      <c r="F141" t="n">
        <v>0.2007188617722182</v>
      </c>
      <c r="G141" t="n">
        <v>-0.1900099851357446</v>
      </c>
      <c r="H141" t="n">
        <v>-0.05267522734638178</v>
      </c>
      <c r="I141" t="n">
        <v>-1.204940520262997</v>
      </c>
      <c r="J141" t="n">
        <v>-0.3702024002404249</v>
      </c>
      <c r="K141" t="n">
        <v>0.2250507402268604</v>
      </c>
      <c r="L141" t="n">
        <v>0.924662980381468</v>
      </c>
      <c r="M141" t="n">
        <v>0.2817684658138548</v>
      </c>
      <c r="N141" t="n">
        <v>-0.3598537441744234</v>
      </c>
      <c r="O141" t="n">
        <v>-0.5995961728397801</v>
      </c>
      <c r="P141" t="n">
        <v>-0.4851285419880626</v>
      </c>
      <c r="Q141" t="n">
        <v>-0.4986971452343339</v>
      </c>
      <c r="R141" t="n">
        <v>-0.169245694264317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inlineStr">
        <is>
          <t>2021-10-20</t>
        </is>
      </c>
      <c r="B142" t="n">
        <v>1</v>
      </c>
      <c r="C142" t="n">
        <v>0.0576375920683884</v>
      </c>
      <c r="D142" t="n">
        <v>-0.5659298308360774</v>
      </c>
      <c r="E142" t="n">
        <v>-0.6256911276889857</v>
      </c>
      <c r="F142" t="n">
        <v>0.7100865584847246</v>
      </c>
      <c r="G142" t="n">
        <v>0.8357418733547834</v>
      </c>
      <c r="H142" t="n">
        <v>0.7430361552751569</v>
      </c>
      <c r="I142" t="n">
        <v>-0.3171970224674248</v>
      </c>
      <c r="J142" t="n">
        <v>-0.5025178482696123</v>
      </c>
      <c r="K142" t="n">
        <v>-0.3496230688743117</v>
      </c>
      <c r="L142" t="n">
        <v>0.1614100985659506</v>
      </c>
      <c r="M142" t="n">
        <v>1.490084202471208</v>
      </c>
      <c r="N142" t="n">
        <v>0.3248105370472278</v>
      </c>
      <c r="O142" t="n">
        <v>-0.004642322050502859</v>
      </c>
      <c r="P142" t="n">
        <v>-0.1552329419223251</v>
      </c>
      <c r="Q142" t="n">
        <v>-0.05117691301211462</v>
      </c>
      <c r="R142" t="n">
        <v>-0.1484265598054336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0.4168287318995862</v>
      </c>
      <c r="AJ142" t="n">
        <v>0.3333333333333333</v>
      </c>
    </row>
    <row r="143">
      <c r="A143" t="inlineStr">
        <is>
          <t>2021-10-21</t>
        </is>
      </c>
      <c r="B143" t="n">
        <v>1</v>
      </c>
      <c r="C143" t="n">
        <v>-0.6081674558514525</v>
      </c>
      <c r="D143" t="n">
        <v>-0.3594233361355387</v>
      </c>
      <c r="E143" t="n">
        <v>-0.5745552980571574</v>
      </c>
      <c r="F143" t="n">
        <v>-0.3744244771069642</v>
      </c>
      <c r="G143" t="n">
        <v>-0.09360735903455059</v>
      </c>
      <c r="H143" t="n">
        <v>0.002071609849978199</v>
      </c>
      <c r="I143" t="n">
        <v>0.5392510602622589</v>
      </c>
      <c r="J143" t="n">
        <v>-1.309363183552173</v>
      </c>
      <c r="K143" t="n">
        <v>1.956234620968957</v>
      </c>
      <c r="L143" t="n">
        <v>0.6552256707306509</v>
      </c>
      <c r="M143" t="n">
        <v>0.1485598397861027</v>
      </c>
      <c r="N143" t="n">
        <v>0.1277538006451981</v>
      </c>
      <c r="O143" t="n">
        <v>-0.5459351632227561</v>
      </c>
      <c r="P143" t="n">
        <v>-0.09309534042622196</v>
      </c>
      <c r="Q143" t="n">
        <v>0.01178289485246523</v>
      </c>
      <c r="R143" t="n">
        <v>-0.5381212839044329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inlineStr">
        <is>
          <t>2021-10-25</t>
        </is>
      </c>
      <c r="B144" t="n">
        <v>1</v>
      </c>
      <c r="C144" t="n">
        <v>0.136803500760322</v>
      </c>
      <c r="D144" t="n">
        <v>-0.5561620106085543</v>
      </c>
      <c r="E144" t="n">
        <v>-0.6873806060703338</v>
      </c>
      <c r="F144" t="n">
        <v>0.7758206800571118</v>
      </c>
      <c r="G144" t="n">
        <v>1.074858487057229</v>
      </c>
      <c r="H144" t="n">
        <v>0.8919062699977247</v>
      </c>
      <c r="I144" t="n">
        <v>-0.0918719188766042</v>
      </c>
      <c r="J144" t="n">
        <v>-0.6353973183818117</v>
      </c>
      <c r="K144" t="n">
        <v>-0.364881845392173</v>
      </c>
      <c r="L144" t="n">
        <v>0.4856757999988842</v>
      </c>
      <c r="M144" t="n">
        <v>-0.4050233239492337</v>
      </c>
      <c r="N144" t="n">
        <v>0.5009081627996153</v>
      </c>
      <c r="O144" t="n">
        <v>-0.03659034051115317</v>
      </c>
      <c r="P144" t="n">
        <v>-0.3353529788493967</v>
      </c>
      <c r="Q144" t="n">
        <v>-0.05465207068966041</v>
      </c>
      <c r="R144" t="n">
        <v>-0.1248777248718939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0.5118373881058991</v>
      </c>
      <c r="AJ144" t="n">
        <v>0.3333333333333333</v>
      </c>
    </row>
    <row r="145">
      <c r="A145" t="inlineStr">
        <is>
          <t>2021-10-26</t>
        </is>
      </c>
      <c r="B145" t="n">
        <v>1</v>
      </c>
      <c r="C145" t="n">
        <v>0.09171567665537241</v>
      </c>
      <c r="D145" t="n">
        <v>-0.5765602680530597</v>
      </c>
      <c r="E145" t="n">
        <v>-0.6870339370249611</v>
      </c>
      <c r="F145" t="n">
        <v>0.773498230299019</v>
      </c>
      <c r="G145" t="n">
        <v>1.014939666750873</v>
      </c>
      <c r="H145" t="n">
        <v>0.8451339679512402</v>
      </c>
      <c r="I145" t="n">
        <v>-1.290671714869165</v>
      </c>
      <c r="J145" t="n">
        <v>-1.102870603421629</v>
      </c>
      <c r="K145" t="n">
        <v>-0.08397794425787586</v>
      </c>
      <c r="L145" t="n">
        <v>0.5901466228792434</v>
      </c>
      <c r="M145" t="n">
        <v>0.3078211723444857</v>
      </c>
      <c r="N145" t="n">
        <v>0.8163222299290375</v>
      </c>
      <c r="O145" t="n">
        <v>-0.5797632181982918</v>
      </c>
      <c r="P145" t="n">
        <v>-0.6419072592025089</v>
      </c>
      <c r="Q145" t="n">
        <v>-0.506203628029422</v>
      </c>
      <c r="R145" t="n">
        <v>-0.326505571163973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0.9568143994594478</v>
      </c>
      <c r="AJ145" t="n">
        <v>0.6666666666666666</v>
      </c>
    </row>
    <row r="146">
      <c r="A146" t="inlineStr">
        <is>
          <t>2021-10-27</t>
        </is>
      </c>
      <c r="B146" t="n">
        <v>1</v>
      </c>
      <c r="C146" t="n">
        <v>-0.2191394785289284</v>
      </c>
      <c r="D146" t="n">
        <v>-0.4687554634869229</v>
      </c>
      <c r="E146" t="n">
        <v>-0.6134157170408582</v>
      </c>
      <c r="F146" t="n">
        <v>0.2047650447680396</v>
      </c>
      <c r="G146" t="n">
        <v>0.4606609234797421</v>
      </c>
      <c r="H146" t="n">
        <v>0.444830116750885</v>
      </c>
      <c r="I146" t="n">
        <v>0.08884849697084751</v>
      </c>
      <c r="J146" t="n">
        <v>-0.3454640628371097</v>
      </c>
      <c r="K146" t="n">
        <v>-0.2729711560089803</v>
      </c>
      <c r="L146" t="n">
        <v>0.3538029982807406</v>
      </c>
      <c r="M146" t="n">
        <v>-1.130271141038998</v>
      </c>
      <c r="N146" t="n">
        <v>-0.05923434338592567</v>
      </c>
      <c r="O146" t="n">
        <v>0.7397129328956091</v>
      </c>
      <c r="P146" t="n">
        <v>0.5370437611100608</v>
      </c>
      <c r="Q146" t="n">
        <v>0.3123192178609751</v>
      </c>
      <c r="R146" t="n">
        <v>-0.4305787521562794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0.7872886898117698</v>
      </c>
      <c r="AJ146" t="n">
        <v>0</v>
      </c>
    </row>
    <row r="147">
      <c r="A147" t="inlineStr">
        <is>
          <t>2021-10-28</t>
        </is>
      </c>
      <c r="B147" t="n">
        <v>1</v>
      </c>
      <c r="C147" t="n">
        <v>-0.08749425864528447</v>
      </c>
      <c r="D147" t="n">
        <v>-0.3806370385822814</v>
      </c>
      <c r="E147" t="n">
        <v>-0.6233488748655287</v>
      </c>
      <c r="F147" t="n">
        <v>0.1790873313446581</v>
      </c>
      <c r="G147" t="n">
        <v>0.6467399151276775</v>
      </c>
      <c r="H147" t="n">
        <v>0.5911420619838272</v>
      </c>
      <c r="I147" t="n">
        <v>-0.05911811337963815</v>
      </c>
      <c r="J147" t="n">
        <v>-0.1319818129342106</v>
      </c>
      <c r="K147" t="n">
        <v>0.1835310278716129</v>
      </c>
      <c r="L147" t="n">
        <v>-0.4278625173741743</v>
      </c>
      <c r="M147" t="n">
        <v>1.072073949046521</v>
      </c>
      <c r="N147" t="n">
        <v>-0.0471109362454461</v>
      </c>
      <c r="O147" t="n">
        <v>0.9433071105410649</v>
      </c>
      <c r="P147" t="n">
        <v>0.2024691206507419</v>
      </c>
      <c r="Q147" t="n">
        <v>-0.4580841513263111</v>
      </c>
      <c r="R147" t="n">
        <v>2.783004912577513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0.4454238236475855</v>
      </c>
      <c r="AJ147" t="n">
        <v>0</v>
      </c>
    </row>
    <row r="148">
      <c r="A148" t="inlineStr">
        <is>
          <t>2021-10-29</t>
        </is>
      </c>
      <c r="B148" t="n">
        <v>1</v>
      </c>
      <c r="C148" t="n">
        <v>0.8902090104231991</v>
      </c>
      <c r="D148" t="n">
        <v>0.01783221100530729</v>
      </c>
      <c r="E148" t="n">
        <v>-0.2692751566104263</v>
      </c>
      <c r="F148" t="n">
        <v>0.4018559837802395</v>
      </c>
      <c r="G148" t="n">
        <v>1.089281394944104</v>
      </c>
      <c r="H148" t="n">
        <v>1.210240465642004</v>
      </c>
      <c r="I148" t="n">
        <v>0.7779594277478743</v>
      </c>
      <c r="J148" t="n">
        <v>1.209734031902344</v>
      </c>
      <c r="K148" t="n">
        <v>-1.035324228757572</v>
      </c>
      <c r="L148" t="n">
        <v>-1.314487015611001</v>
      </c>
      <c r="M148" t="n">
        <v>1.211888678508356</v>
      </c>
      <c r="N148" t="n">
        <v>0.1306305413225995</v>
      </c>
      <c r="O148" t="n">
        <v>0.6171336150090236</v>
      </c>
      <c r="P148" t="n">
        <v>-0.4533788266094951</v>
      </c>
      <c r="Q148" t="n">
        <v>-0.4036524911964285</v>
      </c>
      <c r="R148" t="n">
        <v>-0.9727660098605466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0.298285990659806</v>
      </c>
      <c r="AJ148" t="n">
        <v>0</v>
      </c>
    </row>
    <row r="149">
      <c r="A149" t="inlineStr">
        <is>
          <t>2021-11-02</t>
        </is>
      </c>
      <c r="B149" t="n">
        <v>1</v>
      </c>
      <c r="C149" t="n">
        <v>-0.06359098655901514</v>
      </c>
      <c r="D149" t="n">
        <v>0.2203611562200731</v>
      </c>
      <c r="E149" t="n">
        <v>-0.02261642345543583</v>
      </c>
      <c r="F149" t="n">
        <v>-0.5974869715200806</v>
      </c>
      <c r="G149" t="n">
        <v>-0.2582334550696314</v>
      </c>
      <c r="H149" t="n">
        <v>-0.04071815695906623</v>
      </c>
      <c r="I149" t="n">
        <v>1.700991216303579</v>
      </c>
      <c r="J149" t="n">
        <v>-1.127195716350347</v>
      </c>
      <c r="K149" t="n">
        <v>0.2474147253426925</v>
      </c>
      <c r="L149" t="n">
        <v>0.3330018748113197</v>
      </c>
      <c r="M149" t="n">
        <v>-1.589834084947595</v>
      </c>
      <c r="N149" t="n">
        <v>0.6511151224553859</v>
      </c>
      <c r="O149" t="n">
        <v>-0.2083157202269541</v>
      </c>
      <c r="P149" t="n">
        <v>-0.1587203541298244</v>
      </c>
      <c r="Q149" t="n">
        <v>0.13632726481786</v>
      </c>
      <c r="R149" t="n">
        <v>-0.02600692631702942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0.8239131268195221</v>
      </c>
      <c r="AJ149" t="n">
        <v>0.3333333333333333</v>
      </c>
    </row>
    <row r="150">
      <c r="A150" t="inlineStr">
        <is>
          <t>2021-11-03</t>
        </is>
      </c>
      <c r="B150" t="n">
        <v>1</v>
      </c>
      <c r="C150" t="n">
        <v>-0.5612032524244345</v>
      </c>
      <c r="D150" t="n">
        <v>0.2229113740631865</v>
      </c>
      <c r="E150" t="n">
        <v>-0.06455829848520282</v>
      </c>
      <c r="F150" t="n">
        <v>-0.9712963676219535</v>
      </c>
      <c r="G150" t="n">
        <v>-0.6974122501144698</v>
      </c>
      <c r="H150" t="n">
        <v>-0.5069079149824848</v>
      </c>
      <c r="I150" t="n">
        <v>1.307982958987684</v>
      </c>
      <c r="J150" t="n">
        <v>-1.238383555750958</v>
      </c>
      <c r="K150" t="n">
        <v>1.899056340724342</v>
      </c>
      <c r="L150" t="n">
        <v>0.8878513765090027</v>
      </c>
      <c r="M150" t="n">
        <v>0.07810587832320999</v>
      </c>
      <c r="N150" t="n">
        <v>0.1337127634769589</v>
      </c>
      <c r="O150" t="n">
        <v>-0.4842594857196612</v>
      </c>
      <c r="P150" t="n">
        <v>-0.3594206961298127</v>
      </c>
      <c r="Q150" t="n">
        <v>-0.4646093396569072</v>
      </c>
      <c r="R150" t="n">
        <v>0.6224310737674105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0.4511929494051886</v>
      </c>
      <c r="AJ150" t="n">
        <v>0</v>
      </c>
    </row>
    <row r="151">
      <c r="A151" t="inlineStr">
        <is>
          <t>2021-11-08</t>
        </is>
      </c>
      <c r="B151" t="n">
        <v>1</v>
      </c>
      <c r="C151" t="n">
        <v>-0.2000692512063653</v>
      </c>
      <c r="D151" t="n">
        <v>0.2302266604886887</v>
      </c>
      <c r="E151" t="n">
        <v>-0.1686927207129974</v>
      </c>
      <c r="F151" t="n">
        <v>-0.7087416953676153</v>
      </c>
      <c r="G151" t="n">
        <v>-0.2141908406458452</v>
      </c>
      <c r="H151" t="n">
        <v>-0.02152239496547274</v>
      </c>
      <c r="I151" t="n">
        <v>0.7495828411675126</v>
      </c>
      <c r="J151" t="n">
        <v>2.296792390827175</v>
      </c>
      <c r="K151" t="n">
        <v>-0.21990220396674</v>
      </c>
      <c r="L151" t="n">
        <v>0.8234150252357264</v>
      </c>
      <c r="M151" t="n">
        <v>-0.3991076575229817</v>
      </c>
      <c r="N151" t="n">
        <v>-1.053764691859153</v>
      </c>
      <c r="O151" t="n">
        <v>-0.3171148937254398</v>
      </c>
      <c r="P151" t="n">
        <v>-0.02712677990839673</v>
      </c>
      <c r="Q151" t="n">
        <v>0.3070652557569563</v>
      </c>
      <c r="R151" t="n">
        <v>-0.2207812488490802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0.6509544342565096</v>
      </c>
      <c r="AJ151" t="n">
        <v>0.3333333333333333</v>
      </c>
    </row>
    <row r="152">
      <c r="A152" t="inlineStr">
        <is>
          <t>2021-11-09</t>
        </is>
      </c>
      <c r="B152" t="n">
        <v>1</v>
      </c>
      <c r="C152" t="n">
        <v>-0.3067994016120064</v>
      </c>
      <c r="D152" t="n">
        <v>0.4051257221917466</v>
      </c>
      <c r="E152" t="n">
        <v>-0.1547634746219098</v>
      </c>
      <c r="F152" t="n">
        <v>-0.9357307249728982</v>
      </c>
      <c r="G152" t="n">
        <v>-0.3409184747313841</v>
      </c>
      <c r="H152" t="n">
        <v>-0.146564541326079</v>
      </c>
      <c r="I152" t="n">
        <v>0.2147830045841151</v>
      </c>
      <c r="J152" t="n">
        <v>-0.764022348227232</v>
      </c>
      <c r="K152" t="n">
        <v>-0.5427359649420449</v>
      </c>
      <c r="L152" t="n">
        <v>-0.1654865326611812</v>
      </c>
      <c r="M152" t="n">
        <v>-0.6632873354565062</v>
      </c>
      <c r="N152" t="n">
        <v>0.103096023410324</v>
      </c>
      <c r="O152" t="n">
        <v>-0.2260830885963439</v>
      </c>
      <c r="P152" t="n">
        <v>-0.3351766071331188</v>
      </c>
      <c r="Q152" t="n">
        <v>-0.4369003859403587</v>
      </c>
      <c r="R152" t="n">
        <v>-0.8836656672192957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0.7745531512114939</v>
      </c>
      <c r="AJ152" t="n">
        <v>0.6666666666666666</v>
      </c>
    </row>
    <row r="153">
      <c r="A153" t="inlineStr">
        <is>
          <t>2021-11-10</t>
        </is>
      </c>
      <c r="B153" t="n">
        <v>1</v>
      </c>
      <c r="C153" t="n">
        <v>-0.1959818156859704</v>
      </c>
      <c r="D153" t="n">
        <v>0.4090192164078744</v>
      </c>
      <c r="E153" t="n">
        <v>-0.1654528385554072</v>
      </c>
      <c r="F153" t="n">
        <v>-0.8621621744505508</v>
      </c>
      <c r="G153" t="n">
        <v>-0.2141380014885205</v>
      </c>
      <c r="H153" t="n">
        <v>-0.02085700535700099</v>
      </c>
      <c r="I153" t="n">
        <v>-0.4971046829726229</v>
      </c>
      <c r="J153" t="n">
        <v>0.3593227633924923</v>
      </c>
      <c r="K153" t="n">
        <v>-0.3891517917671284</v>
      </c>
      <c r="L153" t="n">
        <v>-1.131153596908803</v>
      </c>
      <c r="M153" t="n">
        <v>0.5988088642939737</v>
      </c>
      <c r="N153" t="n">
        <v>-0.3937581878723746</v>
      </c>
      <c r="O153" t="n">
        <v>-0.2650692154382683</v>
      </c>
      <c r="P153" t="n">
        <v>-0.5902985335705973</v>
      </c>
      <c r="Q153" t="n">
        <v>-0.415416411691324</v>
      </c>
      <c r="R153" t="n">
        <v>-0.1667321024810535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0.5741114853304256</v>
      </c>
      <c r="AJ153" t="n">
        <v>0</v>
      </c>
    </row>
    <row r="154">
      <c r="A154" t="inlineStr">
        <is>
          <t>2021-11-11</t>
        </is>
      </c>
      <c r="B154" t="n">
        <v>1</v>
      </c>
      <c r="C154" t="n">
        <v>-0.5604392853777828</v>
      </c>
      <c r="D154" t="n">
        <v>0.2628069673675747</v>
      </c>
      <c r="E154" t="n">
        <v>-0.1730540759787315</v>
      </c>
      <c r="F154" t="n">
        <v>-1.003353070386345</v>
      </c>
      <c r="G154" t="n">
        <v>-0.5794704569205844</v>
      </c>
      <c r="H154" t="n">
        <v>-0.3875621077912251</v>
      </c>
      <c r="I154" t="n">
        <v>-0.6214497120450961</v>
      </c>
      <c r="J154" t="n">
        <v>-0.9459557034648469</v>
      </c>
      <c r="K154" t="n">
        <v>1.512778938410206</v>
      </c>
      <c r="L154" t="n">
        <v>-0.5201945845175363</v>
      </c>
      <c r="M154" t="n">
        <v>0.812903979120474</v>
      </c>
      <c r="N154" t="n">
        <v>-0.0658097506485583</v>
      </c>
      <c r="O154" t="n">
        <v>-0.4514186707323322</v>
      </c>
      <c r="P154" t="n">
        <v>-0.4680605849442075</v>
      </c>
      <c r="Q154" t="n">
        <v>-0.427355977861514</v>
      </c>
      <c r="R154" t="n">
        <v>1.021089492370607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0.5242068164025052</v>
      </c>
      <c r="AJ154" t="n">
        <v>0</v>
      </c>
    </row>
    <row r="155">
      <c r="A155" t="inlineStr">
        <is>
          <t>2021-11-16</t>
        </is>
      </c>
      <c r="B155" t="n">
        <v>1</v>
      </c>
      <c r="C155" t="n">
        <v>-0.2689046591038812</v>
      </c>
      <c r="D155" t="n">
        <v>-0.1997135319876601</v>
      </c>
      <c r="E155" t="n">
        <v>-0.1641938333480123</v>
      </c>
      <c r="F155" t="n">
        <v>-0.2771164959593182</v>
      </c>
      <c r="G155" t="n">
        <v>-0.2905166703980598</v>
      </c>
      <c r="H155" t="n">
        <v>-0.09726733601821906</v>
      </c>
      <c r="I155" t="n">
        <v>-0.1312358569380953</v>
      </c>
      <c r="J155" t="n">
        <v>-0.1322173875316571</v>
      </c>
      <c r="K155" t="n">
        <v>-0.7301491547012103</v>
      </c>
      <c r="L155" t="n">
        <v>-0.2101323576180893</v>
      </c>
      <c r="M155" t="n">
        <v>0.2087644413836873</v>
      </c>
      <c r="N155" t="n">
        <v>-0.2252633767674067</v>
      </c>
      <c r="O155" t="n">
        <v>1.0301213030606</v>
      </c>
      <c r="P155" t="n">
        <v>3</v>
      </c>
      <c r="Q155" t="n">
        <v>3</v>
      </c>
      <c r="R155" t="n">
        <v>1.709534021203374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0.501023543081986</v>
      </c>
      <c r="AJ155" t="n">
        <v>0</v>
      </c>
    </row>
    <row r="156">
      <c r="A156" t="inlineStr">
        <is>
          <t>2021-11-17</t>
        </is>
      </c>
      <c r="B156" t="n">
        <v>1</v>
      </c>
      <c r="C156" t="n">
        <v>-0.3778716372394621</v>
      </c>
      <c r="D156" t="n">
        <v>-0.429927439273639</v>
      </c>
      <c r="E156" t="n">
        <v>-0.2002017767609589</v>
      </c>
      <c r="F156" t="n">
        <v>-0.03070555716131003</v>
      </c>
      <c r="G156" t="n">
        <v>-0.3584178301125289</v>
      </c>
      <c r="H156" t="n">
        <v>-0.1700417801136332</v>
      </c>
      <c r="I156" t="n">
        <v>0.1294034296789802</v>
      </c>
      <c r="J156" t="n">
        <v>0.2809786684006851</v>
      </c>
      <c r="K156" t="n">
        <v>-0.07246158221919748</v>
      </c>
      <c r="L156" t="n">
        <v>-0.8630846545344486</v>
      </c>
      <c r="M156" t="n">
        <v>0.5364319273845997</v>
      </c>
      <c r="N156" t="n">
        <v>-0.5244444072172036</v>
      </c>
      <c r="O156" t="n">
        <v>-0.6575579450893769</v>
      </c>
      <c r="P156" t="n">
        <v>-0.449242420531901</v>
      </c>
      <c r="Q156" t="n">
        <v>-0.5295695469136439</v>
      </c>
      <c r="R156" t="n">
        <v>0.205715247638497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0.2421341467854351</v>
      </c>
      <c r="AJ156" t="n">
        <v>0</v>
      </c>
    </row>
    <row r="157">
      <c r="A157" t="inlineStr">
        <is>
          <t>2021-11-18</t>
        </is>
      </c>
      <c r="B157" t="n">
        <v>1</v>
      </c>
      <c r="C157" t="n">
        <v>-0.7074874083323185</v>
      </c>
      <c r="D157" t="n">
        <v>-0.4059389283815966</v>
      </c>
      <c r="E157" t="n">
        <v>-0.1861653380129545</v>
      </c>
      <c r="F157" t="n">
        <v>-0.4066749404998397</v>
      </c>
      <c r="G157" t="n">
        <v>-0.7167517568366786</v>
      </c>
      <c r="H157" t="n">
        <v>-0.5245410001184747</v>
      </c>
      <c r="I157" t="n">
        <v>0.2170810092244989</v>
      </c>
      <c r="J157" t="n">
        <v>-1.025512585773439</v>
      </c>
      <c r="K157" t="n">
        <v>0.9113218819580469</v>
      </c>
      <c r="L157" t="n">
        <v>0.1936750472405603</v>
      </c>
      <c r="M157" t="n">
        <v>-0.0213314440417299</v>
      </c>
      <c r="N157" t="n">
        <v>-0.1862218961455235</v>
      </c>
      <c r="O157" t="n">
        <v>-0.2849363309056754</v>
      </c>
      <c r="P157" t="n">
        <v>0.05227019122480111</v>
      </c>
      <c r="Q157" t="n">
        <v>-0.5929894764160821</v>
      </c>
      <c r="R157" t="n">
        <v>0.7677966871716603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inlineStr">
        <is>
          <t>2021-11-22</t>
        </is>
      </c>
      <c r="B158" t="n">
        <v>1</v>
      </c>
      <c r="C158" t="n">
        <v>0.1894289683093852</v>
      </c>
      <c r="D158" t="n">
        <v>-0.3555122290672215</v>
      </c>
      <c r="E158" t="n">
        <v>-0.1942690733372289</v>
      </c>
      <c r="F158" t="n">
        <v>0.4090809837098784</v>
      </c>
      <c r="G158" t="n">
        <v>0.2233295730221194</v>
      </c>
      <c r="H158" t="n">
        <v>0.407203690784464</v>
      </c>
      <c r="I158" t="n">
        <v>0.1839035911461916</v>
      </c>
      <c r="J158" t="n">
        <v>0.042833297402678</v>
      </c>
      <c r="K158" t="n">
        <v>-1.186959936088103</v>
      </c>
      <c r="L158" t="n">
        <v>-0.5371356227667199</v>
      </c>
      <c r="M158" t="n">
        <v>-0.9890976749920364</v>
      </c>
      <c r="N158" t="n">
        <v>0.123233208152138</v>
      </c>
      <c r="O158" t="n">
        <v>0.3299962916503941</v>
      </c>
      <c r="P158" t="n">
        <v>-0.413932161820436</v>
      </c>
      <c r="Q158" t="n">
        <v>-0.2505711555607107</v>
      </c>
      <c r="R158" t="n">
        <v>1.581084276339419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0.4927070134331371</v>
      </c>
      <c r="AJ158" t="n">
        <v>0.3333333333333333</v>
      </c>
    </row>
    <row r="159">
      <c r="A159" t="inlineStr">
        <is>
          <t>2021-11-23</t>
        </is>
      </c>
      <c r="B159" t="n">
        <v>1</v>
      </c>
      <c r="C159" t="n">
        <v>0.4981267285666585</v>
      </c>
      <c r="D159" t="n">
        <v>0.1655083145600442</v>
      </c>
      <c r="E159" t="n">
        <v>0.07196649626242707</v>
      </c>
      <c r="F159" t="n">
        <v>-0.1122093272465693</v>
      </c>
      <c r="G159" t="n">
        <v>0.1576988449984083</v>
      </c>
      <c r="H159" t="n">
        <v>0.4339094490181142</v>
      </c>
      <c r="I159" t="n">
        <v>-0.2806079102299965</v>
      </c>
      <c r="J159" t="n">
        <v>-0.7401496899775595</v>
      </c>
      <c r="K159" t="n">
        <v>-0.8903871205040876</v>
      </c>
      <c r="L159" t="n">
        <v>-1.34262744318388</v>
      </c>
      <c r="M159" t="n">
        <v>1.392896671393302</v>
      </c>
      <c r="N159" t="n">
        <v>0.9765977819557147</v>
      </c>
      <c r="O159" t="n">
        <v>0.3219903456586959</v>
      </c>
      <c r="P159" t="n">
        <v>-0.5751989618386337</v>
      </c>
      <c r="Q159" t="n">
        <v>-0.2617102407145271</v>
      </c>
      <c r="R159" t="n">
        <v>-0.6059054869743666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0.8173956960364497</v>
      </c>
      <c r="AJ159" t="n">
        <v>0.6666666666666666</v>
      </c>
    </row>
    <row r="160">
      <c r="A160" t="inlineStr">
        <is>
          <t>2021-11-24</t>
        </is>
      </c>
      <c r="B160" t="n">
        <v>1</v>
      </c>
      <c r="C160" t="n">
        <v>-0.1626631086948029</v>
      </c>
      <c r="D160" t="n">
        <v>-0.03832790500652677</v>
      </c>
      <c r="E160" t="n">
        <v>0.09804652436079114</v>
      </c>
      <c r="F160" t="n">
        <v>-0.392454845498654</v>
      </c>
      <c r="G160" t="n">
        <v>-0.4867392803450499</v>
      </c>
      <c r="H160" t="n">
        <v>-0.2745147073987482</v>
      </c>
      <c r="I160" t="n">
        <v>-0.07649307756395071</v>
      </c>
      <c r="J160" t="n">
        <v>-1.931948368541461</v>
      </c>
      <c r="K160" t="n">
        <v>-0.1728243744729189</v>
      </c>
      <c r="L160" t="n">
        <v>0.5913236865041737</v>
      </c>
      <c r="M160" t="n">
        <v>-0.8426283894542185</v>
      </c>
      <c r="N160" t="n">
        <v>1.316464144843053</v>
      </c>
      <c r="O160" t="n">
        <v>-0.3893979168129389</v>
      </c>
      <c r="P160" t="n">
        <v>-0.4347972069513097</v>
      </c>
      <c r="Q160" t="n">
        <v>-0.3815896760539705</v>
      </c>
      <c r="R160" t="n">
        <v>0.8216482326303651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0.6268188555464197</v>
      </c>
      <c r="AJ160" t="n">
        <v>0</v>
      </c>
    </row>
    <row r="161">
      <c r="A161" t="inlineStr">
        <is>
          <t>2021-11-25</t>
        </is>
      </c>
      <c r="B161" t="n">
        <v>1</v>
      </c>
      <c r="C161" t="n">
        <v>-0.1161197226058674</v>
      </c>
      <c r="D161" t="n">
        <v>-0.03594974157737328</v>
      </c>
      <c r="E161" t="n">
        <v>0.1022284743521013</v>
      </c>
      <c r="F161" t="n">
        <v>-0.3563130192358247</v>
      </c>
      <c r="G161" t="n">
        <v>-0.4481668343926217</v>
      </c>
      <c r="H161" t="n">
        <v>-0.2311933816044576</v>
      </c>
      <c r="I161" t="n">
        <v>-0.06670220466998075</v>
      </c>
      <c r="J161" t="n">
        <v>0.1499425335974329</v>
      </c>
      <c r="K161" t="n">
        <v>-0.5189716007150872</v>
      </c>
      <c r="L161" t="n">
        <v>-0.1202227872437318</v>
      </c>
      <c r="M161" t="n">
        <v>-0.2288999502482452</v>
      </c>
      <c r="N161" t="n">
        <v>-0.2217701916591328</v>
      </c>
      <c r="O161" t="n">
        <v>0.7104754764786098</v>
      </c>
      <c r="P161" t="n">
        <v>3</v>
      </c>
      <c r="Q161" t="n">
        <v>3</v>
      </c>
      <c r="R161" t="n">
        <v>3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2021-11-26</t>
        </is>
      </c>
      <c r="B162" t="n">
        <v>1</v>
      </c>
      <c r="C162" t="n">
        <v>-0.02214938995339413</v>
      </c>
      <c r="D162" t="n">
        <v>0.1302295805416034</v>
      </c>
      <c r="E162" t="n">
        <v>0.07076114570841928</v>
      </c>
      <c r="F162" t="n">
        <v>-0.4723781014307777</v>
      </c>
      <c r="G162" t="n">
        <v>-0.3265993700316233</v>
      </c>
      <c r="H162" t="n">
        <v>-0.1001156572375669</v>
      </c>
      <c r="I162" t="n">
        <v>0.579305189480655</v>
      </c>
      <c r="J162" t="n">
        <v>0.02162920464297894</v>
      </c>
      <c r="K162" t="n">
        <v>-2.11720697377983</v>
      </c>
      <c r="L162" t="n">
        <v>-3</v>
      </c>
      <c r="M162" t="n">
        <v>-1.066800634049827</v>
      </c>
      <c r="N162" t="n">
        <v>-0.06704263951030207</v>
      </c>
      <c r="O162" t="n">
        <v>0.5890339086659891</v>
      </c>
      <c r="P162" t="n">
        <v>0.07387009518418768</v>
      </c>
      <c r="Q162" t="n">
        <v>0.2552916520262248</v>
      </c>
      <c r="R162" t="n">
        <v>0.2155113365726999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2021-11-29</t>
        </is>
      </c>
      <c r="B163" t="n">
        <v>1</v>
      </c>
      <c r="C163" t="n">
        <v>1.921276951652888</v>
      </c>
      <c r="D163" t="n">
        <v>0.9470471187505031</v>
      </c>
      <c r="E163" t="n">
        <v>0.5929064164929179</v>
      </c>
      <c r="F163" t="n">
        <v>-0.01535222790885689</v>
      </c>
      <c r="G163" t="n">
        <v>0.699707825499289</v>
      </c>
      <c r="H163" t="n">
        <v>1.329009537393232</v>
      </c>
      <c r="I163" t="n">
        <v>1.297489386305342</v>
      </c>
      <c r="J163" t="n">
        <v>-0.3875945247534542</v>
      </c>
      <c r="K163" t="n">
        <v>-1.60985959982055</v>
      </c>
      <c r="L163" t="n">
        <v>-0.1757558811277882</v>
      </c>
      <c r="M163" t="n">
        <v>3</v>
      </c>
      <c r="N163" t="n">
        <v>2.170650644554459</v>
      </c>
      <c r="O163" t="n">
        <v>0.7472831760484526</v>
      </c>
      <c r="P163" t="n">
        <v>-0.3402074197191197</v>
      </c>
      <c r="Q163" t="n">
        <v>-0.2728976460213537</v>
      </c>
      <c r="R163" t="n">
        <v>0.4558773936849682</v>
      </c>
      <c r="S163" t="n">
        <v>0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inlineStr">
        <is>
          <t>2021-11-30</t>
        </is>
      </c>
      <c r="B164" t="n">
        <v>1</v>
      </c>
      <c r="C164" t="n">
        <v>1.36784954990823</v>
      </c>
      <c r="D164" t="n">
        <v>0.6260105440660468</v>
      </c>
      <c r="E164" t="n">
        <v>0.4491760880513944</v>
      </c>
      <c r="F164" t="n">
        <v>-0.02863694613015816</v>
      </c>
      <c r="G164" t="n">
        <v>0.437612327820519</v>
      </c>
      <c r="H164" t="n">
        <v>0.916618579619408</v>
      </c>
      <c r="I164" t="n">
        <v>1.238100611624928</v>
      </c>
      <c r="J164" t="n">
        <v>-1.138775674824665</v>
      </c>
      <c r="K164" t="n">
        <v>-0.523003009674597</v>
      </c>
      <c r="L164" t="n">
        <v>0.7470559337778319</v>
      </c>
      <c r="M164" t="n">
        <v>-0.266345409571383</v>
      </c>
      <c r="N164" t="n">
        <v>2.381474639912627</v>
      </c>
      <c r="O164" t="n">
        <v>0.7229022413549465</v>
      </c>
      <c r="P164" t="n">
        <v>-0.1314477856818977</v>
      </c>
      <c r="Q164" t="n">
        <v>-0.0492896880325438</v>
      </c>
      <c r="R164" t="n">
        <v>-0.05446204910488126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2021-12-01</t>
        </is>
      </c>
      <c r="B165" t="n">
        <v>1</v>
      </c>
      <c r="C165" t="n">
        <v>0.6544391875832225</v>
      </c>
      <c r="D165" t="n">
        <v>0.5696495129839559</v>
      </c>
      <c r="E165" t="n">
        <v>0.386234701069898</v>
      </c>
      <c r="F165" t="n">
        <v>-0.4320355947246262</v>
      </c>
      <c r="G165" t="n">
        <v>-0.07805720714588064</v>
      </c>
      <c r="H165" t="n">
        <v>0.2513290500688993</v>
      </c>
      <c r="I165" t="n">
        <v>1.14974273137893</v>
      </c>
      <c r="J165" t="n">
        <v>-1.313088955423033</v>
      </c>
      <c r="K165" t="n">
        <v>0.298278238975259</v>
      </c>
      <c r="L165" t="n">
        <v>1.616877318063441</v>
      </c>
      <c r="M165" t="n">
        <v>0.125123700719705</v>
      </c>
      <c r="N165" t="n">
        <v>1.709344728785369</v>
      </c>
      <c r="O165" t="n">
        <v>3</v>
      </c>
      <c r="P165" t="n">
        <v>1.550924517865196</v>
      </c>
      <c r="Q165" t="n">
        <v>0.8049513069096398</v>
      </c>
      <c r="R165" t="n">
        <v>3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2021-12-02</t>
        </is>
      </c>
      <c r="B166" t="n">
        <v>1</v>
      </c>
      <c r="C166" t="n">
        <v>0.4048309598584652</v>
      </c>
      <c r="D166" t="n">
        <v>0.8552878566972106</v>
      </c>
      <c r="E166" t="n">
        <v>0.2746630272145495</v>
      </c>
      <c r="F166" t="n">
        <v>-0.8175985398233119</v>
      </c>
      <c r="G166" t="n">
        <v>-0.1685894088746203</v>
      </c>
      <c r="H166" t="n">
        <v>0.1164136024655454</v>
      </c>
      <c r="I166" t="n">
        <v>1.758558327201478</v>
      </c>
      <c r="J166" t="n">
        <v>-1.177942137896599</v>
      </c>
      <c r="K166" t="n">
        <v>-0.4984246817183767</v>
      </c>
      <c r="L166" t="n">
        <v>-0.07588363779445512</v>
      </c>
      <c r="M166" t="n">
        <v>-1.593667256393921</v>
      </c>
      <c r="N166" t="n">
        <v>1.261600590495459</v>
      </c>
      <c r="O166" t="n">
        <v>1.457433306277821</v>
      </c>
      <c r="P166" t="n">
        <v>1.631216381929854</v>
      </c>
      <c r="Q166" t="n">
        <v>0.9961688841790416</v>
      </c>
      <c r="R166" t="n">
        <v>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inlineStr">
        <is>
          <t>2021-12-03</t>
        </is>
      </c>
      <c r="B167" t="n">
        <v>1</v>
      </c>
      <c r="C167" t="n">
        <v>0.1418732681355304</v>
      </c>
      <c r="D167" t="n">
        <v>1.125087754878836</v>
      </c>
      <c r="E167" t="n">
        <v>0.4136928767716672</v>
      </c>
      <c r="F167" t="n">
        <v>-1.134296838850116</v>
      </c>
      <c r="G167" t="n">
        <v>-0.5311016888404611</v>
      </c>
      <c r="H167" t="n">
        <v>-0.3060849063010986</v>
      </c>
      <c r="I167" t="n">
        <v>1.786165153453972</v>
      </c>
      <c r="J167" t="n">
        <v>0.6558194600431456</v>
      </c>
      <c r="K167" t="n">
        <v>-0.9208559538991511</v>
      </c>
      <c r="L167" t="n">
        <v>0.962231074278653</v>
      </c>
      <c r="M167" t="n">
        <v>-1.066412213021495</v>
      </c>
      <c r="N167" t="n">
        <v>-0.2299894507374236</v>
      </c>
      <c r="O167" t="n">
        <v>1.485374602267365</v>
      </c>
      <c r="P167" t="n">
        <v>0.3702420905133691</v>
      </c>
      <c r="Q167" t="n">
        <v>-0.05283890851871376</v>
      </c>
      <c r="R167" t="n">
        <v>1.636175117684766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2021-12-06</t>
        </is>
      </c>
      <c r="B168" t="n">
        <v>1</v>
      </c>
      <c r="C168" t="n">
        <v>0.8014915469539131</v>
      </c>
      <c r="D168" t="n">
        <v>1.178985336878906</v>
      </c>
      <c r="E168" t="n">
        <v>0.4746669141753536</v>
      </c>
      <c r="F168" t="n">
        <v>-0.8135586552561908</v>
      </c>
      <c r="G168" t="n">
        <v>-0.0521486651140436</v>
      </c>
      <c r="H168" t="n">
        <v>0.3060046682834939</v>
      </c>
      <c r="I168" t="n">
        <v>-0.09698486146405469</v>
      </c>
      <c r="J168" t="n">
        <v>0.0315390818954976</v>
      </c>
      <c r="K168" t="n">
        <v>-0.7385366143367438</v>
      </c>
      <c r="L168" t="n">
        <v>-0.351532011190249</v>
      </c>
      <c r="M168" t="n">
        <v>0.8302854756087197</v>
      </c>
      <c r="N168" t="n">
        <v>0.7137869729273557</v>
      </c>
      <c r="O168" t="n">
        <v>1.211607967721299</v>
      </c>
      <c r="P168" t="n">
        <v>-0.5535212954367968</v>
      </c>
      <c r="Q168" t="n">
        <v>-0.5557564063277071</v>
      </c>
      <c r="R168" t="n">
        <v>0.582348905228195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inlineStr">
        <is>
          <t>2021-12-07</t>
        </is>
      </c>
      <c r="B169" t="n">
        <v>1</v>
      </c>
      <c r="C169" t="n">
        <v>0.4119989759930369</v>
      </c>
      <c r="D169" t="n">
        <v>1.054947232424136</v>
      </c>
      <c r="E169" t="n">
        <v>0.5753860020945951</v>
      </c>
      <c r="F169" t="n">
        <v>-0.9459152558024029</v>
      </c>
      <c r="G169" t="n">
        <v>-0.4609298756933105</v>
      </c>
      <c r="H169" t="n">
        <v>-0.2048284916873271</v>
      </c>
      <c r="I169" t="n">
        <v>0.5361081578222588</v>
      </c>
      <c r="J169" t="n">
        <v>-0.6318727652885114</v>
      </c>
      <c r="K169" t="n">
        <v>0.3373981618906757</v>
      </c>
      <c r="L169" t="n">
        <v>1.058415673351373</v>
      </c>
      <c r="M169" t="n">
        <v>0.400592046002666</v>
      </c>
      <c r="N169" t="n">
        <v>0.7957740822333097</v>
      </c>
      <c r="O169" t="n">
        <v>0.6740779839797504</v>
      </c>
      <c r="P169" t="n">
        <v>-0.3975554218597768</v>
      </c>
      <c r="Q169" t="n">
        <v>-0.3370291065228662</v>
      </c>
      <c r="R169" t="n">
        <v>-0.3752079868945393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2021-12-08</t>
        </is>
      </c>
      <c r="B170" t="n">
        <v>1</v>
      </c>
      <c r="C170" t="n">
        <v>-0.04529390518477318</v>
      </c>
      <c r="D170" t="n">
        <v>1.328535171222217</v>
      </c>
      <c r="E170" t="n">
        <v>0.6741896479555272</v>
      </c>
      <c r="F170" t="n">
        <v>-1.334783274529794</v>
      </c>
      <c r="G170" t="n">
        <v>-0.8943639506703644</v>
      </c>
      <c r="H170" t="n">
        <v>-0.7833322056758609</v>
      </c>
      <c r="I170" t="n">
        <v>0.9068696828705902</v>
      </c>
      <c r="J170" t="n">
        <v>-0.6260709853271632</v>
      </c>
      <c r="K170" t="n">
        <v>0.5104141399935057</v>
      </c>
      <c r="L170" t="n">
        <v>1.795644443456446</v>
      </c>
      <c r="M170" t="n">
        <v>-1.023353023260457</v>
      </c>
      <c r="N170" t="n">
        <v>0.2976869820888673</v>
      </c>
      <c r="O170" t="n">
        <v>-0.1682406433046993</v>
      </c>
      <c r="P170" t="n">
        <v>-0.507071537396929</v>
      </c>
      <c r="Q170" t="n">
        <v>-0.2194062122419724</v>
      </c>
      <c r="R170" t="n">
        <v>0.2806374845673396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2021-12-09</t>
        </is>
      </c>
      <c r="B171" t="n">
        <v>1</v>
      </c>
      <c r="C171" t="n">
        <v>-0.6439778816112276</v>
      </c>
      <c r="D171" t="n">
        <v>1.590968300141197</v>
      </c>
      <c r="E171" t="n">
        <v>0.8958745736162957</v>
      </c>
      <c r="F171" t="n">
        <v>-1.729559759214912</v>
      </c>
      <c r="G171" t="n">
        <v>-1.472868162115236</v>
      </c>
      <c r="H171" t="n">
        <v>-1.641601017001892</v>
      </c>
      <c r="I171" t="n">
        <v>0.93959187773589</v>
      </c>
      <c r="J171" t="n">
        <v>-1.765128217942894</v>
      </c>
      <c r="K171" t="n">
        <v>1.500700383072296</v>
      </c>
      <c r="L171" t="n">
        <v>0.6862518829043055</v>
      </c>
      <c r="M171" t="n">
        <v>-1.037100836365516</v>
      </c>
      <c r="N171" t="n">
        <v>0.4552912749150994</v>
      </c>
      <c r="O171" t="n">
        <v>-0.7249032310371332</v>
      </c>
      <c r="P171" t="n">
        <v>-0.2812499265948692</v>
      </c>
      <c r="Q171" t="n">
        <v>-0.02177108393062363</v>
      </c>
      <c r="R171" t="n">
        <v>0.3412685118691275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2021-12-10</t>
        </is>
      </c>
      <c r="B172" t="n">
        <v>1</v>
      </c>
      <c r="C172" t="n">
        <v>-0.09962081895690829</v>
      </c>
      <c r="D172" t="n">
        <v>1.548440493432904</v>
      </c>
      <c r="E172" t="n">
        <v>0.9060268675081606</v>
      </c>
      <c r="F172" t="n">
        <v>-1.455922997938176</v>
      </c>
      <c r="G172" t="n">
        <v>-1.092191952337829</v>
      </c>
      <c r="H172" t="n">
        <v>-1.092574482321326</v>
      </c>
      <c r="I172" t="n">
        <v>0.7564574483567803</v>
      </c>
      <c r="J172" t="n">
        <v>0.1773803986454273</v>
      </c>
      <c r="K172" t="n">
        <v>-1.0378416575732</v>
      </c>
      <c r="L172" t="n">
        <v>-0.8796292832251271</v>
      </c>
      <c r="M172" t="n">
        <v>-0.5018299512926694</v>
      </c>
      <c r="N172" t="n">
        <v>-0.2199208583665172</v>
      </c>
      <c r="O172" t="n">
        <v>1.209383783995321</v>
      </c>
      <c r="P172" t="n">
        <v>0.1747012086014123</v>
      </c>
      <c r="Q172" t="n">
        <v>-0.003452574854986081</v>
      </c>
      <c r="R172" t="n">
        <v>2.627817148053835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0.3635249846676804</v>
      </c>
      <c r="AJ172" t="n">
        <v>0.3333333333333333</v>
      </c>
    </row>
    <row r="173">
      <c r="A173" t="inlineStr">
        <is>
          <t>2021-12-13</t>
        </is>
      </c>
      <c r="B173" t="n">
        <v>1</v>
      </c>
      <c r="C173" t="n">
        <v>0.05953338829783256</v>
      </c>
      <c r="D173" t="n">
        <v>0.5548924400747709</v>
      </c>
      <c r="E173" t="n">
        <v>0.88515583837241</v>
      </c>
      <c r="F173" t="n">
        <v>-0.8073055201888552</v>
      </c>
      <c r="G173" t="n">
        <v>-0.9654344575099105</v>
      </c>
      <c r="H173" t="n">
        <v>-0.9060044897366283</v>
      </c>
      <c r="I173" t="n">
        <v>0.4202776070840739</v>
      </c>
      <c r="J173" t="n">
        <v>-0.2349143968233591</v>
      </c>
      <c r="K173" t="n">
        <v>0.03111410112264052</v>
      </c>
      <c r="L173" t="n">
        <v>1.496818559884776</v>
      </c>
      <c r="M173" t="n">
        <v>-0.01117598357031526</v>
      </c>
      <c r="N173" t="n">
        <v>0.1579595777579174</v>
      </c>
      <c r="O173" t="n">
        <v>0.5048743829693325</v>
      </c>
      <c r="P173" t="n">
        <v>-0.2257969610715011</v>
      </c>
      <c r="Q173" t="n">
        <v>-0.2619846198567021</v>
      </c>
      <c r="R173" t="n">
        <v>0.1408182053212821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2021-12-15</t>
        </is>
      </c>
      <c r="B174" t="n">
        <v>1</v>
      </c>
      <c r="C174" t="n">
        <v>0.1509644278283865</v>
      </c>
      <c r="D174" t="n">
        <v>0.6583305083020309</v>
      </c>
      <c r="E174" t="n">
        <v>0.7668644202006135</v>
      </c>
      <c r="F174" t="n">
        <v>-0.8283945339213666</v>
      </c>
      <c r="G174" t="n">
        <v>-0.8157415043275941</v>
      </c>
      <c r="H174" t="n">
        <v>-0.6826618021387033</v>
      </c>
      <c r="I174" t="n">
        <v>-0.451087796947377</v>
      </c>
      <c r="J174" t="n">
        <v>-1.133233990585599</v>
      </c>
      <c r="K174" t="n">
        <v>-0.06444089374581913</v>
      </c>
      <c r="L174" t="n">
        <v>0.2006576125849446</v>
      </c>
      <c r="M174" t="n">
        <v>0.1060479424622039</v>
      </c>
      <c r="N174" t="n">
        <v>0.9137204500067874</v>
      </c>
      <c r="O174" t="n">
        <v>-0.251621204325564</v>
      </c>
      <c r="P174" t="n">
        <v>-0.5835448647252975</v>
      </c>
      <c r="Q174" t="n">
        <v>-0.48198517162202</v>
      </c>
      <c r="R174" t="n">
        <v>0.1420665226786277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0.1346525299942065</v>
      </c>
      <c r="AJ174" t="n">
        <v>0.3333333333333333</v>
      </c>
    </row>
    <row r="175">
      <c r="A175" t="inlineStr">
        <is>
          <t>2021-12-16</t>
        </is>
      </c>
      <c r="B175" t="n">
        <v>1</v>
      </c>
      <c r="C175" t="n">
        <v>-0.4713036773339805</v>
      </c>
      <c r="D175" t="n">
        <v>0.6106515177268727</v>
      </c>
      <c r="E175" t="n">
        <v>0.7586677182464225</v>
      </c>
      <c r="F175" t="n">
        <v>-1.190474179094014</v>
      </c>
      <c r="G175" t="n">
        <v>-1.270437650977696</v>
      </c>
      <c r="H175" t="n">
        <v>-1.313992516027297</v>
      </c>
      <c r="I175" t="n">
        <v>-1.654893501764565</v>
      </c>
      <c r="J175" t="n">
        <v>-1.252526096408606</v>
      </c>
      <c r="K175" t="n">
        <v>3</v>
      </c>
      <c r="L175" t="n">
        <v>1.285291601710711</v>
      </c>
      <c r="M175" t="n">
        <v>1.231593776965288</v>
      </c>
      <c r="N175" t="n">
        <v>0.2549468348817528</v>
      </c>
      <c r="O175" t="n">
        <v>-0.5784775051707071</v>
      </c>
      <c r="P175" t="n">
        <v>-0.4680605849442099</v>
      </c>
      <c r="Q175" t="n">
        <v>-0.2098570499915687</v>
      </c>
      <c r="R175" t="n">
        <v>0.23959093913319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0.4663151208823789</v>
      </c>
      <c r="AJ175" t="n">
        <v>0.6666666666666666</v>
      </c>
    </row>
    <row r="176">
      <c r="A176" t="inlineStr">
        <is>
          <t>2021-12-20</t>
        </is>
      </c>
      <c r="B176" t="n">
        <v>1</v>
      </c>
      <c r="C176" t="n">
        <v>1.006954906202929</v>
      </c>
      <c r="D176" t="n">
        <v>0.5846654220204868</v>
      </c>
      <c r="E176" t="n">
        <v>0.8741230577343158</v>
      </c>
      <c r="F176" t="n">
        <v>-0.2178711433267544</v>
      </c>
      <c r="G176" t="n">
        <v>-0.2800360739679538</v>
      </c>
      <c r="H176" t="n">
        <v>0.08090860936044643</v>
      </c>
      <c r="I176" t="n">
        <v>-1.052905598545594</v>
      </c>
      <c r="J176" t="n">
        <v>0.50704979840508</v>
      </c>
      <c r="K176" t="n">
        <v>-1.1056805186528</v>
      </c>
      <c r="L176" t="n">
        <v>-1.711025877529555</v>
      </c>
      <c r="M176" t="n">
        <v>1.330537526572713</v>
      </c>
      <c r="N176" t="n">
        <v>0.60097764207781</v>
      </c>
      <c r="O176" t="n">
        <v>-0.2808475385125922</v>
      </c>
      <c r="P176" t="n">
        <v>-0.5055232130763146</v>
      </c>
      <c r="Q176" t="n">
        <v>-0.1418655501374298</v>
      </c>
      <c r="R176" t="n">
        <v>-0.4026074589636264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0.2183532153663206</v>
      </c>
      <c r="AJ176" t="n">
        <v>0</v>
      </c>
    </row>
    <row r="177">
      <c r="A177" t="inlineStr">
        <is>
          <t>2021-12-22</t>
        </is>
      </c>
      <c r="B177" t="n">
        <v>1</v>
      </c>
      <c r="C177" t="n">
        <v>0.3467440458160108</v>
      </c>
      <c r="D177" t="n">
        <v>0.6725162403166884</v>
      </c>
      <c r="E177" t="n">
        <v>0.9955939822901051</v>
      </c>
      <c r="F177" t="n">
        <v>-0.7163805253684083</v>
      </c>
      <c r="G177" t="n">
        <v>-0.8386950205831099</v>
      </c>
      <c r="H177" t="n">
        <v>-0.7311590471174946</v>
      </c>
      <c r="I177" t="n">
        <v>0.3051402703676676</v>
      </c>
      <c r="J177" t="n">
        <v>-1.190099286723076</v>
      </c>
      <c r="K177" t="n">
        <v>0.4716799253862369</v>
      </c>
      <c r="L177" t="n">
        <v>1.189459421483584</v>
      </c>
      <c r="M177" t="n">
        <v>-0.7574192908797478</v>
      </c>
      <c r="N177" t="n">
        <v>1.202832888085678</v>
      </c>
      <c r="O177" t="n">
        <v>-0.4546825110745313</v>
      </c>
      <c r="P177" t="n">
        <v>-0.63580371797943</v>
      </c>
      <c r="Q177" t="n">
        <v>-0.5473570723595268</v>
      </c>
      <c r="R177" t="n">
        <v>-0.5803298894182876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0.04196812128766396</v>
      </c>
      <c r="AJ177" t="n">
        <v>0</v>
      </c>
    </row>
    <row r="178">
      <c r="A178" t="inlineStr">
        <is>
          <t>2021-12-23</t>
        </is>
      </c>
      <c r="B178" t="n">
        <v>1</v>
      </c>
      <c r="C178" t="n">
        <v>-0.5675705859056769</v>
      </c>
      <c r="D178" t="n">
        <v>0.4268499153843656</v>
      </c>
      <c r="E178" t="n">
        <v>1.07644823694749</v>
      </c>
      <c r="F178" t="n">
        <v>-1.131702490047152</v>
      </c>
      <c r="G178" t="n">
        <v>-1.510800976175064</v>
      </c>
      <c r="H178" t="n">
        <v>-1.760304582682196</v>
      </c>
      <c r="I178" t="n">
        <v>0.6728877053936515</v>
      </c>
      <c r="J178" t="n">
        <v>-1.570957136912858</v>
      </c>
      <c r="K178" t="n">
        <v>1.728988594880638</v>
      </c>
      <c r="L178" t="n">
        <v>1.176693547563931</v>
      </c>
      <c r="M178" t="n">
        <v>-1.553023737877398</v>
      </c>
      <c r="N178" t="n">
        <v>0.3880988319500695</v>
      </c>
      <c r="O178" t="n">
        <v>-0.397325383860023</v>
      </c>
      <c r="P178" t="n">
        <v>-0.3452933894783676</v>
      </c>
      <c r="Q178" t="n">
        <v>-0.2843469672130385</v>
      </c>
      <c r="R178" t="n">
        <v>0.7839272208547354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inlineStr">
        <is>
          <t>2021-12-24</t>
        </is>
      </c>
      <c r="B179" t="n">
        <v>1</v>
      </c>
      <c r="C179" t="n">
        <v>-0.1754485338299656</v>
      </c>
      <c r="D179" t="n">
        <v>0.500986021515665</v>
      </c>
      <c r="E179" t="n">
        <v>1.068218003342665</v>
      </c>
      <c r="F179" t="n">
        <v>-0.9206576252203805</v>
      </c>
      <c r="G179" t="n">
        <v>-1.241191141670941</v>
      </c>
      <c r="H179" t="n">
        <v>-1.347833807940289</v>
      </c>
      <c r="I179" t="n">
        <v>0.7821401157524833</v>
      </c>
      <c r="J179" t="n">
        <v>-0.03067831963200373</v>
      </c>
      <c r="K179" t="n">
        <v>-0.578367549796862</v>
      </c>
      <c r="L179" t="n">
        <v>0.5094436990312315</v>
      </c>
      <c r="M179" t="n">
        <v>-0.5309225738812735</v>
      </c>
      <c r="N179" t="n">
        <v>-0.1868383405763954</v>
      </c>
      <c r="O179" t="n">
        <v>0.587376551071166</v>
      </c>
      <c r="P179" t="n">
        <v>-0.1515412486572611</v>
      </c>
      <c r="Q179" t="n">
        <v>-0.4635776477059304</v>
      </c>
      <c r="R179" t="n">
        <v>0.8079407246529139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2021-12-27</t>
        </is>
      </c>
      <c r="B180" t="n">
        <v>1</v>
      </c>
      <c r="C180" t="n">
        <v>0.3698176864052227</v>
      </c>
      <c r="D180" t="n">
        <v>0.4951190985446638</v>
      </c>
      <c r="E180" t="n">
        <v>0.5525776785613038</v>
      </c>
      <c r="F180" t="n">
        <v>-0.5515243151229247</v>
      </c>
      <c r="G180" t="n">
        <v>-0.4736060507399162</v>
      </c>
      <c r="H180" t="n">
        <v>-0.2233072696074461</v>
      </c>
      <c r="I180" t="n">
        <v>0.8938455129531855</v>
      </c>
      <c r="J180" t="n">
        <v>0.02945928612090584</v>
      </c>
      <c r="K180" t="n">
        <v>-0.5965942310630675</v>
      </c>
      <c r="L180" t="n">
        <v>-1.237393191872285</v>
      </c>
      <c r="M180" t="n">
        <v>0.4351685361610282</v>
      </c>
      <c r="N180" t="n">
        <v>0.3030295004897562</v>
      </c>
      <c r="O180" t="n">
        <v>2.378487684832059</v>
      </c>
      <c r="P180" t="n">
        <v>1.832982342392943</v>
      </c>
      <c r="Q180" t="n">
        <v>2.674038447341601</v>
      </c>
      <c r="R180" t="n">
        <v>0.491208673170524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0.03131808517212145</v>
      </c>
      <c r="AJ180" t="n">
        <v>0.3333333333333333</v>
      </c>
    </row>
    <row r="181">
      <c r="A181" t="inlineStr">
        <is>
          <t>2021-12-29</t>
        </is>
      </c>
      <c r="B181" t="n">
        <v>1</v>
      </c>
      <c r="C181" t="n">
        <v>-0.2990665299900776</v>
      </c>
      <c r="D181" t="n">
        <v>0.6576318341015397</v>
      </c>
      <c r="E181" t="n">
        <v>0.6071522725023257</v>
      </c>
      <c r="F181" t="n">
        <v>-1.111280371594878</v>
      </c>
      <c r="G181" t="n">
        <v>-1.040848334295889</v>
      </c>
      <c r="H181" t="n">
        <v>-0.9711978900158863</v>
      </c>
      <c r="I181" t="n">
        <v>-1.145444698019553</v>
      </c>
      <c r="J181" t="n">
        <v>-0.2665514196285234</v>
      </c>
      <c r="K181" t="n">
        <v>-0.14404875421557</v>
      </c>
      <c r="L181" t="n">
        <v>-0.2901320312762231</v>
      </c>
      <c r="M181" t="n">
        <v>-1.289509596386812</v>
      </c>
      <c r="N181" t="n">
        <v>-0.1841670813759504</v>
      </c>
      <c r="O181" t="n">
        <v>-0.1349339412450019</v>
      </c>
      <c r="P181" t="n">
        <v>-0.3208601795262656</v>
      </c>
      <c r="Q181" t="n">
        <v>-0.2423219532551039</v>
      </c>
      <c r="R181" t="n">
        <v>-0.00976962936006643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0.1294225422777041</v>
      </c>
      <c r="AJ181" t="n">
        <v>0.6666666666666666</v>
      </c>
    </row>
    <row r="182">
      <c r="A182" t="inlineStr">
        <is>
          <t>2021-12-30</t>
        </is>
      </c>
      <c r="B182" t="n">
        <v>1</v>
      </c>
      <c r="C182" t="n">
        <v>-0.4519806771808244</v>
      </c>
      <c r="D182" t="n">
        <v>0.6278861046685994</v>
      </c>
      <c r="E182" t="n">
        <v>0.5451340564644329</v>
      </c>
      <c r="F182" t="n">
        <v>-1.189029123098456</v>
      </c>
      <c r="G182" t="n">
        <v>-1.117214115259038</v>
      </c>
      <c r="H182" t="n">
        <v>-1.060769169706405</v>
      </c>
      <c r="I182" t="n">
        <v>-1.172695736243375</v>
      </c>
      <c r="J182" t="n">
        <v>0.08891925412067106</v>
      </c>
      <c r="K182" t="n">
        <v>0.7014854909079665</v>
      </c>
      <c r="L182" t="n">
        <v>-0.513643805314123</v>
      </c>
      <c r="M182" t="n">
        <v>0.4268595139513767</v>
      </c>
      <c r="N182" t="n">
        <v>-0.5086223334914929</v>
      </c>
      <c r="O182" t="n">
        <v>1.132502924112062</v>
      </c>
      <c r="P182" t="n">
        <v>0.4214481592178165</v>
      </c>
      <c r="Q182" t="n">
        <v>-0.3886410019162609</v>
      </c>
      <c r="R182" t="n">
        <v>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2021-12-31</t>
        </is>
      </c>
      <c r="B183" t="n">
        <v>1</v>
      </c>
      <c r="C183" t="n">
        <v>-0.2790636034844559</v>
      </c>
      <c r="D183" t="n">
        <v>0.6196635681503502</v>
      </c>
      <c r="E183" t="n">
        <v>0.4389324059436406</v>
      </c>
      <c r="F183" t="n">
        <v>-1.07343011737008</v>
      </c>
      <c r="G183" t="n">
        <v>-0.8990878472472095</v>
      </c>
      <c r="H183" t="n">
        <v>-0.7667919772022223</v>
      </c>
      <c r="I183" t="n">
        <v>-1.171530621220294</v>
      </c>
      <c r="J183" t="n">
        <v>1.404840812437911</v>
      </c>
      <c r="K183" t="n">
        <v>-0.1154248677315917</v>
      </c>
      <c r="L183" t="n">
        <v>0.8101534340789479</v>
      </c>
      <c r="M183" t="n">
        <v>-0.2939316645924615</v>
      </c>
      <c r="N183" t="n">
        <v>-0.8571189184110375</v>
      </c>
      <c r="O183" t="n">
        <v>-0.04887194504332357</v>
      </c>
      <c r="P183" t="n">
        <v>-0.5412009707874094</v>
      </c>
      <c r="Q183" t="n">
        <v>-0.2827785298642671</v>
      </c>
      <c r="R183" t="n">
        <v>-0.1657934118681406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inlineStr">
        <is>
          <t>2022-01-04</t>
        </is>
      </c>
      <c r="B184" t="n">
        <v>1</v>
      </c>
      <c r="C184" t="n">
        <v>-0.1624255163554327</v>
      </c>
      <c r="D184" t="n">
        <v>-0.6253154531441364</v>
      </c>
      <c r="E184" t="n">
        <v>0.3304084671285022</v>
      </c>
      <c r="F184" t="n">
        <v>0.5968980302971904</v>
      </c>
      <c r="G184" t="n">
        <v>-0.7107059073642769</v>
      </c>
      <c r="H184" t="n">
        <v>-0.5281857960014091</v>
      </c>
      <c r="I184" t="n">
        <v>-0.6549388265540077</v>
      </c>
      <c r="J184" t="n">
        <v>1.031887453328209</v>
      </c>
      <c r="K184" t="n">
        <v>-0.3130973075335307</v>
      </c>
      <c r="L184" t="n">
        <v>0.7037314580062324</v>
      </c>
      <c r="M184" t="n">
        <v>-0.2071975941296877</v>
      </c>
      <c r="N184" t="n">
        <v>-0.6378701824976213</v>
      </c>
      <c r="O184" t="n">
        <v>0.366260183063892</v>
      </c>
      <c r="P184" t="n">
        <v>1.031354005555755</v>
      </c>
      <c r="Q184" t="n">
        <v>1.088390721535797</v>
      </c>
      <c r="R184" t="n">
        <v>0.6590619574521045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inlineStr">
        <is>
          <t>2022-01-05</t>
        </is>
      </c>
      <c r="B185" t="n">
        <v>1</v>
      </c>
      <c r="C185" t="n">
        <v>-0.5100245209923679</v>
      </c>
      <c r="D185" t="n">
        <v>-0.6248947177002598</v>
      </c>
      <c r="E185" t="n">
        <v>0.2437614262720562</v>
      </c>
      <c r="F185" t="n">
        <v>0.1904358283253353</v>
      </c>
      <c r="G185" t="n">
        <v>-0.9360523505687284</v>
      </c>
      <c r="H185" t="n">
        <v>-0.7911662478367876</v>
      </c>
      <c r="I185" t="n">
        <v>-0.5624807637066639</v>
      </c>
      <c r="J185" t="n">
        <v>-0.4275874992397742</v>
      </c>
      <c r="K185" t="n">
        <v>-0.3381206669194339</v>
      </c>
      <c r="L185" t="n">
        <v>-0.09414225336397154</v>
      </c>
      <c r="M185" t="n">
        <v>-1.182900670282961</v>
      </c>
      <c r="N185" t="n">
        <v>-0.3136204118590363</v>
      </c>
      <c r="O185" t="n">
        <v>-0.07535858585094703</v>
      </c>
      <c r="P185" t="n">
        <v>-0.4739098688711864</v>
      </c>
      <c r="Q185" t="n">
        <v>-0.5379729940320424</v>
      </c>
      <c r="R185" t="n">
        <v>-0.4666873886153768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2022-01-06</t>
        </is>
      </c>
      <c r="B186" t="n">
        <v>1</v>
      </c>
      <c r="C186" t="n">
        <v>-0.8762782311339785</v>
      </c>
      <c r="D186" t="n">
        <v>-0.6724565366328906</v>
      </c>
      <c r="E186" t="n">
        <v>0.09074021683183332</v>
      </c>
      <c r="F186" t="n">
        <v>-0.1489871506535937</v>
      </c>
      <c r="G186" t="n">
        <v>-1.140461118681315</v>
      </c>
      <c r="H186" t="n">
        <v>-1.000810649975139</v>
      </c>
      <c r="I186" t="n">
        <v>-0.8254069020174695</v>
      </c>
      <c r="J186" t="n">
        <v>-0.9455797733055907</v>
      </c>
      <c r="K186" t="n">
        <v>1.005511601096376</v>
      </c>
      <c r="L186" t="n">
        <v>-1.461536451539451</v>
      </c>
      <c r="M186" t="n">
        <v>0.03398294768570193</v>
      </c>
      <c r="N186" t="n">
        <v>-0.4301284092938127</v>
      </c>
      <c r="O186" t="n">
        <v>0.2140955877991235</v>
      </c>
      <c r="P186" t="n">
        <v>0.1016034599132056</v>
      </c>
      <c r="Q186" t="n">
        <v>-0.07115754484156742</v>
      </c>
      <c r="R186" t="n">
        <v>0.9741060374561317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inlineStr">
        <is>
          <t>2022-01-11</t>
        </is>
      </c>
      <c r="B187" t="n">
        <v>1</v>
      </c>
      <c r="C187" t="n">
        <v>-0.08723583725981905</v>
      </c>
      <c r="D187" t="n">
        <v>-0.3263746837014372</v>
      </c>
      <c r="E187" t="n">
        <v>0.2140579863423464</v>
      </c>
      <c r="F187" t="n">
        <v>0.08586573222613582</v>
      </c>
      <c r="G187" t="n">
        <v>-0.5365443827360475</v>
      </c>
      <c r="H187" t="n">
        <v>-0.3236757622578068</v>
      </c>
      <c r="I187" t="n">
        <v>-0.2139282675612773</v>
      </c>
      <c r="J187" t="n">
        <v>0.02918068385087148</v>
      </c>
      <c r="K187" t="n">
        <v>-0.2142103450717055</v>
      </c>
      <c r="L187" t="n">
        <v>0.4967247530461041</v>
      </c>
      <c r="M187" t="n">
        <v>-0.7802331463308769</v>
      </c>
      <c r="N187" t="n">
        <v>-0.1332076750905457</v>
      </c>
      <c r="O187" t="n">
        <v>-0.4458323151972228</v>
      </c>
      <c r="P187" t="n">
        <v>-0.2500206222225372</v>
      </c>
      <c r="Q187" t="n">
        <v>0.04252157126360293</v>
      </c>
      <c r="R187" t="n">
        <v>-0.2075560856949492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inlineStr">
        <is>
          <t>2022-01-12</t>
        </is>
      </c>
      <c r="B188" t="n">
        <v>1</v>
      </c>
      <c r="C188" t="n">
        <v>-0.4630115987795659</v>
      </c>
      <c r="D188" t="n">
        <v>-0.3411549186292734</v>
      </c>
      <c r="E188" t="n">
        <v>0.1854918117459627</v>
      </c>
      <c r="F188" t="n">
        <v>-0.2580375160058309</v>
      </c>
      <c r="G188" t="n">
        <v>-0.8443276203296111</v>
      </c>
      <c r="H188" t="n">
        <v>-0.6791172914894584</v>
      </c>
      <c r="I188" t="n">
        <v>-0.3463740494105659</v>
      </c>
      <c r="J188" t="n">
        <v>-0.04885860743770449</v>
      </c>
      <c r="K188" t="n">
        <v>0.924547504506065</v>
      </c>
      <c r="L188" t="n">
        <v>1.462579772896181</v>
      </c>
      <c r="M188" t="n">
        <v>0.2773749951894169</v>
      </c>
      <c r="N188" t="n">
        <v>-0.4558135939134725</v>
      </c>
      <c r="O188" t="n">
        <v>-0.2751481247790294</v>
      </c>
      <c r="P188" t="n">
        <v>-0.02257194058959727</v>
      </c>
      <c r="Q188" t="n">
        <v>0.286276555220779</v>
      </c>
      <c r="R188" t="n">
        <v>2.791730540230007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inlineStr">
        <is>
          <t>2022-01-13</t>
        </is>
      </c>
      <c r="B189" t="n">
        <v>1</v>
      </c>
      <c r="C189" t="n">
        <v>-0.7334142752020471</v>
      </c>
      <c r="D189" t="n">
        <v>-0.3879638289848275</v>
      </c>
      <c r="E189" t="n">
        <v>0.1714126510942582</v>
      </c>
      <c r="F189" t="n">
        <v>-0.4588184710594549</v>
      </c>
      <c r="G189" t="n">
        <v>-1.075022520168987</v>
      </c>
      <c r="H189" t="n">
        <v>-0.941965156170212</v>
      </c>
      <c r="I189" t="n">
        <v>-0.2574784104657721</v>
      </c>
      <c r="J189" t="n">
        <v>-0.8404498160068571</v>
      </c>
      <c r="K189" t="n">
        <v>1.260264636660518</v>
      </c>
      <c r="L189" t="n">
        <v>0.1300974214997974</v>
      </c>
      <c r="M189" t="n">
        <v>-0.871955397034057</v>
      </c>
      <c r="N189" t="n">
        <v>-0.3271821893382165</v>
      </c>
      <c r="O189" t="n">
        <v>0.8964483331139267</v>
      </c>
      <c r="P189" t="n">
        <v>3</v>
      </c>
      <c r="Q189" t="n">
        <v>3</v>
      </c>
      <c r="R189" t="n">
        <v>1.996872313028847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inlineStr">
        <is>
          <t>2022-01-14</t>
        </is>
      </c>
      <c r="B190" t="n">
        <v>1</v>
      </c>
      <c r="C190" t="n">
        <v>-0.348888534198995</v>
      </c>
      <c r="D190" t="n">
        <v>-0.4522711000775092</v>
      </c>
      <c r="E190" t="n">
        <v>0.1713743581944399</v>
      </c>
      <c r="F190" t="n">
        <v>0.03820793294540485</v>
      </c>
      <c r="G190" t="n">
        <v>-0.7291072943097491</v>
      </c>
      <c r="H190" t="n">
        <v>-0.5462624817353824</v>
      </c>
      <c r="I190" t="n">
        <v>-1.430218201243163</v>
      </c>
      <c r="J190" t="n">
        <v>1.324471202208871</v>
      </c>
      <c r="K190" t="n">
        <v>-0.4078792423136205</v>
      </c>
      <c r="L190" t="n">
        <v>-1.383024518354785</v>
      </c>
      <c r="M190" t="n">
        <v>-0.2643180789353668</v>
      </c>
      <c r="N190" t="n">
        <v>-0.8856808437080987</v>
      </c>
      <c r="O190" t="n">
        <v>-0.4008514538933927</v>
      </c>
      <c r="P190" t="n">
        <v>-0.704579879412242</v>
      </c>
      <c r="Q190" t="n">
        <v>-0.491314693541746</v>
      </c>
      <c r="R190" t="n">
        <v>-0.9401861852660452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2022-01-17</t>
        </is>
      </c>
      <c r="B191" t="n">
        <v>1</v>
      </c>
      <c r="C191" t="n">
        <v>-0.3068001076813658</v>
      </c>
      <c r="D191" t="n">
        <v>-0.4165248740351598</v>
      </c>
      <c r="E191" t="n">
        <v>-0.1261939718643766</v>
      </c>
      <c r="F191" t="n">
        <v>0.01945505071693188</v>
      </c>
      <c r="G191" t="n">
        <v>-0.3753552730361475</v>
      </c>
      <c r="H191" t="n">
        <v>-0.1777848438087068</v>
      </c>
      <c r="I191" t="n">
        <v>-1.107590017185315</v>
      </c>
      <c r="J191" t="n">
        <v>-0.4710660297910991</v>
      </c>
      <c r="K191" t="n">
        <v>0.2563726281008036</v>
      </c>
      <c r="L191" t="n">
        <v>0.208717328057102</v>
      </c>
      <c r="M191" t="n">
        <v>-0.2105750494211656</v>
      </c>
      <c r="N191" t="n">
        <v>-0.07752219483512349</v>
      </c>
      <c r="O191" t="n">
        <v>0.01233836280751406</v>
      </c>
      <c r="P191" t="n">
        <v>-0.3520520427114402</v>
      </c>
      <c r="Q191" t="n">
        <v>-0.3607342085994284</v>
      </c>
      <c r="R191" t="n">
        <v>-0.7104066553369036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inlineStr">
        <is>
          <t>2022-01-18</t>
        </is>
      </c>
      <c r="B192" t="n">
        <v>1</v>
      </c>
      <c r="C192" t="n">
        <v>-0.5514005384760166</v>
      </c>
      <c r="D192" t="n">
        <v>-0.6635126338321164</v>
      </c>
      <c r="E192" t="n">
        <v>-0.8601147981033733</v>
      </c>
      <c r="F192" t="n">
        <v>0.2230187014126756</v>
      </c>
      <c r="G192" t="n">
        <v>0.5223913341536977</v>
      </c>
      <c r="H192" t="n">
        <v>0.3725300432226605</v>
      </c>
      <c r="I192" t="n">
        <v>-1.110023956866536</v>
      </c>
      <c r="J192" t="n">
        <v>0.691950772070409</v>
      </c>
      <c r="K192" t="n">
        <v>0.3916067360972033</v>
      </c>
      <c r="L192" t="n">
        <v>0.4228729848258901</v>
      </c>
      <c r="M192" t="n">
        <v>-0.6524662177388763</v>
      </c>
      <c r="N192" t="n">
        <v>-0.8390365484387966</v>
      </c>
      <c r="O192" t="n">
        <v>-0.1707681843290126</v>
      </c>
      <c r="P192" t="n">
        <v>-0.5765705979637488</v>
      </c>
      <c r="Q192" t="n">
        <v>-0.5244075800391712</v>
      </c>
      <c r="R192" t="n">
        <v>-0.7878366999586504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inlineStr">
        <is>
          <t>2022-01-19</t>
        </is>
      </c>
      <c r="B193" t="n">
        <v>1</v>
      </c>
      <c r="C193" t="n">
        <v>-0.1916507862366533</v>
      </c>
      <c r="D193" t="n">
        <v>-0.3626889414803681</v>
      </c>
      <c r="E193" t="n">
        <v>-0.6171216275414632</v>
      </c>
      <c r="F193" t="n">
        <v>0.04406437907440963</v>
      </c>
      <c r="G193" t="n">
        <v>0.5025267601484215</v>
      </c>
      <c r="H193" t="n">
        <v>0.4771644923968809</v>
      </c>
      <c r="I193" t="n">
        <v>0.3405467225982418</v>
      </c>
      <c r="J193" t="n">
        <v>0.04138413650866221</v>
      </c>
      <c r="K193" t="n">
        <v>0.8365002776168774</v>
      </c>
      <c r="L193" t="n">
        <v>-0.5570387161222146</v>
      </c>
      <c r="M193" t="n">
        <v>1.98363489622104</v>
      </c>
      <c r="N193" t="n">
        <v>-0.2390306357235444</v>
      </c>
      <c r="O193" t="n">
        <v>-0.04628994223656623</v>
      </c>
      <c r="P193" t="n">
        <v>-0.06989882755811871</v>
      </c>
      <c r="Q193" t="n">
        <v>0.08747836472644388</v>
      </c>
      <c r="R193" t="n">
        <v>-0.1788528961022745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0.4809186464684717</v>
      </c>
      <c r="AJ193" t="n">
        <v>0.3333333333333333</v>
      </c>
    </row>
    <row r="194">
      <c r="A194" t="inlineStr">
        <is>
          <t>2022-01-20</t>
        </is>
      </c>
      <c r="B194" t="n">
        <v>1</v>
      </c>
      <c r="C194" t="n">
        <v>-0.777645990208972</v>
      </c>
      <c r="D194" t="n">
        <v>-0.2505399176217907</v>
      </c>
      <c r="E194" t="n">
        <v>-0.5121091014968959</v>
      </c>
      <c r="F194" t="n">
        <v>-0.6806602189073854</v>
      </c>
      <c r="G194" t="n">
        <v>-0.3938203729254035</v>
      </c>
      <c r="H194" t="n">
        <v>-0.2405533121616156</v>
      </c>
      <c r="I194" t="n">
        <v>-0.0588954221655425</v>
      </c>
      <c r="J194" t="n">
        <v>-1.699423265266071</v>
      </c>
      <c r="K194" t="n">
        <v>1.480888024026924</v>
      </c>
      <c r="L194" t="n">
        <v>-0.3029114458916233</v>
      </c>
      <c r="M194" t="n">
        <v>-1.344644516292684</v>
      </c>
      <c r="N194" t="n">
        <v>0.2128231321055109</v>
      </c>
      <c r="O194" t="n">
        <v>-0.3985335917260029</v>
      </c>
      <c r="P194" t="n">
        <v>-0.2062169306886501</v>
      </c>
      <c r="Q194" t="n">
        <v>-0.1695135577259223</v>
      </c>
      <c r="R194" t="n">
        <v>0.02823578951095922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0.04979990028342096</v>
      </c>
      <c r="AJ194" t="n">
        <v>0</v>
      </c>
    </row>
    <row r="195">
      <c r="A195" t="inlineStr">
        <is>
          <t>2022-01-21</t>
        </is>
      </c>
      <c r="B195" t="n">
        <v>1</v>
      </c>
      <c r="C195" t="n">
        <v>0.3016491872390079</v>
      </c>
      <c r="D195" t="n">
        <v>-0.2703524857955316</v>
      </c>
      <c r="E195" t="n">
        <v>-0.3911364134586414</v>
      </c>
      <c r="F195" t="n">
        <v>0.3622136848289034</v>
      </c>
      <c r="G195" t="n">
        <v>0.6677998129250668</v>
      </c>
      <c r="H195" t="n">
        <v>0.7378021017379377</v>
      </c>
      <c r="I195" t="n">
        <v>-0.3050526395047116</v>
      </c>
      <c r="J195" t="n">
        <v>0.9511974500718515</v>
      </c>
      <c r="K195" t="n">
        <v>-1.443487305743699</v>
      </c>
      <c r="L195" t="n">
        <v>-2.415992457604604</v>
      </c>
      <c r="M195" t="n">
        <v>0.07697665439935664</v>
      </c>
      <c r="N195" t="n">
        <v>-0.2267017471061073</v>
      </c>
      <c r="O195" t="n">
        <v>3</v>
      </c>
      <c r="P195" t="n">
        <v>0.4366045347188575</v>
      </c>
      <c r="Q195" t="n">
        <v>0.3072977972434784</v>
      </c>
      <c r="R195" t="n">
        <v>1.067920424542003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0.03744076202911552</v>
      </c>
      <c r="AJ195" t="n">
        <v>0</v>
      </c>
    </row>
    <row r="196">
      <c r="A196" t="inlineStr">
        <is>
          <t>2022-01-24</t>
        </is>
      </c>
      <c r="B196" t="n">
        <v>1</v>
      </c>
      <c r="C196" t="n">
        <v>1.752804919166902</v>
      </c>
      <c r="D196" t="n">
        <v>-0.1332027214179317</v>
      </c>
      <c r="E196" t="n">
        <v>-0.2865440586728504</v>
      </c>
      <c r="F196" t="n">
        <v>1.412121135064829</v>
      </c>
      <c r="G196" t="n">
        <v>2.054398292793071</v>
      </c>
      <c r="H196" t="n">
        <v>2.116686153981231</v>
      </c>
      <c r="I196" t="n">
        <v>-0.6324219857110214</v>
      </c>
      <c r="J196" t="n">
        <v>-0.2817570393210169</v>
      </c>
      <c r="K196" t="n">
        <v>-1.935045671805558</v>
      </c>
      <c r="L196" t="n">
        <v>-0.5435751760445162</v>
      </c>
      <c r="M196" t="n">
        <v>0.9530102627854761</v>
      </c>
      <c r="N196" t="n">
        <v>1.896743835770407</v>
      </c>
      <c r="O196" t="n">
        <v>-0.02121244622429907</v>
      </c>
      <c r="P196" t="n">
        <v>-0.1898681347815545</v>
      </c>
      <c r="Q196" t="n">
        <v>0.2513084923745975</v>
      </c>
      <c r="R196" t="n">
        <v>-0.5017257479816725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inlineStr">
        <is>
          <t>2022-01-25</t>
        </is>
      </c>
      <c r="B197" t="n">
        <v>1</v>
      </c>
      <c r="C197" t="n">
        <v>2.179067464146704</v>
      </c>
      <c r="D197" t="n">
        <v>0.3851542443542491</v>
      </c>
      <c r="E197" t="n">
        <v>0.3117072236010234</v>
      </c>
      <c r="F197" t="n">
        <v>0.8152069775230114</v>
      </c>
      <c r="G197" t="n">
        <v>1.309375671009695</v>
      </c>
      <c r="H197" t="n">
        <v>1.901548038954968</v>
      </c>
      <c r="I197" t="n">
        <v>-0.547033803825163</v>
      </c>
      <c r="J197" t="n">
        <v>-0.1408241545845378</v>
      </c>
      <c r="K197" t="n">
        <v>-1.25286640361159</v>
      </c>
      <c r="L197" t="n">
        <v>-1.709781029138017</v>
      </c>
      <c r="M197" t="n">
        <v>2.943139062364276</v>
      </c>
      <c r="N197" t="n">
        <v>2.188733014526699</v>
      </c>
      <c r="O197" t="n">
        <v>0.03462661213141947</v>
      </c>
      <c r="P197" t="n">
        <v>-0.6343894858940614</v>
      </c>
      <c r="Q197" t="n">
        <v>-0.3195881512275003</v>
      </c>
      <c r="R197" t="n">
        <v>0.347451962911642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0.7436208443056724</v>
      </c>
      <c r="AJ197" t="n">
        <v>0.3333333333333333</v>
      </c>
    </row>
    <row r="198">
      <c r="A198" t="inlineStr">
        <is>
          <t>2022-01-27</t>
        </is>
      </c>
      <c r="B198" t="n">
        <v>1</v>
      </c>
      <c r="C198" t="n">
        <v>2.192816046708996</v>
      </c>
      <c r="D198" t="n">
        <v>0.5097078498367659</v>
      </c>
      <c r="E198" t="n">
        <v>0.3006476105005803</v>
      </c>
      <c r="F198" t="n">
        <v>0.6477398259283348</v>
      </c>
      <c r="G198" t="n">
        <v>1.338901479289886</v>
      </c>
      <c r="H198" t="n">
        <v>1.927780242390886</v>
      </c>
      <c r="I198" t="n">
        <v>0.6871934602968542</v>
      </c>
      <c r="J198" t="n">
        <v>-1.028413812732828</v>
      </c>
      <c r="K198" t="n">
        <v>-0.6766494875784991</v>
      </c>
      <c r="L198" t="n">
        <v>-2.185345690746002</v>
      </c>
      <c r="M198" t="n">
        <v>-2.393658097763393</v>
      </c>
      <c r="N198" t="n">
        <v>3</v>
      </c>
      <c r="O198" t="n">
        <v>-0.1632459387102015</v>
      </c>
      <c r="P198" t="n">
        <v>-0.4863240750798309</v>
      </c>
      <c r="Q198" t="n">
        <v>-0.2930198715699981</v>
      </c>
      <c r="R198" t="n">
        <v>0.3060105477831452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0.1126738126476994</v>
      </c>
      <c r="AJ198" t="n">
        <v>0</v>
      </c>
    </row>
    <row r="199">
      <c r="A199" t="inlineStr">
        <is>
          <t>2022-01-31</t>
        </is>
      </c>
      <c r="B199" t="n">
        <v>1</v>
      </c>
      <c r="C199" t="n">
        <v>2.81981093319651</v>
      </c>
      <c r="D199" t="n">
        <v>0.1966656618762534</v>
      </c>
      <c r="E199" t="n">
        <v>0.3695116043627752</v>
      </c>
      <c r="F199" t="n">
        <v>1.601911030866234</v>
      </c>
      <c r="G199" t="n">
        <v>1.756363129477328</v>
      </c>
      <c r="H199" t="n">
        <v>2.497679897651221</v>
      </c>
      <c r="I199" t="n">
        <v>0.7641519737283504</v>
      </c>
      <c r="J199" t="n">
        <v>0.03127756106794179</v>
      </c>
      <c r="K199" t="n">
        <v>0.1602110291271934</v>
      </c>
      <c r="L199" t="n">
        <v>1.291076713174103</v>
      </c>
      <c r="M199" t="n">
        <v>0.3591009575717823</v>
      </c>
      <c r="N199" t="n">
        <v>2.640381300878798</v>
      </c>
      <c r="O199" t="n">
        <v>1.123154987501614</v>
      </c>
      <c r="P199" t="n">
        <v>0.760028810024525</v>
      </c>
      <c r="Q199" t="n">
        <v>0.9794772682711462</v>
      </c>
      <c r="R199" t="n">
        <v>0.1928616312385165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inlineStr">
        <is>
          <t>2022-02-01</t>
        </is>
      </c>
      <c r="B200" t="n">
        <v>1</v>
      </c>
      <c r="C200" t="n">
        <v>3</v>
      </c>
      <c r="D200" t="n">
        <v>0.6525940489507437</v>
      </c>
      <c r="E200" t="n">
        <v>0.4622043475028797</v>
      </c>
      <c r="F200" t="n">
        <v>1.319327002982579</v>
      </c>
      <c r="G200" t="n">
        <v>2.194408247068348</v>
      </c>
      <c r="H200" t="n">
        <v>3</v>
      </c>
      <c r="I200" t="n">
        <v>1.463256748932281</v>
      </c>
      <c r="J200" t="n">
        <v>0.7340930161132537</v>
      </c>
      <c r="K200" t="n">
        <v>-0.09078032952497402</v>
      </c>
      <c r="L200" t="n">
        <v>0.9165436044714876</v>
      </c>
      <c r="M200" t="n">
        <v>0.9566742291084291</v>
      </c>
      <c r="N200" t="n">
        <v>2.628257893738319</v>
      </c>
      <c r="O200" t="n">
        <v>-0.3966270846958187</v>
      </c>
      <c r="P200" t="n">
        <v>-0.6480840064424457</v>
      </c>
      <c r="Q200" t="n">
        <v>-0.4873560298857549</v>
      </c>
      <c r="R200" t="n">
        <v>-0.3918741849307267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0.6121781409953655</v>
      </c>
      <c r="AJ200" t="n">
        <v>0.3333333333333333</v>
      </c>
    </row>
    <row r="201">
      <c r="A201" t="inlineStr">
        <is>
          <t>2022-02-03</t>
        </is>
      </c>
      <c r="B201" t="n">
        <v>1</v>
      </c>
      <c r="C201" t="n">
        <v>-0.7669836368157306</v>
      </c>
      <c r="D201" t="n">
        <v>1.121649730564907</v>
      </c>
      <c r="E201" t="n">
        <v>0.4448624364333442</v>
      </c>
      <c r="F201" t="n">
        <v>-1.623077883063797</v>
      </c>
      <c r="G201" t="n">
        <v>-1.30276174872692</v>
      </c>
      <c r="H201" t="n">
        <v>-1.275321281948314</v>
      </c>
      <c r="I201" t="n">
        <v>0.1691608258296778</v>
      </c>
      <c r="J201" t="n">
        <v>-1.644540332036423</v>
      </c>
      <c r="K201" t="n">
        <v>2.884105346505331</v>
      </c>
      <c r="L201" t="n">
        <v>-0.121894144591007</v>
      </c>
      <c r="M201" t="n">
        <v>-3</v>
      </c>
      <c r="N201" t="n">
        <v>0.1820009105619191</v>
      </c>
      <c r="O201" t="n">
        <v>-0.02694078465318899</v>
      </c>
      <c r="P201" t="n">
        <v>-0.3070937891246791</v>
      </c>
      <c r="Q201" t="n">
        <v>-0.3149908826354469</v>
      </c>
      <c r="R201" t="n">
        <v>1.313531868529151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0.7775273344764961</v>
      </c>
      <c r="AJ201" t="n">
        <v>0.6666666666666666</v>
      </c>
    </row>
    <row r="202">
      <c r="A202" t="inlineStr">
        <is>
          <t>2022-02-04</t>
        </is>
      </c>
      <c r="B202" t="n">
        <v>1</v>
      </c>
      <c r="C202" t="n">
        <v>0.3642215815691929</v>
      </c>
      <c r="D202" t="n">
        <v>1.224247251635851</v>
      </c>
      <c r="E202" t="n">
        <v>0.5349674949897201</v>
      </c>
      <c r="F202" t="n">
        <v>-1.070937428616202</v>
      </c>
      <c r="G202" t="n">
        <v>-0.4621069193756298</v>
      </c>
      <c r="H202" t="n">
        <v>-0.2098217430081317</v>
      </c>
      <c r="I202" t="n">
        <v>0.5085756929562305</v>
      </c>
      <c r="J202" t="n">
        <v>1.092456155045109</v>
      </c>
      <c r="K202" t="n">
        <v>-0.1405420260001774</v>
      </c>
      <c r="L202" t="n">
        <v>0.4711997824587918</v>
      </c>
      <c r="M202" t="n">
        <v>0.8360626918582645</v>
      </c>
      <c r="N202" t="n">
        <v>-0.2363593765230994</v>
      </c>
      <c r="O202" t="n">
        <v>-0.508335353207116</v>
      </c>
      <c r="P202" t="n">
        <v>-0.6498817584000315</v>
      </c>
      <c r="Q202" t="n">
        <v>-0.4664204477220046</v>
      </c>
      <c r="R202" t="n">
        <v>-0.1802857571531361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0.6711498894571984</v>
      </c>
      <c r="AJ202" t="n">
        <v>0</v>
      </c>
    </row>
    <row r="203">
      <c r="A203" t="inlineStr">
        <is>
          <t>2022-02-09</t>
        </is>
      </c>
      <c r="B203" t="n">
        <v>1</v>
      </c>
      <c r="C203" t="n">
        <v>0.3536612429996305</v>
      </c>
      <c r="D203" t="n">
        <v>0.6674460102550186</v>
      </c>
      <c r="E203" t="n">
        <v>0.5471769332391128</v>
      </c>
      <c r="F203" t="n">
        <v>-0.7080319747090239</v>
      </c>
      <c r="G203" t="n">
        <v>-0.4815129644731374</v>
      </c>
      <c r="H203" t="n">
        <v>-0.2340298589138732</v>
      </c>
      <c r="I203" t="n">
        <v>0.5032887923676507</v>
      </c>
      <c r="J203" t="n">
        <v>-0.06765948474604597</v>
      </c>
      <c r="K203" t="n">
        <v>-0.1497664428833674</v>
      </c>
      <c r="L203" t="n">
        <v>0.1316982601018331</v>
      </c>
      <c r="M203" t="n">
        <v>-0.1079746375497218</v>
      </c>
      <c r="N203" t="n">
        <v>-0.180160192575284</v>
      </c>
      <c r="O203" t="n">
        <v>-0.3191853322512164</v>
      </c>
      <c r="P203" t="n">
        <v>-0.3351766071331188</v>
      </c>
      <c r="Q203" t="n">
        <v>-0.3009448500247113</v>
      </c>
      <c r="R203" t="n">
        <v>-0.2488136175062554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0.2062603401684343</v>
      </c>
      <c r="AJ203" t="n">
        <v>0</v>
      </c>
    </row>
    <row r="204">
      <c r="A204" t="inlineStr">
        <is>
          <t>2022-02-10</t>
        </is>
      </c>
      <c r="B204" t="n">
        <v>1</v>
      </c>
      <c r="C204" t="n">
        <v>-0.5113604042199694</v>
      </c>
      <c r="D204" t="n">
        <v>0.7641436914817444</v>
      </c>
      <c r="E204" t="n">
        <v>0.6659104217089498</v>
      </c>
      <c r="F204" t="n">
        <v>-1.306895744340253</v>
      </c>
      <c r="G204" t="n">
        <v>-1.243275016106121</v>
      </c>
      <c r="H204" t="n">
        <v>-1.253847851380135</v>
      </c>
      <c r="I204" t="n">
        <v>0.3937910252057487</v>
      </c>
      <c r="J204" t="n">
        <v>-0.790922879743624</v>
      </c>
      <c r="K204" t="n">
        <v>0.695114398839609</v>
      </c>
      <c r="L204" t="n">
        <v>0.7558177465272135</v>
      </c>
      <c r="M204" t="n">
        <v>-1.451056483152597</v>
      </c>
      <c r="N204" t="n">
        <v>-0.1075224904708859</v>
      </c>
      <c r="O204" t="n">
        <v>0.05863468058540115</v>
      </c>
      <c r="P204" t="n">
        <v>0.1144410403659531</v>
      </c>
      <c r="Q204" t="n">
        <v>-0.5547056020780947</v>
      </c>
      <c r="R204" t="n">
        <v>-0.1558684300194115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2022-02-11</t>
        </is>
      </c>
      <c r="B205" t="n">
        <v>1</v>
      </c>
      <c r="C205" t="n">
        <v>0.08451593216585031</v>
      </c>
      <c r="D205" t="n">
        <v>0.6422006639510602</v>
      </c>
      <c r="E205" t="n">
        <v>0.6516598073369312</v>
      </c>
      <c r="F205" t="n">
        <v>-0.8582603853510579</v>
      </c>
      <c r="G205" t="n">
        <v>-0.7783371809784488</v>
      </c>
      <c r="H205" t="n">
        <v>-0.6251436557879834</v>
      </c>
      <c r="I205" t="n">
        <v>0.1835054904046925</v>
      </c>
      <c r="J205" t="n">
        <v>0.5882980865983315</v>
      </c>
      <c r="K205" t="n">
        <v>-1.156532031424632</v>
      </c>
      <c r="L205" t="n">
        <v>-2.581588531117511</v>
      </c>
      <c r="M205" t="n">
        <v>-0.308937052812102</v>
      </c>
      <c r="N205" t="n">
        <v>-0.2488937466174933</v>
      </c>
      <c r="O205" t="n">
        <v>-0.1758618415799286</v>
      </c>
      <c r="P205" t="n">
        <v>-0.6660539746845137</v>
      </c>
      <c r="Q205" t="n">
        <v>-0.5636074863308709</v>
      </c>
      <c r="R205" t="n">
        <v>-0.52407971815289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2022-02-14</t>
        </is>
      </c>
      <c r="B206" t="n">
        <v>1</v>
      </c>
      <c r="C206" t="n">
        <v>2.110979430665898</v>
      </c>
      <c r="D206" t="n">
        <v>0.9310502941523336</v>
      </c>
      <c r="E206" t="n">
        <v>0.7310318179793984</v>
      </c>
      <c r="F206" t="n">
        <v>0.1086621044974487</v>
      </c>
      <c r="G206" t="n">
        <v>0.6745579187008239</v>
      </c>
      <c r="H206" t="n">
        <v>1.373267666911971</v>
      </c>
      <c r="I206" t="n">
        <v>0.561891785498946</v>
      </c>
      <c r="J206" t="n">
        <v>0.6974732031794992</v>
      </c>
      <c r="K206" t="n">
        <v>-2.640965404578993</v>
      </c>
      <c r="L206" t="n">
        <v>-3</v>
      </c>
      <c r="M206" t="n">
        <v>1.527315047970697</v>
      </c>
      <c r="N206" t="n">
        <v>1.433383105231744</v>
      </c>
      <c r="O206" t="n">
        <v>0.6990113576401881</v>
      </c>
      <c r="P206" t="n">
        <v>0.3481801279935437</v>
      </c>
      <c r="Q206" t="n">
        <v>0.956609968737001</v>
      </c>
      <c r="R206" t="n">
        <v>-0.6763494326152066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0.05782352242519968</v>
      </c>
      <c r="AJ206" t="n">
        <v>0.3333333333333333</v>
      </c>
    </row>
    <row r="207">
      <c r="A207" t="inlineStr">
        <is>
          <t>2022-02-16</t>
        </is>
      </c>
      <c r="B207" t="n">
        <v>1</v>
      </c>
      <c r="C207" t="n">
        <v>1.002634294637093</v>
      </c>
      <c r="D207" t="n">
        <v>2.253518624570499</v>
      </c>
      <c r="E207" t="n">
        <v>1.740949231353147</v>
      </c>
      <c r="F207" t="n">
        <v>-1.251188587910117</v>
      </c>
      <c r="G207" t="n">
        <v>-0.886330623019892</v>
      </c>
      <c r="H207" t="n">
        <v>-0.8707690603312898</v>
      </c>
      <c r="I207" t="n">
        <v>1.674228978398139</v>
      </c>
      <c r="J207" t="n">
        <v>-0.06765948474604597</v>
      </c>
      <c r="K207" t="n">
        <v>-0.1497664428833674</v>
      </c>
      <c r="L207" t="n">
        <v>0.1316982601018331</v>
      </c>
      <c r="M207" t="n">
        <v>-0.1079746375497218</v>
      </c>
      <c r="N207" t="n">
        <v>-0.180160192575284</v>
      </c>
      <c r="O207" t="n">
        <v>-0.3191853322512164</v>
      </c>
      <c r="P207" t="n">
        <v>-0.3351766071331188</v>
      </c>
      <c r="Q207" t="n">
        <v>-0.3009448500247113</v>
      </c>
      <c r="R207" t="n">
        <v>-0.2488136175062554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0.5916636014112009</v>
      </c>
      <c r="AJ207" t="n">
        <v>0.6666666666666666</v>
      </c>
    </row>
    <row r="208">
      <c r="A208" t="inlineStr">
        <is>
          <t>2022-02-17</t>
        </is>
      </c>
      <c r="B208" t="n">
        <v>1</v>
      </c>
      <c r="C208" t="n">
        <v>-0.4052254702841298</v>
      </c>
      <c r="D208" t="n">
        <v>2.103422489977589</v>
      </c>
      <c r="E208" t="n">
        <v>1.704485757845248</v>
      </c>
      <c r="F208" t="n">
        <v>-1.775554021335643</v>
      </c>
      <c r="G208" t="n">
        <v>-1.677329652498577</v>
      </c>
      <c r="H208" t="n">
        <v>-2.279551817387585</v>
      </c>
      <c r="I208" t="n">
        <v>1.565332320052385</v>
      </c>
      <c r="J208" t="n">
        <v>-2.460880263515302</v>
      </c>
      <c r="K208" t="n">
        <v>3</v>
      </c>
      <c r="L208" t="n">
        <v>0.9369366927966498</v>
      </c>
      <c r="M208" t="n">
        <v>-0.3865907387282601</v>
      </c>
      <c r="N208" t="n">
        <v>1.634960434126834</v>
      </c>
      <c r="O208" t="n">
        <v>-0.1109897549420772</v>
      </c>
      <c r="P208" t="n">
        <v>-0.4738101242175286</v>
      </c>
      <c r="Q208" t="n">
        <v>-0.3676221421570653</v>
      </c>
      <c r="R208" t="n">
        <v>-0.2142118924122689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1.186567906703112</v>
      </c>
      <c r="AJ208" t="n">
        <v>1</v>
      </c>
    </row>
    <row r="209">
      <c r="A209" t="inlineStr">
        <is>
          <t>2022-02-18</t>
        </is>
      </c>
      <c r="B209" t="n">
        <v>1</v>
      </c>
      <c r="C209" t="n">
        <v>1.621752850220122</v>
      </c>
      <c r="D209" t="n">
        <v>1.979945924375417</v>
      </c>
      <c r="E209" t="n">
        <v>1.681133302667044</v>
      </c>
      <c r="F209" t="n">
        <v>-0.8751681964980311</v>
      </c>
      <c r="G209" t="n">
        <v>-0.4938215090681368</v>
      </c>
      <c r="H209" t="n">
        <v>-0.1683576989781485</v>
      </c>
      <c r="I209" t="n">
        <v>1.483032880103248</v>
      </c>
      <c r="J209" t="n">
        <v>0.1264992910154735</v>
      </c>
      <c r="K209" t="n">
        <v>-1.091706305530463</v>
      </c>
      <c r="L209" t="n">
        <v>-0.03412053449581838</v>
      </c>
      <c r="M209" t="n">
        <v>0.7971136492708116</v>
      </c>
      <c r="N209" t="n">
        <v>1.421259698091265</v>
      </c>
      <c r="O209" t="n">
        <v>1.807178024003702</v>
      </c>
      <c r="P209" t="n">
        <v>2.848950070536645</v>
      </c>
      <c r="Q209" t="n">
        <v>1.994454867931824</v>
      </c>
      <c r="R209" t="n">
        <v>0.2426457134645764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1.654600041696261</v>
      </c>
      <c r="AJ209" t="n">
        <v>1.333333333333333</v>
      </c>
    </row>
    <row r="210">
      <c r="A210" t="inlineStr">
        <is>
          <t>2022-02-21</t>
        </is>
      </c>
      <c r="B210" t="n">
        <v>1</v>
      </c>
      <c r="C210" t="n">
        <v>1.587513376109425</v>
      </c>
      <c r="D210" t="n">
        <v>1.980322049311956</v>
      </c>
      <c r="E210" t="n">
        <v>1.652775787562227</v>
      </c>
      <c r="F210" t="n">
        <v>-0.8899793212714845</v>
      </c>
      <c r="G210" t="n">
        <v>-0.4950690803873508</v>
      </c>
      <c r="H210" t="n">
        <v>-0.1726007544876459</v>
      </c>
      <c r="I210" t="n">
        <v>1.360996808833313</v>
      </c>
      <c r="J210" t="n">
        <v>0.8330208644122818</v>
      </c>
      <c r="K210" t="n">
        <v>-0.04276034304109144</v>
      </c>
      <c r="L210" t="n">
        <v>-0.374072961048244</v>
      </c>
      <c r="M210" t="n">
        <v>-0.01010815413584877</v>
      </c>
      <c r="N210" t="n">
        <v>0.9009805984354364</v>
      </c>
      <c r="O210" t="n">
        <v>2.049533191026576</v>
      </c>
      <c r="P210" t="n">
        <v>-0.08087560265713423</v>
      </c>
      <c r="Q210" t="n">
        <v>0.1155577194868811</v>
      </c>
      <c r="R210" t="n">
        <v>0.1302632454815324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1.034438157422786</v>
      </c>
      <c r="AJ210" t="n">
        <v>0</v>
      </c>
    </row>
    <row r="211">
      <c r="A211" t="inlineStr">
        <is>
          <t>2022-02-22</t>
        </is>
      </c>
      <c r="B211" t="n">
        <v>1</v>
      </c>
      <c r="C211" t="n">
        <v>2.090711356675456</v>
      </c>
      <c r="D211" t="n">
        <v>1.753268778762033</v>
      </c>
      <c r="E211" t="n">
        <v>1.616123497694762</v>
      </c>
      <c r="F211" t="n">
        <v>-0.5433702854946936</v>
      </c>
      <c r="G211" t="n">
        <v>-0.1745046899893691</v>
      </c>
      <c r="H211" t="n">
        <v>0.3852209357155003</v>
      </c>
      <c r="I211" t="n">
        <v>0.1292016965417633</v>
      </c>
      <c r="J211" t="n">
        <v>1.1959511336842</v>
      </c>
      <c r="K211" t="n">
        <v>-1.480090262977009</v>
      </c>
      <c r="L211" t="n">
        <v>-2.221430488335007</v>
      </c>
      <c r="M211" t="n">
        <v>-0.7989328933360285</v>
      </c>
      <c r="N211" t="n">
        <v>1.08796874246656</v>
      </c>
      <c r="O211" t="n">
        <v>3</v>
      </c>
      <c r="P211" t="n">
        <v>3</v>
      </c>
      <c r="Q211" t="n">
        <v>3</v>
      </c>
      <c r="R211" t="n">
        <v>1.577473747397296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0.2467054158730813</v>
      </c>
      <c r="AJ211" t="n">
        <v>0</v>
      </c>
    </row>
    <row r="212">
      <c r="A212" t="inlineStr">
        <is>
          <t>2022-02-23</t>
        </is>
      </c>
      <c r="B212" t="n">
        <v>1</v>
      </c>
      <c r="C212" t="n">
        <v>1.778717407102238</v>
      </c>
      <c r="D212" t="n">
        <v>1.786420275494714</v>
      </c>
      <c r="E212" t="n">
        <v>1.290107119339928</v>
      </c>
      <c r="F212" t="n">
        <v>-0.7033984511808609</v>
      </c>
      <c r="G212" t="n">
        <v>-0.1110623753210834</v>
      </c>
      <c r="H212" t="n">
        <v>0.4204495428941549</v>
      </c>
      <c r="I212" t="n">
        <v>-1.96155537184524</v>
      </c>
      <c r="J212" t="n">
        <v>-0.06765948474604597</v>
      </c>
      <c r="K212" t="n">
        <v>-0.1497664428833674</v>
      </c>
      <c r="L212" t="n">
        <v>0.1316982601018331</v>
      </c>
      <c r="M212" t="n">
        <v>-0.1079746375497218</v>
      </c>
      <c r="N212" t="n">
        <v>-0.180160192575284</v>
      </c>
      <c r="O212" t="n">
        <v>-0.3191853322512164</v>
      </c>
      <c r="P212" t="n">
        <v>-0.3351766071331188</v>
      </c>
      <c r="Q212" t="n">
        <v>-0.3009448500247113</v>
      </c>
      <c r="R212" t="n">
        <v>-0.2488136175062554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</row>
    <row r="213">
      <c r="A213" t="inlineStr">
        <is>
          <t>2022-02-24</t>
        </is>
      </c>
      <c r="B213" t="n">
        <v>1</v>
      </c>
      <c r="C213" t="n">
        <v>3</v>
      </c>
      <c r="D213" t="n">
        <v>1.628906935606588</v>
      </c>
      <c r="E213" t="n">
        <v>1.255921502974231</v>
      </c>
      <c r="F213" t="n">
        <v>0.025903228188009</v>
      </c>
      <c r="G213" t="n">
        <v>0.7945239446629262</v>
      </c>
      <c r="H213" t="n">
        <v>1.859291554976537</v>
      </c>
      <c r="I213" t="n">
        <v>-1.872750284817652</v>
      </c>
      <c r="J213" t="n">
        <v>2.999085788858998</v>
      </c>
      <c r="K213" t="n">
        <v>-2.949926891449922</v>
      </c>
      <c r="L213" t="n">
        <v>-3</v>
      </c>
      <c r="M213" t="n">
        <v>-1.683567046312898</v>
      </c>
      <c r="N213" t="n">
        <v>0.875295413815776</v>
      </c>
      <c r="O213" t="n">
        <v>0.2349286189944776</v>
      </c>
      <c r="P213" t="n">
        <v>0.2954151141579106</v>
      </c>
      <c r="Q213" t="n">
        <v>0.7588359946135456</v>
      </c>
      <c r="R213" t="n">
        <v>0.5114715037708215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</row>
    <row r="214">
      <c r="A214" t="inlineStr">
        <is>
          <t>2022-03-02</t>
        </is>
      </c>
      <c r="B214" t="n">
        <v>1</v>
      </c>
      <c r="C214" t="n">
        <v>3</v>
      </c>
      <c r="D214" t="n">
        <v>3</v>
      </c>
      <c r="E214" t="n">
        <v>2.552450523694922</v>
      </c>
      <c r="F214" t="n">
        <v>-0.3282038363567514</v>
      </c>
      <c r="G214" t="n">
        <v>0.4205826001526267</v>
      </c>
      <c r="H214" t="n">
        <v>1.85123377936355</v>
      </c>
      <c r="I214" t="n">
        <v>1.568476082259632</v>
      </c>
      <c r="J214" t="n">
        <v>0.3229324254392741</v>
      </c>
      <c r="K214" t="n">
        <v>0.3277623296174671</v>
      </c>
      <c r="L214" t="n">
        <v>-0.7562611509436346</v>
      </c>
      <c r="M214" t="n">
        <v>2.955305611921938</v>
      </c>
      <c r="N214" t="n">
        <v>3</v>
      </c>
      <c r="O214" t="n">
        <v>1.269170580886189</v>
      </c>
      <c r="P214" t="n">
        <v>-0.6200758613314683</v>
      </c>
      <c r="Q214" t="n">
        <v>-0.4146267429558324</v>
      </c>
      <c r="R214" t="n">
        <v>-1.087461663287106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</row>
    <row r="215">
      <c r="A215" t="inlineStr">
        <is>
          <t>2022-03-03</t>
        </is>
      </c>
      <c r="B215" t="n">
        <v>1</v>
      </c>
      <c r="C215" t="n">
        <v>3</v>
      </c>
      <c r="D215" t="n">
        <v>2.385405125600514</v>
      </c>
      <c r="E215" t="n">
        <v>2.488748532753338</v>
      </c>
      <c r="F215" t="n">
        <v>-0.3452958503018277</v>
      </c>
      <c r="G215" t="n">
        <v>-0.04456263479562837</v>
      </c>
      <c r="H215" t="n">
        <v>0.839262154265379</v>
      </c>
      <c r="I215" t="n">
        <v>1.63699245602713</v>
      </c>
      <c r="J215" t="n">
        <v>-0.06765948474604597</v>
      </c>
      <c r="K215" t="n">
        <v>-0.1497664428833674</v>
      </c>
      <c r="L215" t="n">
        <v>0.1316982601018331</v>
      </c>
      <c r="M215" t="n">
        <v>-0.1079746375497218</v>
      </c>
      <c r="N215" t="n">
        <v>-0.180160192575284</v>
      </c>
      <c r="O215" t="n">
        <v>-0.3191853322512164</v>
      </c>
      <c r="P215" t="n">
        <v>-0.3351766071331188</v>
      </c>
      <c r="Q215" t="n">
        <v>-0.3009448500247113</v>
      </c>
      <c r="R215" t="n">
        <v>-0.2488136175062554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</row>
    <row r="216">
      <c r="A216" t="inlineStr">
        <is>
          <t>2022-03-09</t>
        </is>
      </c>
      <c r="B216" t="n">
        <v>1</v>
      </c>
      <c r="C216" t="n">
        <v>3</v>
      </c>
      <c r="D216" t="n">
        <v>2.787883488534071</v>
      </c>
      <c r="E216" t="n">
        <v>2.55809956821686</v>
      </c>
      <c r="F216" t="n">
        <v>-0.7135392003792934</v>
      </c>
      <c r="G216" t="n">
        <v>-0.2994911030606776</v>
      </c>
      <c r="H216" t="n">
        <v>0.3111427081080256</v>
      </c>
      <c r="I216" t="n">
        <v>-0.7016788999557376</v>
      </c>
      <c r="J216" t="n">
        <v>-0.1620777026985722</v>
      </c>
      <c r="K216" t="n">
        <v>1.092005190180355</v>
      </c>
      <c r="L216" t="n">
        <v>0.2792391192328486</v>
      </c>
      <c r="M216" t="n">
        <v>-0.3750883861123949</v>
      </c>
      <c r="N216" t="n">
        <v>3</v>
      </c>
      <c r="O216" t="n">
        <v>0.3735679525964403</v>
      </c>
      <c r="P216" t="n">
        <v>-0.0903480100070156</v>
      </c>
      <c r="Q216" t="n">
        <v>-0.06446527496791139</v>
      </c>
      <c r="R216" t="n">
        <v>-0.2707702939807836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</row>
    <row r="217">
      <c r="A217" t="inlineStr">
        <is>
          <t>2022-03-11</t>
        </is>
      </c>
      <c r="B217" t="n">
        <v>1</v>
      </c>
      <c r="C217" t="n">
        <v>2.345251294395271</v>
      </c>
      <c r="D217" t="n">
        <v>3</v>
      </c>
      <c r="E217" t="n">
        <v>2.828028799901234</v>
      </c>
      <c r="F217" t="n">
        <v>-1.193895227730917</v>
      </c>
      <c r="G217" t="n">
        <v>-0.7560722823765275</v>
      </c>
      <c r="H217" t="n">
        <v>-0.6771883657064808</v>
      </c>
      <c r="I217" t="n">
        <v>0.2863899760568862</v>
      </c>
      <c r="J217" t="n">
        <v>-1.137376802848032</v>
      </c>
      <c r="K217" t="n">
        <v>-0.2791738134490069</v>
      </c>
      <c r="L217" t="n">
        <v>-0.7054313281558717</v>
      </c>
      <c r="M217" t="n">
        <v>-0.6097090573202218</v>
      </c>
      <c r="N217" t="n">
        <v>3</v>
      </c>
      <c r="O217" t="n">
        <v>-0.3937141393452666</v>
      </c>
      <c r="P217" t="n">
        <v>-0.58288397063465</v>
      </c>
      <c r="Q217" t="n">
        <v>-0.4609294896726659</v>
      </c>
      <c r="R217" t="n">
        <v>-0.109117220087529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1</v>
      </c>
      <c r="AH217" t="n">
        <v>0</v>
      </c>
      <c r="AI217" t="n">
        <v>0.01909861988595973</v>
      </c>
      <c r="AJ217" t="n">
        <v>0.3333333333333333</v>
      </c>
    </row>
    <row r="218">
      <c r="A218" t="inlineStr">
        <is>
          <t>2022-03-14</t>
        </is>
      </c>
      <c r="B218" t="n">
        <v>1</v>
      </c>
      <c r="C218" t="n">
        <v>2.590408645358586</v>
      </c>
      <c r="D218" t="n">
        <v>1.772944698072732</v>
      </c>
      <c r="E218" t="n">
        <v>2.79408489297934</v>
      </c>
      <c r="F218" t="n">
        <v>-0.3306334139115034</v>
      </c>
      <c r="G218" t="n">
        <v>-0.6275316074130231</v>
      </c>
      <c r="H218" t="n">
        <v>-0.3878392497071925</v>
      </c>
      <c r="I218" t="n">
        <v>-0.008540899056491772</v>
      </c>
      <c r="J218" t="n">
        <v>-0.06462395815244353</v>
      </c>
      <c r="K218" t="n">
        <v>0.04614850711800546</v>
      </c>
      <c r="L218" t="n">
        <v>0.5248320531073171</v>
      </c>
      <c r="M218" t="n">
        <v>-0.1603718956970349</v>
      </c>
      <c r="N218" t="n">
        <v>2.516065007319643</v>
      </c>
      <c r="O218" t="n">
        <v>0.06657588676902794</v>
      </c>
      <c r="P218" t="n">
        <v>-0.6979522331854472</v>
      </c>
      <c r="Q218" t="n">
        <v>-0.4973062601383593</v>
      </c>
      <c r="R218" t="n">
        <v>-0.676529714706043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</row>
    <row r="219">
      <c r="A219" t="inlineStr">
        <is>
          <t>2022-03-15</t>
        </is>
      </c>
      <c r="B219" t="n">
        <v>1</v>
      </c>
      <c r="C219" t="n">
        <v>2.686065510003937</v>
      </c>
      <c r="D219" t="n">
        <v>1.514422338572957</v>
      </c>
      <c r="E219" t="n">
        <v>2.844481897086093</v>
      </c>
      <c r="F219" t="n">
        <v>-0.1003411136467505</v>
      </c>
      <c r="G219" t="n">
        <v>-0.6087250099229955</v>
      </c>
      <c r="H219" t="n">
        <v>-0.3444841260026131</v>
      </c>
      <c r="I219" t="n">
        <v>-1.476714354979265</v>
      </c>
      <c r="J219" t="n">
        <v>1.621379257452138</v>
      </c>
      <c r="K219" t="n">
        <v>0.2040164043318846</v>
      </c>
      <c r="L219" t="n">
        <v>0.4278605871353556</v>
      </c>
      <c r="M219" t="n">
        <v>0.4200141692867816</v>
      </c>
      <c r="N219" t="n">
        <v>1.287491256592077</v>
      </c>
      <c r="O219" t="n">
        <v>-0.5023372215734704</v>
      </c>
      <c r="P219" t="n">
        <v>-0.7589652077575417</v>
      </c>
      <c r="Q219" t="n">
        <v>-0.5006646847380118</v>
      </c>
      <c r="R219" t="n">
        <v>-1.249843638269062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0.1825167430677478</v>
      </c>
      <c r="AJ219" t="n">
        <v>0.3333333333333333</v>
      </c>
    </row>
    <row r="220">
      <c r="A220" t="inlineStr">
        <is>
          <t>2022-03-16</t>
        </is>
      </c>
      <c r="B220" t="n">
        <v>1</v>
      </c>
      <c r="C220" t="n">
        <v>2.288787815620464</v>
      </c>
      <c r="D220" t="n">
        <v>1.616041900456643</v>
      </c>
      <c r="E220" t="n">
        <v>2.557136519734144</v>
      </c>
      <c r="F220" t="n">
        <v>-0.3632096344189483</v>
      </c>
      <c r="G220" t="n">
        <v>-0.6497600833057896</v>
      </c>
      <c r="H220" t="n">
        <v>-0.4392669857838898</v>
      </c>
      <c r="I220" t="n">
        <v>-0.4742195095945189</v>
      </c>
      <c r="J220" t="n">
        <v>-0.06765948474604597</v>
      </c>
      <c r="K220" t="n">
        <v>-0.1497664428833674</v>
      </c>
      <c r="L220" t="n">
        <v>0.1316982601018331</v>
      </c>
      <c r="M220" t="n">
        <v>-0.1079746375497218</v>
      </c>
      <c r="N220" t="n">
        <v>-0.180160192575284</v>
      </c>
      <c r="O220" t="n">
        <v>-0.3191853322512164</v>
      </c>
      <c r="P220" t="n">
        <v>-0.3351766071331188</v>
      </c>
      <c r="Q220" t="n">
        <v>-0.3009448500247113</v>
      </c>
      <c r="R220" t="n">
        <v>-0.2488136175062554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0.1461525145790923</v>
      </c>
      <c r="AJ220" t="n">
        <v>0</v>
      </c>
    </row>
    <row r="221">
      <c r="A221" t="inlineStr">
        <is>
          <t>2022-03-17</t>
        </is>
      </c>
      <c r="B221" t="n">
        <v>1</v>
      </c>
      <c r="C221" t="n">
        <v>1.538043675254282</v>
      </c>
      <c r="D221" t="n">
        <v>1.815798466316184</v>
      </c>
      <c r="E221" t="n">
        <v>2.329340213723582</v>
      </c>
      <c r="F221" t="n">
        <v>-0.8270332622299664</v>
      </c>
      <c r="G221" t="n">
        <v>-0.9048132079534085</v>
      </c>
      <c r="H221" t="n">
        <v>-0.962824738256454</v>
      </c>
      <c r="I221" t="n">
        <v>-0.465668942413863</v>
      </c>
      <c r="J221" t="n">
        <v>-0.06765948474604597</v>
      </c>
      <c r="K221" t="n">
        <v>-0.1497664428833674</v>
      </c>
      <c r="L221" t="n">
        <v>0.1316982601018331</v>
      </c>
      <c r="M221" t="n">
        <v>-0.1079746375497218</v>
      </c>
      <c r="N221" t="n">
        <v>-0.180160192575284</v>
      </c>
      <c r="O221" t="n">
        <v>-0.3191853322512164</v>
      </c>
      <c r="P221" t="n">
        <v>-0.3351766071331188</v>
      </c>
      <c r="Q221" t="n">
        <v>-0.3009448500247113</v>
      </c>
      <c r="R221" t="n">
        <v>-0.2488136175062554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</row>
    <row r="222">
      <c r="A222" t="inlineStr">
        <is>
          <t>2022-03-21</t>
        </is>
      </c>
      <c r="B222" t="n">
        <v>1</v>
      </c>
      <c r="C222" t="n">
        <v>1.867464228476333</v>
      </c>
      <c r="D222" t="n">
        <v>1.907163177018197</v>
      </c>
      <c r="E222" t="n">
        <v>2.477069300572358</v>
      </c>
      <c r="F222" t="n">
        <v>-0.7313263131670944</v>
      </c>
      <c r="G222" t="n">
        <v>-0.8136164864130633</v>
      </c>
      <c r="H222" t="n">
        <v>-0.7852970932311978</v>
      </c>
      <c r="I222" t="n">
        <v>-0.4358807344272465</v>
      </c>
      <c r="J222" t="n">
        <v>-0.2287851537675214</v>
      </c>
      <c r="K222" t="n">
        <v>-0.1298282742324308</v>
      </c>
      <c r="L222" t="n">
        <v>0.5175092338694963</v>
      </c>
      <c r="M222" t="n">
        <v>-1.726356493996454</v>
      </c>
      <c r="N222" t="n">
        <v>1.962703389873693</v>
      </c>
      <c r="O222" t="n">
        <v>0.1824086432695045</v>
      </c>
      <c r="P222" t="n">
        <v>-0.569773007048673</v>
      </c>
      <c r="Q222" t="n">
        <v>-0.2973235859386972</v>
      </c>
      <c r="R222" t="n">
        <v>-0.8436562754556207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</row>
    <row r="223">
      <c r="A223" t="inlineStr">
        <is>
          <t>2022-03-22</t>
        </is>
      </c>
      <c r="B223" t="n">
        <v>1</v>
      </c>
      <c r="C223" t="n">
        <v>2.127597832138648</v>
      </c>
      <c r="D223" t="n">
        <v>1.742280311859435</v>
      </c>
      <c r="E223" t="n">
        <v>2.512240436856194</v>
      </c>
      <c r="F223" t="n">
        <v>-0.5198824161705989</v>
      </c>
      <c r="G223" t="n">
        <v>-0.7046267583558737</v>
      </c>
      <c r="H223" t="n">
        <v>-0.5560641151984179</v>
      </c>
      <c r="I223" t="n">
        <v>-0.1311019820653863</v>
      </c>
      <c r="J223" t="n">
        <v>1.209749008311162</v>
      </c>
      <c r="K223" t="n">
        <v>0.2024003727219955</v>
      </c>
      <c r="L223" t="n">
        <v>-0.07786036355773567</v>
      </c>
      <c r="M223" t="n">
        <v>1.006824625576457</v>
      </c>
      <c r="N223" t="n">
        <v>1.108722371639245</v>
      </c>
      <c r="O223" t="n">
        <v>0.1305229343053461</v>
      </c>
      <c r="P223" t="n">
        <v>-0.6751874347695729</v>
      </c>
      <c r="Q223" t="n">
        <v>-0.4679192027136513</v>
      </c>
      <c r="R223" t="n">
        <v>-0.5885314276611938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0.001893756537671531</v>
      </c>
      <c r="AJ223" t="n">
        <v>0.3333333333333333</v>
      </c>
    </row>
    <row r="224">
      <c r="A224" t="inlineStr">
        <is>
          <t>2022-03-23</t>
        </is>
      </c>
      <c r="B224" t="n">
        <v>1</v>
      </c>
      <c r="C224" t="n">
        <v>0.8355163233042777</v>
      </c>
      <c r="D224" t="n">
        <v>0.8228303193913109</v>
      </c>
      <c r="E224" t="n">
        <v>2.573498693514421</v>
      </c>
      <c r="F224" t="n">
        <v>-0.5383530171054525</v>
      </c>
      <c r="G224" t="n">
        <v>-1.354033777699198</v>
      </c>
      <c r="H224" t="n">
        <v>-1.952502193817347</v>
      </c>
      <c r="I224" t="n">
        <v>-0.2028524246347477</v>
      </c>
      <c r="J224" t="n">
        <v>-0.4326192511030497</v>
      </c>
      <c r="K224" t="n">
        <v>1.651247924415098</v>
      </c>
      <c r="L224" t="n">
        <v>0.9052127555353405</v>
      </c>
      <c r="M224" t="n">
        <v>-1.103681948943853</v>
      </c>
      <c r="N224" t="n">
        <v>1.087557779512645</v>
      </c>
      <c r="O224" t="n">
        <v>-0.3871489312659708</v>
      </c>
      <c r="P224" t="n">
        <v>-0.6793068236303533</v>
      </c>
      <c r="Q224" t="n">
        <v>-0.543607712290199</v>
      </c>
      <c r="R224" t="n">
        <v>-0.4372122429450568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</row>
    <row r="225">
      <c r="A225" t="inlineStr">
        <is>
          <t>2022-03-24</t>
        </is>
      </c>
      <c r="B225" t="n">
        <v>1</v>
      </c>
      <c r="C225" t="n">
        <v>0.332239969039377</v>
      </c>
      <c r="D225" t="n">
        <v>1.01314024209246</v>
      </c>
      <c r="E225" t="n">
        <v>2.576396380201515</v>
      </c>
      <c r="F225" t="n">
        <v>-0.9641053273505363</v>
      </c>
      <c r="G225" t="n">
        <v>-1.595977326072985</v>
      </c>
      <c r="H225" t="n">
        <v>-2.473518887104778</v>
      </c>
      <c r="I225" t="n">
        <v>-0.5152028425810244</v>
      </c>
      <c r="J225" t="n">
        <v>-1.514046233514201</v>
      </c>
      <c r="K225" t="n">
        <v>3</v>
      </c>
      <c r="L225" t="n">
        <v>-0.6812074681034568</v>
      </c>
      <c r="M225" t="n">
        <v>0.1181604427029805</v>
      </c>
      <c r="N225" t="n">
        <v>1.520096288507716</v>
      </c>
      <c r="O225" t="n">
        <v>-0.6694198782080691</v>
      </c>
      <c r="P225" t="n">
        <v>-0.449650808053477</v>
      </c>
      <c r="Q225" t="n">
        <v>-0.2753195403890773</v>
      </c>
      <c r="R225" t="n">
        <v>-0.2716615157623905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</row>
    <row r="226">
      <c r="A226" t="inlineStr">
        <is>
          <t>2022-03-25</t>
        </is>
      </c>
      <c r="B226" t="n">
        <v>1</v>
      </c>
      <c r="C226" t="n">
        <v>0.9166822363620396</v>
      </c>
      <c r="D226" t="n">
        <v>0.8054530279787115</v>
      </c>
      <c r="E226" t="n">
        <v>2.551993709025801</v>
      </c>
      <c r="F226" t="n">
        <v>-0.4756685109633016</v>
      </c>
      <c r="G226" t="n">
        <v>-1.306914364505398</v>
      </c>
      <c r="H226" t="n">
        <v>-1.845486118554879</v>
      </c>
      <c r="I226" t="n">
        <v>-0.7771186286146905</v>
      </c>
      <c r="J226" t="n">
        <v>-0.2024051303290338</v>
      </c>
      <c r="K226" t="n">
        <v>0.2268881059681256</v>
      </c>
      <c r="L226" t="n">
        <v>0.4699433257185135</v>
      </c>
      <c r="M226" t="n">
        <v>-1.150753201790663</v>
      </c>
      <c r="N226" t="n">
        <v>0.991803411250553</v>
      </c>
      <c r="O226" t="n">
        <v>0.110571687017729</v>
      </c>
      <c r="P226" t="n">
        <v>-0.6039453937663234</v>
      </c>
      <c r="Q226" t="n">
        <v>-0.3775390655102533</v>
      </c>
      <c r="R226" t="n">
        <v>-0.410019493484439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2022-03-28</t>
        </is>
      </c>
      <c r="B227" t="n">
        <v>1</v>
      </c>
      <c r="C227" t="n">
        <v>1.149146684104904</v>
      </c>
      <c r="D227" t="n">
        <v>0.761019776024737</v>
      </c>
      <c r="E227" t="n">
        <v>2.557651791335676</v>
      </c>
      <c r="F227" t="n">
        <v>-0.2968230466851883</v>
      </c>
      <c r="G227" t="n">
        <v>-1.19743209335714</v>
      </c>
      <c r="H227" t="n">
        <v>-1.612472889415947</v>
      </c>
      <c r="I227" t="n">
        <v>-1.318599498224664</v>
      </c>
      <c r="J227" t="n">
        <v>0.370706920869791</v>
      </c>
      <c r="K227" t="n">
        <v>0.2087131885915379</v>
      </c>
      <c r="L227" t="n">
        <v>0.2176434005149584</v>
      </c>
      <c r="M227" t="n">
        <v>-0.6484886775453984</v>
      </c>
      <c r="N227" t="n">
        <v>0.8126235633438068</v>
      </c>
      <c r="O227" t="n">
        <v>-0.123523787371468</v>
      </c>
      <c r="P227" t="n">
        <v>-0.33313940986491</v>
      </c>
      <c r="Q227" t="n">
        <v>-0.3189149340202284</v>
      </c>
      <c r="R227" t="n">
        <v>-0.2548812575948022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2022-03-29</t>
        </is>
      </c>
      <c r="B228" t="n">
        <v>1</v>
      </c>
      <c r="C228" t="n">
        <v>0.2129912088951625</v>
      </c>
      <c r="D228" t="n">
        <v>0.7600163457858415</v>
      </c>
      <c r="E228" t="n">
        <v>1.324537511121659</v>
      </c>
      <c r="F228" t="n">
        <v>-0.8645753852683462</v>
      </c>
      <c r="G228" t="n">
        <v>-1.129732841801837</v>
      </c>
      <c r="H228" t="n">
        <v>-1.228241036584005</v>
      </c>
      <c r="I228" t="n">
        <v>-1.153745059982331</v>
      </c>
      <c r="J228" t="n">
        <v>-0.53147438676484</v>
      </c>
      <c r="K228" t="n">
        <v>0.9962020177584949</v>
      </c>
      <c r="L228" t="n">
        <v>0.6288322743912584</v>
      </c>
      <c r="M228" t="n">
        <v>-1.406751796649671</v>
      </c>
      <c r="N228" t="n">
        <v>0.5087164589239922</v>
      </c>
      <c r="O228" t="n">
        <v>-0.7219765903332422</v>
      </c>
      <c r="P228" t="n">
        <v>-0.1845734626703718</v>
      </c>
      <c r="Q228" t="n">
        <v>-0.2036267869027548</v>
      </c>
      <c r="R228" t="n">
        <v>-1.203410236497719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2022-03-30</t>
        </is>
      </c>
      <c r="B229" t="n">
        <v>1</v>
      </c>
      <c r="C229" t="n">
        <v>0.4540030545658017</v>
      </c>
      <c r="D229" t="n">
        <v>0.6197926939277744</v>
      </c>
      <c r="E229" t="n">
        <v>1.092187184219663</v>
      </c>
      <c r="F229" t="n">
        <v>-0.6055068898963758</v>
      </c>
      <c r="G229" t="n">
        <v>-0.8309850878604439</v>
      </c>
      <c r="H229" t="n">
        <v>-0.7263471070289621</v>
      </c>
      <c r="I229" t="n">
        <v>-1.518585326931964</v>
      </c>
      <c r="J229" t="n">
        <v>-0.06765948474604597</v>
      </c>
      <c r="K229" t="n">
        <v>-0.1497664428833674</v>
      </c>
      <c r="L229" t="n">
        <v>0.1316982601018331</v>
      </c>
      <c r="M229" t="n">
        <v>-0.1079746375497218</v>
      </c>
      <c r="N229" t="n">
        <v>-0.180160192575284</v>
      </c>
      <c r="O229" t="n">
        <v>-0.3191853322512164</v>
      </c>
      <c r="P229" t="n">
        <v>-0.3351766071331188</v>
      </c>
      <c r="Q229" t="n">
        <v>-0.3009448500247113</v>
      </c>
      <c r="R229" t="n">
        <v>-0.2488136175062554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</row>
    <row r="230">
      <c r="A230" t="inlineStr">
        <is>
          <t>2022-03-31</t>
        </is>
      </c>
      <c r="B230" t="n">
        <v>1</v>
      </c>
      <c r="C230" t="n">
        <v>-0.6370040345504345</v>
      </c>
      <c r="D230" t="n">
        <v>0.2854215874326178</v>
      </c>
      <c r="E230" t="n">
        <v>1.097086498531142</v>
      </c>
      <c r="F230" t="n">
        <v>-1.077017364533657</v>
      </c>
      <c r="G230" t="n">
        <v>-1.56742644187379</v>
      </c>
      <c r="H230" t="n">
        <v>-1.854301325973403</v>
      </c>
      <c r="I230" t="n">
        <v>-1.460100009193192</v>
      </c>
      <c r="J230" t="n">
        <v>-0.6250397783500178</v>
      </c>
      <c r="K230" t="n">
        <v>2.413298909345987</v>
      </c>
      <c r="L230" t="n">
        <v>0.3409902520962331</v>
      </c>
      <c r="M230" t="n">
        <v>0.4080050408192227</v>
      </c>
      <c r="N230" t="n">
        <v>-0.3415658927252261</v>
      </c>
      <c r="O230" t="n">
        <v>0.8828311575646114</v>
      </c>
      <c r="P230" t="n">
        <v>1.784478645737945</v>
      </c>
      <c r="Q230" t="n">
        <v>1.00187130056144</v>
      </c>
      <c r="R230" t="n">
        <v>1.558812439500003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0.1786297391516321</v>
      </c>
      <c r="AJ230" t="n">
        <v>0.3333333333333333</v>
      </c>
    </row>
    <row r="231">
      <c r="A231" t="inlineStr">
        <is>
          <t>2022-04-01</t>
        </is>
      </c>
      <c r="B231" t="n">
        <v>1</v>
      </c>
      <c r="C231" t="n">
        <v>0.530017787424643</v>
      </c>
      <c r="D231" t="n">
        <v>-0.04281949212388726</v>
      </c>
      <c r="E231" t="n">
        <v>1.005646731946173</v>
      </c>
      <c r="F231" t="n">
        <v>0.1956424653878991</v>
      </c>
      <c r="G231" t="n">
        <v>-0.7192496776180057</v>
      </c>
      <c r="H231" t="n">
        <v>-0.5535632990527454</v>
      </c>
      <c r="I231" t="n">
        <v>-1.41340909604915</v>
      </c>
      <c r="J231" t="n">
        <v>2.00457960208011</v>
      </c>
      <c r="K231" t="n">
        <v>-0.5924598194395188</v>
      </c>
      <c r="L231" t="n">
        <v>-0.295815528285741</v>
      </c>
      <c r="M231" t="n">
        <v>0.1412566939852867</v>
      </c>
      <c r="N231" t="n">
        <v>-0.4588958160678319</v>
      </c>
      <c r="O231" t="n">
        <v>0.5183010749589761</v>
      </c>
      <c r="P231" t="n">
        <v>0.5407915734198009</v>
      </c>
      <c r="Q231" t="n">
        <v>-0.06940933114817686</v>
      </c>
      <c r="R231" t="n">
        <v>0.4366965330835396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inlineStr">
        <is>
          <t>2022-04-05</t>
        </is>
      </c>
      <c r="B232" t="n">
        <v>1</v>
      </c>
      <c r="C232" t="n">
        <v>-0.02223791632954001</v>
      </c>
      <c r="D232" t="n">
        <v>-0.08029280303687709</v>
      </c>
      <c r="E232" t="n">
        <v>0.9389911069723045</v>
      </c>
      <c r="F232" t="n">
        <v>-0.2202720809258103</v>
      </c>
      <c r="G232" t="n">
        <v>-1.05841881030323</v>
      </c>
      <c r="H232" t="n">
        <v>-1.04897269042637</v>
      </c>
      <c r="I232" t="n">
        <v>-0.6398423123633885</v>
      </c>
      <c r="J232" t="n">
        <v>-0.9479450141930611</v>
      </c>
      <c r="K232" t="n">
        <v>-0.367573994036809</v>
      </c>
      <c r="L232" t="n">
        <v>0.2293464207138544</v>
      </c>
      <c r="M232" t="n">
        <v>-0.8256602931527225</v>
      </c>
      <c r="N232" t="n">
        <v>0.5561826801011236</v>
      </c>
      <c r="O232" t="n">
        <v>-0.1712012522643819</v>
      </c>
      <c r="P232" t="n">
        <v>-0.2633276032168319</v>
      </c>
      <c r="Q232" t="n">
        <v>-0.2152366647661878</v>
      </c>
      <c r="R232" t="n">
        <v>0.3111833928033731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inlineStr">
        <is>
          <t>2022-04-06</t>
        </is>
      </c>
      <c r="B233" t="n">
        <v>1</v>
      </c>
      <c r="C233" t="n">
        <v>-0.2628268140599106</v>
      </c>
      <c r="D233" t="n">
        <v>-0.05057954690904031</v>
      </c>
      <c r="E233" t="n">
        <v>0.4306790026030576</v>
      </c>
      <c r="F233" t="n">
        <v>-0.4620836911112044</v>
      </c>
      <c r="G233" t="n">
        <v>-0.8791888498788722</v>
      </c>
      <c r="H233" t="n">
        <v>-0.7410660239114177</v>
      </c>
      <c r="I233" t="n">
        <v>0.1726144735607605</v>
      </c>
      <c r="J233" t="n">
        <v>-0.6823092769602105</v>
      </c>
      <c r="K233" t="n">
        <v>0.5029865628118823</v>
      </c>
      <c r="L233" t="n">
        <v>-1.114084739807385</v>
      </c>
      <c r="M233" t="n">
        <v>0.1685006855631111</v>
      </c>
      <c r="N233" t="n">
        <v>0.09857543091726394</v>
      </c>
      <c r="O233" t="n">
        <v>0.106352324377121</v>
      </c>
      <c r="P233" t="n">
        <v>-0.2678048067740575</v>
      </c>
      <c r="Q233" t="n">
        <v>0.0177711006163463</v>
      </c>
      <c r="R233" t="n">
        <v>-0.3603850617415868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inlineStr">
        <is>
          <t>2022-04-07</t>
        </is>
      </c>
      <c r="B234" t="n">
        <v>1</v>
      </c>
      <c r="C234" t="n">
        <v>-0.7707300408356323</v>
      </c>
      <c r="D234" t="n">
        <v>0.07724030429196366</v>
      </c>
      <c r="E234" t="n">
        <v>0.5741691042078058</v>
      </c>
      <c r="F234" t="n">
        <v>-1.008840349235585</v>
      </c>
      <c r="G234" t="n">
        <v>-1.387119521803541</v>
      </c>
      <c r="H234" t="n">
        <v>-1.420477175255661</v>
      </c>
      <c r="I234" t="n">
        <v>0.5317049983967035</v>
      </c>
      <c r="J234" t="n">
        <v>-1.857462633613899</v>
      </c>
      <c r="K234" t="n">
        <v>2.119825476337733</v>
      </c>
      <c r="L234" t="n">
        <v>-0.6331794390494012</v>
      </c>
      <c r="M234" t="n">
        <v>-0.09615003209557976</v>
      </c>
      <c r="N234" t="n">
        <v>0.3603588325608371</v>
      </c>
      <c r="O234" t="n">
        <v>-0.007684599313962065</v>
      </c>
      <c r="P234" t="n">
        <v>-0.1730313253879008</v>
      </c>
      <c r="Q234" t="n">
        <v>-0.3302807415694761</v>
      </c>
      <c r="R234" t="n">
        <v>0.4414267859536176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inlineStr">
        <is>
          <t>2022-04-08</t>
        </is>
      </c>
      <c r="B235" t="n">
        <v>1</v>
      </c>
      <c r="C235" t="n">
        <v>0.307927280664813</v>
      </c>
      <c r="D235" t="n">
        <v>0.2193741574260338</v>
      </c>
      <c r="E235" t="n">
        <v>0.4686469477192214</v>
      </c>
      <c r="F235" t="n">
        <v>-0.3188894031855559</v>
      </c>
      <c r="G235" t="n">
        <v>-0.4461755066894211</v>
      </c>
      <c r="H235" t="n">
        <v>-0.1952738505057892</v>
      </c>
      <c r="I235" t="n">
        <v>0.8629139585934702</v>
      </c>
      <c r="J235" t="n">
        <v>0.6090904834292296</v>
      </c>
      <c r="K235" t="n">
        <v>-0.4960049372738102</v>
      </c>
      <c r="L235" t="n">
        <v>0.6188899366177719</v>
      </c>
      <c r="M235" t="n">
        <v>0.04145566356345252</v>
      </c>
      <c r="N235" t="n">
        <v>-0.06478234326377204</v>
      </c>
      <c r="O235" t="n">
        <v>-0.3076748340552987</v>
      </c>
      <c r="P235" t="n">
        <v>-0.4941826666259611</v>
      </c>
      <c r="Q235" t="n">
        <v>-0.2681378826904806</v>
      </c>
      <c r="R235" t="n">
        <v>-0.9097433736807318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2022-04-11</t>
        </is>
      </c>
      <c r="B236" t="n">
        <v>1</v>
      </c>
      <c r="C236" t="n">
        <v>0.2637180559373423</v>
      </c>
      <c r="D236" t="n">
        <v>0.200529524575335</v>
      </c>
      <c r="E236" t="n">
        <v>0.4050460778749424</v>
      </c>
      <c r="F236" t="n">
        <v>-0.3310975473751254</v>
      </c>
      <c r="G236" t="n">
        <v>-0.4221268878830937</v>
      </c>
      <c r="H236" t="n">
        <v>-0.1712628739186232</v>
      </c>
      <c r="I236" t="n">
        <v>0.8952254703954687</v>
      </c>
      <c r="J236" t="n">
        <v>-0.3571188757788062</v>
      </c>
      <c r="K236" t="n">
        <v>0.2249835137010515</v>
      </c>
      <c r="L236" t="n">
        <v>-0.8174023733291104</v>
      </c>
      <c r="M236" t="n">
        <v>-0.9006948003435419</v>
      </c>
      <c r="N236" t="n">
        <v>0.4421404603898336</v>
      </c>
      <c r="O236" t="n">
        <v>-0.3191853322512164</v>
      </c>
      <c r="P236" t="n">
        <v>-0.1523491488579929</v>
      </c>
      <c r="Q236" t="n">
        <v>-0.06829681153489943</v>
      </c>
      <c r="R236" t="n">
        <v>-0.02570989848533506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2022-04-13</t>
        </is>
      </c>
      <c r="B237" t="n">
        <v>1</v>
      </c>
      <c r="C237" t="n">
        <v>-0.4743033880884745</v>
      </c>
      <c r="D237" t="n">
        <v>0.4719164868956388</v>
      </c>
      <c r="E237" t="n">
        <v>0.4757079619476398</v>
      </c>
      <c r="F237" t="n">
        <v>-1.099878215251972</v>
      </c>
      <c r="G237" t="n">
        <v>-1.085911479722118</v>
      </c>
      <c r="H237" t="n">
        <v>-1.007872324472846</v>
      </c>
      <c r="I237" t="n">
        <v>-0.6566820712735385</v>
      </c>
      <c r="J237" t="n">
        <v>-0.06765948474604597</v>
      </c>
      <c r="K237" t="n">
        <v>-0.1497664428833674</v>
      </c>
      <c r="L237" t="n">
        <v>0.1316982601018331</v>
      </c>
      <c r="M237" t="n">
        <v>-0.1079746375497218</v>
      </c>
      <c r="N237" t="n">
        <v>-0.180160192575284</v>
      </c>
      <c r="O237" t="n">
        <v>-0.3191853322512164</v>
      </c>
      <c r="P237" t="n">
        <v>-0.3351766071331188</v>
      </c>
      <c r="Q237" t="n">
        <v>-0.3009448500247113</v>
      </c>
      <c r="R237" t="n">
        <v>-0.2488136175062554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</row>
    <row r="238">
      <c r="A238" t="inlineStr">
        <is>
          <t>2022-04-18</t>
        </is>
      </c>
      <c r="B238" t="n">
        <v>1</v>
      </c>
      <c r="C238" t="n">
        <v>0.6614511623894119</v>
      </c>
      <c r="D238" t="n">
        <v>0.3904199683879406</v>
      </c>
      <c r="E238" t="n">
        <v>0.3321847851412653</v>
      </c>
      <c r="F238" t="n">
        <v>-0.2496875873526373</v>
      </c>
      <c r="G238" t="n">
        <v>-0.01235864962885372</v>
      </c>
      <c r="H238" t="n">
        <v>0.3176075995570312</v>
      </c>
      <c r="I238" t="n">
        <v>-0.6499534009637712</v>
      </c>
      <c r="J238" t="n">
        <v>0.7692547220782241</v>
      </c>
      <c r="K238" t="n">
        <v>-0.9735906104747153</v>
      </c>
      <c r="L238" t="n">
        <v>-2.685824016632927</v>
      </c>
      <c r="M238" t="n">
        <v>-0.5086325588968548</v>
      </c>
      <c r="N238" t="n">
        <v>0.1583705407118324</v>
      </c>
      <c r="O238" t="n">
        <v>0.5397493248191814</v>
      </c>
      <c r="P238" t="n">
        <v>3</v>
      </c>
      <c r="Q238" t="n">
        <v>3</v>
      </c>
      <c r="R238" t="n">
        <v>0.6600072264938273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0.5943149806931615</v>
      </c>
      <c r="AJ238" t="n">
        <v>0.3333333333333333</v>
      </c>
    </row>
    <row r="239">
      <c r="A239" t="inlineStr">
        <is>
          <t>2022-04-20</t>
        </is>
      </c>
      <c r="B239" t="n">
        <v>1</v>
      </c>
      <c r="C239" t="n">
        <v>0.2870282297618875</v>
      </c>
      <c r="D239" t="n">
        <v>0.6767241716032183</v>
      </c>
      <c r="E239" t="n">
        <v>0.2276136981114626</v>
      </c>
      <c r="F239" t="n">
        <v>-0.7570464471964533</v>
      </c>
      <c r="G239" t="n">
        <v>-0.2199924449727945</v>
      </c>
      <c r="H239" t="n">
        <v>0.04661311242317468</v>
      </c>
      <c r="I239" t="n">
        <v>-0.9833841672973405</v>
      </c>
      <c r="J239" t="n">
        <v>-1.162874039488536</v>
      </c>
      <c r="K239" t="n">
        <v>-0.1533241992547521</v>
      </c>
      <c r="L239" t="n">
        <v>0.7672881049037306</v>
      </c>
      <c r="M239" t="n">
        <v>-0.4758599238767239</v>
      </c>
      <c r="N239" t="n">
        <v>1.104612742100099</v>
      </c>
      <c r="O239" t="n">
        <v>-0.08760659847835292</v>
      </c>
      <c r="P239" t="n">
        <v>0.1412382444820145</v>
      </c>
      <c r="Q239" t="n">
        <v>0.02814708741196542</v>
      </c>
      <c r="R239" t="n">
        <v>-0.334876798687143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inlineStr">
        <is>
          <t>2022-04-21</t>
        </is>
      </c>
      <c r="B240" t="n">
        <v>1</v>
      </c>
      <c r="C240" t="n">
        <v>0.1368418970450716</v>
      </c>
      <c r="D240" t="n">
        <v>0.03643339302098761</v>
      </c>
      <c r="E240" t="n">
        <v>0.265196954347307</v>
      </c>
      <c r="F240" t="n">
        <v>-0.2372347070195432</v>
      </c>
      <c r="G240" t="n">
        <v>-0.3912435908048383</v>
      </c>
      <c r="H240" t="n">
        <v>-0.1489917475716675</v>
      </c>
      <c r="I240" t="n">
        <v>0.4597984421128389</v>
      </c>
      <c r="J240" t="n">
        <v>-0.06765948474604597</v>
      </c>
      <c r="K240" t="n">
        <v>-0.1497664428833674</v>
      </c>
      <c r="L240" t="n">
        <v>0.1316982601018331</v>
      </c>
      <c r="M240" t="n">
        <v>-0.1079746375497218</v>
      </c>
      <c r="N240" t="n">
        <v>-0.180160192575284</v>
      </c>
      <c r="O240" t="n">
        <v>-0.3191853322512164</v>
      </c>
      <c r="P240" t="n">
        <v>-0.3351766071331188</v>
      </c>
      <c r="Q240" t="n">
        <v>-0.3009448500247113</v>
      </c>
      <c r="R240" t="n">
        <v>-0.2488136175062554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</row>
    <row r="241">
      <c r="A241" t="inlineStr">
        <is>
          <t>2022-04-22</t>
        </is>
      </c>
      <c r="B241" t="n">
        <v>1</v>
      </c>
      <c r="C241" t="n">
        <v>0.1686742565893647</v>
      </c>
      <c r="D241" t="n">
        <v>0.5201571839620346</v>
      </c>
      <c r="E241" t="n">
        <v>0.311614265731372</v>
      </c>
      <c r="F241" t="n">
        <v>-0.707217018218577</v>
      </c>
      <c r="G241" t="n">
        <v>-0.4106222915525793</v>
      </c>
      <c r="H241" t="n">
        <v>-0.1669605133768202</v>
      </c>
      <c r="I241" t="n">
        <v>1.26372926304419</v>
      </c>
      <c r="J241" t="n">
        <v>0.7134984057901319</v>
      </c>
      <c r="K241" t="n">
        <v>-0.6166308479881677</v>
      </c>
      <c r="L241" t="n">
        <v>-2.222945549140945</v>
      </c>
      <c r="M241" t="n">
        <v>-0.5524481077735595</v>
      </c>
      <c r="N241" t="n">
        <v>-0.233071672891783</v>
      </c>
      <c r="O241" t="n">
        <v>-0.7706101837766199</v>
      </c>
      <c r="P241" t="n">
        <v>-0.4275011835460866</v>
      </c>
      <c r="Q241" t="n">
        <v>-0.3236620700467962</v>
      </c>
      <c r="R241" t="n">
        <v>-1.066920123148029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0.5232688639154912</v>
      </c>
      <c r="AJ241" t="n">
        <v>0.3333333333333333</v>
      </c>
    </row>
    <row r="242">
      <c r="A242" t="inlineStr">
        <is>
          <t>2022-04-25</t>
        </is>
      </c>
      <c r="B242" t="n">
        <v>1</v>
      </c>
      <c r="C242" t="n">
        <v>0.8194596000067691</v>
      </c>
      <c r="D242" t="n">
        <v>0.5974724453369576</v>
      </c>
      <c r="E242" t="n">
        <v>0.4176922764608191</v>
      </c>
      <c r="F242" t="n">
        <v>-0.351276935081317</v>
      </c>
      <c r="G242" t="n">
        <v>0.02434112158663589</v>
      </c>
      <c r="H242" t="n">
        <v>0.3867525774194246</v>
      </c>
      <c r="I242" t="n">
        <v>1.363778186281879</v>
      </c>
      <c r="J242" t="n">
        <v>-0.6328575777937632</v>
      </c>
      <c r="K242" t="n">
        <v>-0.7382411266343299</v>
      </c>
      <c r="L242" t="n">
        <v>-2.188352281459707</v>
      </c>
      <c r="M242" t="n">
        <v>0.2950110022730789</v>
      </c>
      <c r="N242" t="n">
        <v>1.236942813260587</v>
      </c>
      <c r="O242" t="n">
        <v>-0.3441780523474405</v>
      </c>
      <c r="P242" t="n">
        <v>-0.6866585969880078</v>
      </c>
      <c r="Q242" t="n">
        <v>-0.4671020079390884</v>
      </c>
      <c r="R242" t="n">
        <v>-0.4628053570230459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0.274172050742042</v>
      </c>
      <c r="AJ242" t="n">
        <v>0</v>
      </c>
    </row>
    <row r="243">
      <c r="A243" t="inlineStr">
        <is>
          <t>2022-04-27</t>
        </is>
      </c>
      <c r="B243" t="n">
        <v>1</v>
      </c>
      <c r="C243" t="n">
        <v>0.2437532387366763</v>
      </c>
      <c r="D243" t="n">
        <v>0.9037398798087193</v>
      </c>
      <c r="E243" t="n">
        <v>0.6742243894376091</v>
      </c>
      <c r="F243" t="n">
        <v>-0.9445067422872979</v>
      </c>
      <c r="G243" t="n">
        <v>-0.6747751193209097</v>
      </c>
      <c r="H243" t="n">
        <v>-0.4859528045448912</v>
      </c>
      <c r="I243" t="n">
        <v>0.9115651033287117</v>
      </c>
      <c r="J243" t="n">
        <v>-0.9965780289474684</v>
      </c>
      <c r="K243" t="n">
        <v>-0.2412496926428437</v>
      </c>
      <c r="L243" t="n">
        <v>-1.202477531264941</v>
      </c>
      <c r="M243" t="n">
        <v>-1.860046339258111</v>
      </c>
      <c r="N243" t="n">
        <v>0.9042683020667528</v>
      </c>
      <c r="O243" t="n">
        <v>-0.1978412589915007</v>
      </c>
      <c r="P243" t="n">
        <v>-0.3614614953168683</v>
      </c>
      <c r="Q243" t="n">
        <v>-0.0400742208308103</v>
      </c>
      <c r="R243" t="n">
        <v>-0.108706564223199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0.3731547439360596</v>
      </c>
      <c r="AJ243" t="n">
        <v>0.3333333333333333</v>
      </c>
    </row>
    <row r="244">
      <c r="A244" t="inlineStr">
        <is>
          <t>2022-04-28</t>
        </is>
      </c>
      <c r="B244" t="n">
        <v>1</v>
      </c>
      <c r="C244" t="n">
        <v>0.5712522425243114</v>
      </c>
      <c r="D244" t="n">
        <v>0.9052083435699102</v>
      </c>
      <c r="E244" t="n">
        <v>0.7006553289913199</v>
      </c>
      <c r="F244" t="n">
        <v>-0.7560449642165603</v>
      </c>
      <c r="G244" t="n">
        <v>-0.4490440630227133</v>
      </c>
      <c r="H244" t="n">
        <v>-0.1778527334923173</v>
      </c>
      <c r="I244" t="n">
        <v>0.859205582759794</v>
      </c>
      <c r="J244" t="n">
        <v>-0.06765948474604597</v>
      </c>
      <c r="K244" t="n">
        <v>-0.1497664428833674</v>
      </c>
      <c r="L244" t="n">
        <v>0.1316982601018331</v>
      </c>
      <c r="M244" t="n">
        <v>-0.1079746375497218</v>
      </c>
      <c r="N244" t="n">
        <v>-0.180160192575284</v>
      </c>
      <c r="O244" t="n">
        <v>-0.3191853322512164</v>
      </c>
      <c r="P244" t="n">
        <v>-0.3351766071331188</v>
      </c>
      <c r="Q244" t="n">
        <v>-0.3009448500247113</v>
      </c>
      <c r="R244" t="n">
        <v>-0.2488136175062554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0.3787305301602767</v>
      </c>
      <c r="AJ244" t="n">
        <v>0.6666666666666666</v>
      </c>
    </row>
    <row r="245">
      <c r="A245" t="inlineStr">
        <is>
          <t>2022-05-02</t>
        </is>
      </c>
      <c r="B245" t="n">
        <v>1</v>
      </c>
      <c r="C245" t="n">
        <v>0.6675120617687637</v>
      </c>
      <c r="D245" t="n">
        <v>1.092410713834689</v>
      </c>
      <c r="E245" t="n">
        <v>0.7189916408480787</v>
      </c>
      <c r="F245" t="n">
        <v>-0.8297538886818595</v>
      </c>
      <c r="G245" t="n">
        <v>-0.3927105900426725</v>
      </c>
      <c r="H245" t="n">
        <v>-0.09884259078347446</v>
      </c>
      <c r="I245" t="n">
        <v>0.3743874907793671</v>
      </c>
      <c r="J245" t="n">
        <v>-0.52231827706267</v>
      </c>
      <c r="K245" t="n">
        <v>-0.55916854329643</v>
      </c>
      <c r="L245" t="n">
        <v>-1.636948087171968</v>
      </c>
      <c r="M245" t="n">
        <v>-0.1070635705831496</v>
      </c>
      <c r="N245" t="n">
        <v>0.9829677077413904</v>
      </c>
      <c r="O245" t="n">
        <v>0.1507671340347543</v>
      </c>
      <c r="P245" t="n">
        <v>-0.6080822209402654</v>
      </c>
      <c r="Q245" t="n">
        <v>-0.3908539978789383</v>
      </c>
      <c r="R245" t="n">
        <v>-0.5609702090225389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0.1824149593386877</v>
      </c>
      <c r="AJ245" t="n">
        <v>0</v>
      </c>
    </row>
    <row r="246">
      <c r="A246" t="inlineStr">
        <is>
          <t>2022-05-04</t>
        </is>
      </c>
      <c r="B246" t="n">
        <v>1</v>
      </c>
      <c r="C246" t="n">
        <v>1.040006022131367</v>
      </c>
      <c r="D246" t="n">
        <v>0.8096005827131473</v>
      </c>
      <c r="E246" t="n">
        <v>0.7210012452733648</v>
      </c>
      <c r="F246" t="n">
        <v>-0.4054789260622765</v>
      </c>
      <c r="G246" t="n">
        <v>-0.1154911935276538</v>
      </c>
      <c r="H246" t="n">
        <v>0.2822420291002885</v>
      </c>
      <c r="I246" t="n">
        <v>-0.05205671077739221</v>
      </c>
      <c r="J246" t="n">
        <v>-0.06765948474604597</v>
      </c>
      <c r="K246" t="n">
        <v>-0.1497664428833674</v>
      </c>
      <c r="L246" t="n">
        <v>0.1316982601018331</v>
      </c>
      <c r="M246" t="n">
        <v>-0.1079746375497218</v>
      </c>
      <c r="N246" t="n">
        <v>-0.180160192575284</v>
      </c>
      <c r="O246" t="n">
        <v>-0.3191853322512164</v>
      </c>
      <c r="P246" t="n">
        <v>-0.3351766071331188</v>
      </c>
      <c r="Q246" t="n">
        <v>-0.3009448500247113</v>
      </c>
      <c r="R246" t="n">
        <v>-0.2488136175062554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</row>
    <row r="247">
      <c r="A247" t="inlineStr">
        <is>
          <t>2022-05-05</t>
        </is>
      </c>
      <c r="B247" t="n">
        <v>1</v>
      </c>
      <c r="C247" t="n">
        <v>0.1182896560928077</v>
      </c>
      <c r="D247" t="n">
        <v>1.136484447140846</v>
      </c>
      <c r="E247" t="n">
        <v>0.8983748477684598</v>
      </c>
      <c r="F247" t="n">
        <v>-1.153227802332554</v>
      </c>
      <c r="G247" t="n">
        <v>-0.9325152942044314</v>
      </c>
      <c r="H247" t="n">
        <v>-0.8599919481806897</v>
      </c>
      <c r="I247" t="n">
        <v>0.1056525257489051</v>
      </c>
      <c r="J247" t="n">
        <v>-1.901821531349799</v>
      </c>
      <c r="K247" t="n">
        <v>3</v>
      </c>
      <c r="L247" t="n">
        <v>1.219303150818549</v>
      </c>
      <c r="M247" t="n">
        <v>0.7474019500162521</v>
      </c>
      <c r="N247" t="n">
        <v>1.687563692227898</v>
      </c>
      <c r="O247" t="n">
        <v>-0.6577790625627126</v>
      </c>
      <c r="P247" t="n">
        <v>-0.1396576705362027</v>
      </c>
      <c r="Q247" t="n">
        <v>0.1173823111613699</v>
      </c>
      <c r="R247" t="n">
        <v>-0.4663553624028871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0.5445056793362346</v>
      </c>
      <c r="AJ247" t="n">
        <v>0.3333333333333333</v>
      </c>
    </row>
    <row r="248">
      <c r="A248" t="inlineStr">
        <is>
          <t>2022-05-06</t>
        </is>
      </c>
      <c r="B248" t="n">
        <v>1</v>
      </c>
      <c r="C248" t="n">
        <v>1.251324485222449</v>
      </c>
      <c r="D248" t="n">
        <v>0.9617655401512264</v>
      </c>
      <c r="E248" t="n">
        <v>0.4759837224736657</v>
      </c>
      <c r="F248" t="n">
        <v>-0.4096188471894355</v>
      </c>
      <c r="G248" t="n">
        <v>0.3105255394297456</v>
      </c>
      <c r="H248" t="n">
        <v>0.7674249056849676</v>
      </c>
      <c r="I248" t="n">
        <v>0.49883287149585</v>
      </c>
      <c r="J248" t="n">
        <v>-0.08980660041082544</v>
      </c>
      <c r="K248" t="n">
        <v>-1.29551551892586</v>
      </c>
      <c r="L248" t="n">
        <v>-2.312074082709058</v>
      </c>
      <c r="M248" t="n">
        <v>-1.922163127801269</v>
      </c>
      <c r="N248" t="n">
        <v>1.235504442921885</v>
      </c>
      <c r="O248" t="n">
        <v>0.4225730265403845</v>
      </c>
      <c r="P248" t="n">
        <v>-0.1558840342301306</v>
      </c>
      <c r="Q248" t="n">
        <v>-0.1134532345362547</v>
      </c>
      <c r="R248" t="n">
        <v>-0.6621458236335402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0.7404253341999841</v>
      </c>
      <c r="AJ248" t="n">
        <v>0.6666666666666666</v>
      </c>
    </row>
    <row r="249">
      <c r="A249" t="inlineStr">
        <is>
          <t>2022-05-10</t>
        </is>
      </c>
      <c r="B249" t="n">
        <v>1</v>
      </c>
      <c r="C249" t="n">
        <v>1.321537048499752</v>
      </c>
      <c r="D249" t="n">
        <v>0.6618035182651785</v>
      </c>
      <c r="E249" t="n">
        <v>0.5632199886333124</v>
      </c>
      <c r="F249" t="n">
        <v>-0.09492654513328433</v>
      </c>
      <c r="G249" t="n">
        <v>0.2656264465334953</v>
      </c>
      <c r="H249" t="n">
        <v>0.7443424841323858</v>
      </c>
      <c r="I249" t="n">
        <v>-0.2713025458798327</v>
      </c>
      <c r="J249" t="n">
        <v>-0.9610656212132185</v>
      </c>
      <c r="K249" t="n">
        <v>-0.05722099108236141</v>
      </c>
      <c r="L249" t="n">
        <v>0.3889830046125163</v>
      </c>
      <c r="M249" t="n">
        <v>-0.3829015252875002</v>
      </c>
      <c r="N249" t="n">
        <v>2.120513164176883</v>
      </c>
      <c r="O249" t="n">
        <v>3</v>
      </c>
      <c r="P249" t="n">
        <v>0.5927592619087171</v>
      </c>
      <c r="Q249" t="n">
        <v>0.045353846712063</v>
      </c>
      <c r="R249" t="n">
        <v>-0.2331356567833002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0.3000381101675278</v>
      </c>
      <c r="AJ249" t="n">
        <v>0</v>
      </c>
    </row>
    <row r="250">
      <c r="A250" t="inlineStr">
        <is>
          <t>2022-05-11</t>
        </is>
      </c>
      <c r="B250" t="n">
        <v>1</v>
      </c>
      <c r="C250" t="n">
        <v>1.009870972656415</v>
      </c>
      <c r="D250" t="n">
        <v>0.582533215876306</v>
      </c>
      <c r="E250" t="n">
        <v>0.5563447024543074</v>
      </c>
      <c r="F250" t="n">
        <v>-0.2138538446470823</v>
      </c>
      <c r="G250" t="n">
        <v>0.02768866126270732</v>
      </c>
      <c r="H250" t="n">
        <v>0.4311642180266615</v>
      </c>
      <c r="I250" t="n">
        <v>-0.2576552308530725</v>
      </c>
      <c r="J250" t="n">
        <v>-0.2358655828554362</v>
      </c>
      <c r="K250" t="n">
        <v>0.5828315640887549</v>
      </c>
      <c r="L250" t="n">
        <v>0.5119574570156818</v>
      </c>
      <c r="M250" t="n">
        <v>0.08789552023321336</v>
      </c>
      <c r="N250" t="n">
        <v>1.110366223454903</v>
      </c>
      <c r="O250" t="n">
        <v>1.478601847802123</v>
      </c>
      <c r="P250" t="n">
        <v>1.116637175527444</v>
      </c>
      <c r="Q250" t="n">
        <v>1.499517453459011</v>
      </c>
      <c r="R250" t="n">
        <v>1.120587958723922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2022-05-12</t>
        </is>
      </c>
      <c r="B251" t="n">
        <v>1</v>
      </c>
      <c r="C251" t="n">
        <v>0.9595367001779478</v>
      </c>
      <c r="D251" t="n">
        <v>0.04506965662386916</v>
      </c>
      <c r="E251" t="n">
        <v>0.441958014305354</v>
      </c>
      <c r="F251" t="n">
        <v>0.4161177240272638</v>
      </c>
      <c r="G251" t="n">
        <v>0.112328039209851</v>
      </c>
      <c r="H251" t="n">
        <v>0.5043694284644937</v>
      </c>
      <c r="I251" t="n">
        <v>-0.9949498115867783</v>
      </c>
      <c r="J251" t="n">
        <v>-1.162971729669702</v>
      </c>
      <c r="K251" t="n">
        <v>1.291931839829491</v>
      </c>
      <c r="L251" t="n">
        <v>-1.347693860301036</v>
      </c>
      <c r="M251" t="n">
        <v>0.4668568741888468</v>
      </c>
      <c r="N251" t="n">
        <v>1.917497464943092</v>
      </c>
      <c r="O251" t="n">
        <v>0.6463800298845694</v>
      </c>
      <c r="P251" t="n">
        <v>-0.05510970825979168</v>
      </c>
      <c r="Q251" t="n">
        <v>0.04882068195723031</v>
      </c>
      <c r="R251" t="n">
        <v>-0.1568077246173585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0.5690129015348006</v>
      </c>
      <c r="AJ251" t="n">
        <v>0.3333333333333333</v>
      </c>
    </row>
    <row r="252">
      <c r="A252" t="inlineStr">
        <is>
          <t>2022-05-16</t>
        </is>
      </c>
      <c r="B252" t="n">
        <v>1</v>
      </c>
      <c r="C252" t="n">
        <v>1.785794597836686</v>
      </c>
      <c r="D252" t="n">
        <v>-0.04999664771129826</v>
      </c>
      <c r="E252" t="n">
        <v>0.6506383639751565</v>
      </c>
      <c r="F252" t="n">
        <v>1.266349266163687</v>
      </c>
      <c r="G252" t="n">
        <v>0.5245544224171056</v>
      </c>
      <c r="H252" t="n">
        <v>1.126516793856607</v>
      </c>
      <c r="I252" t="n">
        <v>-0.4657438722939866</v>
      </c>
      <c r="J252" t="n">
        <v>-1.102638632876182</v>
      </c>
      <c r="K252" t="n">
        <v>-0.2641845690507648</v>
      </c>
      <c r="L252" t="n">
        <v>0.42065410493164</v>
      </c>
      <c r="M252" t="n">
        <v>-0.6161900465746316</v>
      </c>
      <c r="N252" t="n">
        <v>2.836410629896041</v>
      </c>
      <c r="O252" t="n">
        <v>1.711700801634451</v>
      </c>
      <c r="P252" t="n">
        <v>0.3433471537031141</v>
      </c>
      <c r="Q252" t="n">
        <v>-0.3377060891780851</v>
      </c>
      <c r="R252" t="n">
        <v>0.7144858751458024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0.05406013267793242</v>
      </c>
      <c r="AJ252" t="n">
        <v>0</v>
      </c>
    </row>
    <row r="253">
      <c r="A253" t="inlineStr">
        <is>
          <t>2022-05-17</t>
        </is>
      </c>
      <c r="B253" t="n">
        <v>1</v>
      </c>
      <c r="C253" t="n">
        <v>1.410719257121262</v>
      </c>
      <c r="D253" t="n">
        <v>0.14694268664295</v>
      </c>
      <c r="E253" t="n">
        <v>0.6931446789220507</v>
      </c>
      <c r="F253" t="n">
        <v>0.6143824485606245</v>
      </c>
      <c r="G253" t="n">
        <v>0.1915920349517395</v>
      </c>
      <c r="H253" t="n">
        <v>0.6941308787768595</v>
      </c>
      <c r="I253" t="n">
        <v>-0.1848212542053347</v>
      </c>
      <c r="J253" t="n">
        <v>-0.5367940210565433</v>
      </c>
      <c r="K253" t="n">
        <v>0.1246148266099183</v>
      </c>
      <c r="L253" t="n">
        <v>0.9361185934630181</v>
      </c>
      <c r="M253" t="n">
        <v>-0.148667132370358</v>
      </c>
      <c r="N253" t="n">
        <v>1.782701616059118</v>
      </c>
      <c r="O253" t="n">
        <v>1.077193808535676</v>
      </c>
      <c r="P253" t="n">
        <v>0.2511444301737993</v>
      </c>
      <c r="Q253" t="n">
        <v>0.3093974592270663</v>
      </c>
      <c r="R253" t="n">
        <v>-0.2247645965695026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inlineStr">
        <is>
          <t>2022-05-18</t>
        </is>
      </c>
      <c r="B254" t="n">
        <v>1</v>
      </c>
      <c r="C254" t="n">
        <v>0.8890123743732309</v>
      </c>
      <c r="D254" t="n">
        <v>1.346352873563197</v>
      </c>
      <c r="E254" t="n">
        <v>1.124783084815444</v>
      </c>
      <c r="F254" t="n">
        <v>-0.8711369772205272</v>
      </c>
      <c r="G254" t="n">
        <v>-0.5624808860003587</v>
      </c>
      <c r="H254" t="n">
        <v>-0.3143602539488431</v>
      </c>
      <c r="I254" t="n">
        <v>1.114121885826524</v>
      </c>
      <c r="J254" t="n">
        <v>-0.06658770479277758</v>
      </c>
      <c r="K254" t="n">
        <v>0.4057651279865522</v>
      </c>
      <c r="L254" t="n">
        <v>0.6450024365607218</v>
      </c>
      <c r="M254" t="n">
        <v>-0.8287108707360207</v>
      </c>
      <c r="N254" t="n">
        <v>0.8656377843987846</v>
      </c>
      <c r="O254" t="n">
        <v>1.263118067798025</v>
      </c>
      <c r="P254" t="n">
        <v>0.7623964320681708</v>
      </c>
      <c r="Q254" t="n">
        <v>-0.121590399528765</v>
      </c>
      <c r="R254" t="n">
        <v>1.218873829967437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0.5628450397536956</v>
      </c>
      <c r="AJ254" t="n">
        <v>0.3333333333333333</v>
      </c>
    </row>
    <row r="255">
      <c r="A255" t="inlineStr">
        <is>
          <t>2022-05-19</t>
        </is>
      </c>
      <c r="B255" t="n">
        <v>1</v>
      </c>
      <c r="C255" t="n">
        <v>1.379650087108497</v>
      </c>
      <c r="D255" t="n">
        <v>1.001605042586496</v>
      </c>
      <c r="E255" t="n">
        <v>1.057166418331608</v>
      </c>
      <c r="F255" t="n">
        <v>-0.3697146049209259</v>
      </c>
      <c r="G255" t="n">
        <v>-0.1784102254994402</v>
      </c>
      <c r="H255" t="n">
        <v>0.2643740439311052</v>
      </c>
      <c r="I255" t="n">
        <v>1.147983823777364</v>
      </c>
      <c r="J255" t="n">
        <v>0.09974027989576621</v>
      </c>
      <c r="K255" t="n">
        <v>-1.061233330475076</v>
      </c>
      <c r="L255" t="n">
        <v>-2.477257917949445</v>
      </c>
      <c r="M255" t="n">
        <v>-0.6738672477309319</v>
      </c>
      <c r="N255" t="n">
        <v>1.213928887841372</v>
      </c>
      <c r="O255" t="n">
        <v>1.036567103343021</v>
      </c>
      <c r="P255" t="n">
        <v>1.757509475634405</v>
      </c>
      <c r="Q255" t="n">
        <v>0.007711203072029472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2022-05-23</t>
        </is>
      </c>
      <c r="B256" t="n">
        <v>1</v>
      </c>
      <c r="C256" t="n">
        <v>1.809536180039697</v>
      </c>
      <c r="D256" t="n">
        <v>2.350941931766013</v>
      </c>
      <c r="E256" t="n">
        <v>1.747672958246403</v>
      </c>
      <c r="F256" t="n">
        <v>-0.9715190471132671</v>
      </c>
      <c r="G256" t="n">
        <v>-0.4296536206393561</v>
      </c>
      <c r="H256" t="n">
        <v>-0.04784833849640386</v>
      </c>
      <c r="I256" t="n">
        <v>1.689307612624483</v>
      </c>
      <c r="J256" t="n">
        <v>-0.9823756150533246</v>
      </c>
      <c r="K256" t="n">
        <v>-0.6569146505237246</v>
      </c>
      <c r="L256" t="n">
        <v>0.7694373920764895</v>
      </c>
      <c r="M256" t="n">
        <v>-1.178656434397463</v>
      </c>
      <c r="N256" t="n">
        <v>2.711272410429058</v>
      </c>
      <c r="O256" t="n">
        <v>-0.07463703102775063</v>
      </c>
      <c r="P256" t="n">
        <v>-0.5431549646849837</v>
      </c>
      <c r="Q256" t="n">
        <v>-0.2471808444848804</v>
      </c>
      <c r="R256" t="n">
        <v>-0.9770304832406355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inlineStr">
        <is>
          <t>2022-05-24</t>
        </is>
      </c>
      <c r="B257" t="n">
        <v>1</v>
      </c>
      <c r="C257" t="n">
        <v>1.700775374157004</v>
      </c>
      <c r="D257" t="n">
        <v>2.332048908394674</v>
      </c>
      <c r="E257" t="n">
        <v>1.69819090462281</v>
      </c>
      <c r="F257" t="n">
        <v>-1.006026153356462</v>
      </c>
      <c r="G257" t="n">
        <v>-0.4593543721231098</v>
      </c>
      <c r="H257" t="n">
        <v>-0.1056866873055309</v>
      </c>
      <c r="I257" t="n">
        <v>1.81711292796727</v>
      </c>
      <c r="J257" t="n">
        <v>0.1097256725031161</v>
      </c>
      <c r="K257" t="n">
        <v>-0.4792071501395566</v>
      </c>
      <c r="L257" t="n">
        <v>0.3760976078910853</v>
      </c>
      <c r="M257" t="n">
        <v>0.03648401060560979</v>
      </c>
      <c r="N257" t="n">
        <v>1.508794807275066</v>
      </c>
      <c r="O257" t="n">
        <v>0.8250794313848413</v>
      </c>
      <c r="P257" t="n">
        <v>0.1318685077205196</v>
      </c>
      <c r="Q257" t="n">
        <v>0.2389330880039873</v>
      </c>
      <c r="R257" t="n">
        <v>1.111780637474397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inlineStr">
        <is>
          <t>2022-05-25</t>
        </is>
      </c>
      <c r="B258" t="n">
        <v>1</v>
      </c>
      <c r="C258" t="n">
        <v>1.147423168799103</v>
      </c>
      <c r="D258" t="n">
        <v>2.341235850866499</v>
      </c>
      <c r="E258" t="n">
        <v>1.647044674399823</v>
      </c>
      <c r="F258" t="n">
        <v>-1.227227236785326</v>
      </c>
      <c r="G258" t="n">
        <v>-0.7483921768277232</v>
      </c>
      <c r="H258" t="n">
        <v>-0.6191723605769223</v>
      </c>
      <c r="I258" t="n">
        <v>1.299421446548171</v>
      </c>
      <c r="J258" t="n">
        <v>-0.3257739287388425</v>
      </c>
      <c r="K258" t="n">
        <v>0.8956261355954037</v>
      </c>
      <c r="L258" t="n">
        <v>1.006551305691428</v>
      </c>
      <c r="M258" t="n">
        <v>0.4920116506462849</v>
      </c>
      <c r="N258" t="n">
        <v>1.321395700290027</v>
      </c>
      <c r="O258" t="n">
        <v>2.169247215319428</v>
      </c>
      <c r="P258" t="n">
        <v>3</v>
      </c>
      <c r="Q258" t="n">
        <v>3</v>
      </c>
      <c r="R258" t="n">
        <v>0.1156315668756288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2022-05-26</t>
        </is>
      </c>
      <c r="B259" t="n">
        <v>1</v>
      </c>
      <c r="C259" t="n">
        <v>0.3973014362119829</v>
      </c>
      <c r="D259" t="n">
        <v>2.348040163954466</v>
      </c>
      <c r="E259" t="n">
        <v>1.489380980281577</v>
      </c>
      <c r="F259" t="n">
        <v>-1.523870571668267</v>
      </c>
      <c r="G259" t="n">
        <v>-1.105258518094752</v>
      </c>
      <c r="H259" t="n">
        <v>-1.218727711434699</v>
      </c>
      <c r="I259" t="n">
        <v>1.461541167355263</v>
      </c>
      <c r="J259" t="n">
        <v>-1.100325810736724</v>
      </c>
      <c r="K259" t="n">
        <v>3</v>
      </c>
      <c r="L259" t="n">
        <v>0.9662745354528376</v>
      </c>
      <c r="M259" t="n">
        <v>0.4306467282682509</v>
      </c>
      <c r="N259" t="n">
        <v>1.178380592327762</v>
      </c>
      <c r="O259" t="n">
        <v>0.1521495362644243</v>
      </c>
      <c r="P259" t="n">
        <v>-0.1217828559522795</v>
      </c>
      <c r="Q259" t="n">
        <v>-0.4583329200000963</v>
      </c>
      <c r="R259" t="n">
        <v>0.4585839938849788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inlineStr">
        <is>
          <t>2022-05-27</t>
        </is>
      </c>
      <c r="B260" t="n">
        <v>1</v>
      </c>
      <c r="C260" t="n">
        <v>0.9752648777211745</v>
      </c>
      <c r="D260" t="n">
        <v>1.988261771473959</v>
      </c>
      <c r="E260" t="n">
        <v>1.563579785416167</v>
      </c>
      <c r="F260" t="n">
        <v>-1.15488827075795</v>
      </c>
      <c r="G260" t="n">
        <v>-0.7998384707199219</v>
      </c>
      <c r="H260" t="n">
        <v>-0.705109014773696</v>
      </c>
      <c r="I260" t="n">
        <v>0.3580652603303059</v>
      </c>
      <c r="J260" t="n">
        <v>-0.2910263170358253</v>
      </c>
      <c r="K260" t="n">
        <v>-0.2920737701440886</v>
      </c>
      <c r="L260" t="n">
        <v>1.601987574517696</v>
      </c>
      <c r="M260" t="n">
        <v>-1.16615035614911</v>
      </c>
      <c r="N260" t="n">
        <v>1.118585482533194</v>
      </c>
      <c r="O260" t="n">
        <v>0.0467414475194786</v>
      </c>
      <c r="P260" t="n">
        <v>-0.4566369308693315</v>
      </c>
      <c r="Q260" t="n">
        <v>-0.1758926149396423</v>
      </c>
      <c r="R260" t="n">
        <v>-0.2252788580913124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0.1484845002011328</v>
      </c>
      <c r="AJ260" t="n">
        <v>0.3333333333333333</v>
      </c>
    </row>
    <row r="261">
      <c r="A261" t="inlineStr">
        <is>
          <t>2022-05-31</t>
        </is>
      </c>
      <c r="B261" t="n">
        <v>1</v>
      </c>
      <c r="C261" t="n">
        <v>0.7700926425504029</v>
      </c>
      <c r="D261" t="n">
        <v>2.187369598138422</v>
      </c>
      <c r="E261" t="n">
        <v>1.769480200387313</v>
      </c>
      <c r="F261" t="n">
        <v>-1.320058751968167</v>
      </c>
      <c r="G261" t="n">
        <v>-1.034099002715302</v>
      </c>
      <c r="H261" t="n">
        <v>-1.141222116714738</v>
      </c>
      <c r="I261" t="n">
        <v>-0.625642960165735</v>
      </c>
      <c r="J261" t="n">
        <v>-0.6349494175025749</v>
      </c>
      <c r="K261" t="n">
        <v>-0.1414141871013662</v>
      </c>
      <c r="L261" t="n">
        <v>-0.5684726415863354</v>
      </c>
      <c r="M261" t="n">
        <v>-0.8067510830941983</v>
      </c>
      <c r="N261" t="n">
        <v>1.185366962544309</v>
      </c>
      <c r="O261" t="n">
        <v>0.1271184053547443</v>
      </c>
      <c r="P261" t="n">
        <v>1.036036655962703</v>
      </c>
      <c r="Q261" t="n">
        <v>1.232395324138924</v>
      </c>
      <c r="R261" t="n">
        <v>0.8003227818832813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inlineStr">
        <is>
          <t>2022-06-01</t>
        </is>
      </c>
      <c r="B262" t="n">
        <v>1</v>
      </c>
      <c r="C262" t="n">
        <v>0.893821412778724</v>
      </c>
      <c r="D262" t="n">
        <v>1.836284633700913</v>
      </c>
      <c r="E262" t="n">
        <v>1.772800264178822</v>
      </c>
      <c r="F262" t="n">
        <v>-1.12301553694203</v>
      </c>
      <c r="G262" t="n">
        <v>-0.9656284496987787</v>
      </c>
      <c r="H262" t="n">
        <v>-1.017538440266885</v>
      </c>
      <c r="I262" t="n">
        <v>-0.6424592997780166</v>
      </c>
      <c r="J262" t="n">
        <v>0.3242075473517054</v>
      </c>
      <c r="K262" t="n">
        <v>0.2689356445734105</v>
      </c>
      <c r="L262" t="n">
        <v>0.4850758804069092</v>
      </c>
      <c r="M262" t="n">
        <v>0.9366110525296841</v>
      </c>
      <c r="N262" t="n">
        <v>0.611251715925674</v>
      </c>
      <c r="O262" t="n">
        <v>0.2218693629763583</v>
      </c>
      <c r="P262" t="n">
        <v>0.2592267962919654</v>
      </c>
      <c r="Q262" t="n">
        <v>0.6765319276108732</v>
      </c>
      <c r="R262" t="n">
        <v>-0.1891221297636108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0.006888327830383787</v>
      </c>
      <c r="AJ262" t="n">
        <v>0.3333333333333333</v>
      </c>
    </row>
    <row r="263">
      <c r="A263" t="inlineStr">
        <is>
          <t>2022-06-02</t>
        </is>
      </c>
      <c r="B263" t="n">
        <v>1</v>
      </c>
      <c r="C263" t="n">
        <v>0.1330436814225968</v>
      </c>
      <c r="D263" t="n">
        <v>1.854307145721918</v>
      </c>
      <c r="E263" t="n">
        <v>1.542179491273991</v>
      </c>
      <c r="F263" t="n">
        <v>-1.466375309916743</v>
      </c>
      <c r="G263" t="n">
        <v>-1.291534655258248</v>
      </c>
      <c r="H263" t="n">
        <v>-1.548333875156417</v>
      </c>
      <c r="I263" t="n">
        <v>-0.6327303468035773</v>
      </c>
      <c r="J263" t="n">
        <v>-0.7711695528002347</v>
      </c>
      <c r="K263" t="n">
        <v>2.359656337219365</v>
      </c>
      <c r="L263" t="n">
        <v>-0.4472865315941389</v>
      </c>
      <c r="M263" t="n">
        <v>0.009875132814069355</v>
      </c>
      <c r="N263" t="n">
        <v>0.5966625310617069</v>
      </c>
      <c r="O263" t="n">
        <v>-0.2025516396175849</v>
      </c>
      <c r="P263" t="n">
        <v>1.814389926058499</v>
      </c>
      <c r="Q263" t="n">
        <v>0.986036128914929</v>
      </c>
      <c r="R263" t="n">
        <v>1.942455746625442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inlineStr">
        <is>
          <t>2022-06-03</t>
        </is>
      </c>
      <c r="B264" t="n">
        <v>1</v>
      </c>
      <c r="C264" t="n">
        <v>0.4111823899450345</v>
      </c>
      <c r="D264" t="n">
        <v>0.8810247876363411</v>
      </c>
      <c r="E264" t="n">
        <v>1.568215152223322</v>
      </c>
      <c r="F264" t="n">
        <v>-0.8319302419840571</v>
      </c>
      <c r="G264" t="n">
        <v>-1.138458495719258</v>
      </c>
      <c r="H264" t="n">
        <v>-1.290591529608643</v>
      </c>
      <c r="I264" t="n">
        <v>-0.6831979845109528</v>
      </c>
      <c r="J264" t="n">
        <v>-0.04992707430788725</v>
      </c>
      <c r="K264" t="n">
        <v>0.06000898745330515</v>
      </c>
      <c r="L264" t="n">
        <v>2.08021493798306</v>
      </c>
      <c r="M264" t="n">
        <v>-0.4630384547083007</v>
      </c>
      <c r="N264" t="n">
        <v>0.3911810541044283</v>
      </c>
      <c r="O264" t="n">
        <v>-0.3582475406671619</v>
      </c>
      <c r="P264" t="n">
        <v>-0.6985906005171589</v>
      </c>
      <c r="Q264" t="n">
        <v>-0.5386411630664338</v>
      </c>
      <c r="R264" t="n">
        <v>-0.4924494746120075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0.6222880303141938</v>
      </c>
      <c r="AJ264" t="n">
        <v>0.3333333333333333</v>
      </c>
    </row>
    <row r="265">
      <c r="A265" t="inlineStr">
        <is>
          <t>2022-06-06</t>
        </is>
      </c>
      <c r="B265" t="n">
        <v>1</v>
      </c>
      <c r="C265" t="n">
        <v>0.7229356821883252</v>
      </c>
      <c r="D265" t="n">
        <v>-0.00740118894093611</v>
      </c>
      <c r="E265" t="n">
        <v>1.425867384846679</v>
      </c>
      <c r="F265" t="n">
        <v>0.3030868877960385</v>
      </c>
      <c r="G265" t="n">
        <v>-0.8698679766764356</v>
      </c>
      <c r="H265" t="n">
        <v>-0.8142587143783397</v>
      </c>
      <c r="I265" t="n">
        <v>-0.6161346066650316</v>
      </c>
      <c r="J265" t="n">
        <v>-0.6921375548583809</v>
      </c>
      <c r="K265" t="n">
        <v>0.303477864068904</v>
      </c>
      <c r="L265" t="n">
        <v>-0.1110322554564319</v>
      </c>
      <c r="M265" t="n">
        <v>-0.2293100269489449</v>
      </c>
      <c r="N265" t="n">
        <v>1.18310666629778</v>
      </c>
      <c r="O265" t="n">
        <v>0.8242107853808636</v>
      </c>
      <c r="P265" t="n">
        <v>0.7684563580301855</v>
      </c>
      <c r="Q265" t="n">
        <v>0.901295782954799</v>
      </c>
      <c r="R265" t="n">
        <v>1.307519844981773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0.3717274393224943</v>
      </c>
      <c r="AJ265" t="n">
        <v>0</v>
      </c>
    </row>
    <row r="266">
      <c r="A266" t="inlineStr">
        <is>
          <t>2022-06-07</t>
        </is>
      </c>
      <c r="B266" t="n">
        <v>1</v>
      </c>
      <c r="C266" t="n">
        <v>0.660759920486758</v>
      </c>
      <c r="D266" t="n">
        <v>-0.04770599601425152</v>
      </c>
      <c r="E266" t="n">
        <v>1.398215370347735</v>
      </c>
      <c r="F266" t="n">
        <v>0.3132027346553355</v>
      </c>
      <c r="G266" t="n">
        <v>-0.8916629286644747</v>
      </c>
      <c r="H266" t="n">
        <v>-0.8480179779280427</v>
      </c>
      <c r="I266" t="n">
        <v>-1.657083491205443</v>
      </c>
      <c r="J266" t="n">
        <v>0.4103978239900266</v>
      </c>
      <c r="K266" t="n">
        <v>0.1899099054065947</v>
      </c>
      <c r="L266" t="n">
        <v>-1.074181915954346</v>
      </c>
      <c r="M266" t="n">
        <v>-0.2435264812685431</v>
      </c>
      <c r="N266" t="n">
        <v>0.3500847587129732</v>
      </c>
      <c r="O266" t="n">
        <v>-0.4558694867578934</v>
      </c>
      <c r="P266" t="n">
        <v>-0.2133531738865023</v>
      </c>
      <c r="Q266" t="n">
        <v>-0.02849006159729723</v>
      </c>
      <c r="R266" t="n">
        <v>-0.7644524870882554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0.2426553052636397</v>
      </c>
      <c r="AJ266" t="n">
        <v>0</v>
      </c>
    </row>
    <row r="267">
      <c r="A267" t="inlineStr">
        <is>
          <t>2022-06-08</t>
        </is>
      </c>
      <c r="B267" t="n">
        <v>1</v>
      </c>
      <c r="C267" t="n">
        <v>0.7742535092841539</v>
      </c>
      <c r="D267" t="n">
        <v>0.07437954932002626</v>
      </c>
      <c r="E267" t="n">
        <v>1.44309125237148</v>
      </c>
      <c r="F267" t="n">
        <v>0.224094415456047</v>
      </c>
      <c r="G267" t="n">
        <v>-0.8487146703879758</v>
      </c>
      <c r="H267" t="n">
        <v>-0.7802763597562795</v>
      </c>
      <c r="I267" t="n">
        <v>-1.428471536161685</v>
      </c>
      <c r="J267" t="n">
        <v>-0.1420757795581971</v>
      </c>
      <c r="K267" t="n">
        <v>0.151375734205678</v>
      </c>
      <c r="L267" t="n">
        <v>0.482582196915426</v>
      </c>
      <c r="M267" t="n">
        <v>0.3750000123771113</v>
      </c>
      <c r="N267" t="n">
        <v>0.8068700819890023</v>
      </c>
      <c r="O267" t="n">
        <v>1.13807186382079</v>
      </c>
      <c r="P267" t="n">
        <v>0.8305461856465711</v>
      </c>
      <c r="Q267" t="n">
        <v>-0.403362940927248</v>
      </c>
      <c r="R267" t="n">
        <v>1.503397922573386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inlineStr">
        <is>
          <t>2022-06-09</t>
        </is>
      </c>
      <c r="B268" t="n">
        <v>1</v>
      </c>
      <c r="C268" t="n">
        <v>-0.2603612198575918</v>
      </c>
      <c r="D268" t="n">
        <v>0.04263909794105758</v>
      </c>
      <c r="E268" t="n">
        <v>1.440894281979227</v>
      </c>
      <c r="F268" t="n">
        <v>-0.5658792716222384</v>
      </c>
      <c r="G268" t="n">
        <v>-1.482950382226733</v>
      </c>
      <c r="H268" t="n">
        <v>-1.842450682260837</v>
      </c>
      <c r="I268" t="n">
        <v>-1.41847445455623</v>
      </c>
      <c r="J268" t="n">
        <v>-1.220973364757728</v>
      </c>
      <c r="K268" t="n">
        <v>1.704880484820483</v>
      </c>
      <c r="L268" t="n">
        <v>-0.7473655301516354</v>
      </c>
      <c r="M268" t="n">
        <v>-1.245100611224368</v>
      </c>
      <c r="N268" t="n">
        <v>0.4894012000900081</v>
      </c>
      <c r="O268" t="n">
        <v>-0.08983777124165918</v>
      </c>
      <c r="P268" t="n">
        <v>-0.2998994155732095</v>
      </c>
      <c r="Q268" t="n">
        <v>-0.3256180827864517</v>
      </c>
      <c r="R268" t="n">
        <v>-0.5671771821594533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inlineStr">
        <is>
          <t>2022-06-13</t>
        </is>
      </c>
      <c r="B269" t="n">
        <v>1</v>
      </c>
      <c r="C269" t="n">
        <v>1.418966853306047</v>
      </c>
      <c r="D269" t="n">
        <v>0.222470407638671</v>
      </c>
      <c r="E269" t="n">
        <v>1.290893932015335</v>
      </c>
      <c r="F269" t="n">
        <v>0.5068133117665271</v>
      </c>
      <c r="G269" t="n">
        <v>-0.3413068859246378</v>
      </c>
      <c r="H269" t="n">
        <v>0.04942154344693625</v>
      </c>
      <c r="I269" t="n">
        <v>-0.8833846441879879</v>
      </c>
      <c r="J269" t="n">
        <v>0.1874551812358361</v>
      </c>
      <c r="K269" t="n">
        <v>-0.8896189068304153</v>
      </c>
      <c r="L269" t="n">
        <v>-3</v>
      </c>
      <c r="M269" t="n">
        <v>1.012561223884959</v>
      </c>
      <c r="N269" t="n">
        <v>1.185777925498224</v>
      </c>
      <c r="O269" t="n">
        <v>-0.3224293407232415</v>
      </c>
      <c r="P269" t="n">
        <v>-0.5844774679560414</v>
      </c>
      <c r="Q269" t="n">
        <v>-0.3686041874428907</v>
      </c>
      <c r="R269" t="n">
        <v>-0.4729197371608547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inlineStr">
        <is>
          <t>2022-06-15</t>
        </is>
      </c>
      <c r="B270" t="n">
        <v>1</v>
      </c>
      <c r="C270" t="n">
        <v>1.553980024033061</v>
      </c>
      <c r="D270" t="n">
        <v>0.4211452703226439</v>
      </c>
      <c r="E270" t="n">
        <v>1.348127811126084</v>
      </c>
      <c r="F270" t="n">
        <v>0.3322501394306868</v>
      </c>
      <c r="G270" t="n">
        <v>-0.2993768548099357</v>
      </c>
      <c r="H270" t="n">
        <v>0.1258015969132608</v>
      </c>
      <c r="I270" t="n">
        <v>0.1236911115704778</v>
      </c>
      <c r="J270" t="n">
        <v>0.7446571283377998</v>
      </c>
      <c r="K270" t="n">
        <v>0.01997740929689352</v>
      </c>
      <c r="L270" t="n">
        <v>0.4919909753812828</v>
      </c>
      <c r="M270" t="n">
        <v>0.3312907213166202</v>
      </c>
      <c r="N270" t="n">
        <v>0.927693190439882</v>
      </c>
      <c r="O270" t="n">
        <v>1.059283420184191</v>
      </c>
      <c r="P270" t="n">
        <v>0.7112168510241509</v>
      </c>
      <c r="Q270" t="n">
        <v>0.4552295937023216</v>
      </c>
      <c r="R270" t="n">
        <v>1.877658103677645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2022-06-16</t>
        </is>
      </c>
      <c r="B271" t="n">
        <v>1</v>
      </c>
      <c r="C271" t="n">
        <v>1.263366852633532</v>
      </c>
      <c r="D271" t="n">
        <v>0.4311672880723256</v>
      </c>
      <c r="E271" t="n">
        <v>1.348153446769137</v>
      </c>
      <c r="F271" t="n">
        <v>0.1202919733743083</v>
      </c>
      <c r="G271" t="n">
        <v>-0.4821545376103844</v>
      </c>
      <c r="H271" t="n">
        <v>-0.1732551583230978</v>
      </c>
      <c r="I271" t="n">
        <v>0.1658063084699356</v>
      </c>
      <c r="J271" t="n">
        <v>-0.06765948474604597</v>
      </c>
      <c r="K271" t="n">
        <v>-0.1497664428833674</v>
      </c>
      <c r="L271" t="n">
        <v>0.1316982601018331</v>
      </c>
      <c r="M271" t="n">
        <v>-0.1079746375497218</v>
      </c>
      <c r="N271" t="n">
        <v>-0.180160192575284</v>
      </c>
      <c r="O271" t="n">
        <v>-0.3191853322512164</v>
      </c>
      <c r="P271" t="n">
        <v>-0.3351766071331188</v>
      </c>
      <c r="Q271" t="n">
        <v>-0.3009448500247113</v>
      </c>
      <c r="R271" t="n">
        <v>-0.2488136175062554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0.4735723754125259</v>
      </c>
      <c r="AJ271" t="n">
        <v>0.3333333333333333</v>
      </c>
    </row>
    <row r="272">
      <c r="A272" t="inlineStr">
        <is>
          <t>2022-06-17</t>
        </is>
      </c>
      <c r="B272" t="n">
        <v>1</v>
      </c>
      <c r="C272" t="n">
        <v>2.068407983527798</v>
      </c>
      <c r="D272" t="n">
        <v>0.5512779599531016</v>
      </c>
      <c r="E272" t="n">
        <v>1.193657959826715</v>
      </c>
      <c r="F272" t="n">
        <v>0.5108507783569068</v>
      </c>
      <c r="G272" t="n">
        <v>0.1599195890563121</v>
      </c>
      <c r="H272" t="n">
        <v>0.8239246423137444</v>
      </c>
      <c r="I272" t="n">
        <v>-0.08884043585242934</v>
      </c>
      <c r="J272" t="n">
        <v>0.07107201029295587</v>
      </c>
      <c r="K272" t="n">
        <v>-0.7647501673124689</v>
      </c>
      <c r="L272" t="n">
        <v>-0.66416090744253</v>
      </c>
      <c r="M272" t="n">
        <v>0.4641769538268693</v>
      </c>
      <c r="N272" t="n">
        <v>1.888319095215159</v>
      </c>
      <c r="O272" t="n">
        <v>3</v>
      </c>
      <c r="P272" t="n">
        <v>-0.1286596970829924</v>
      </c>
      <c r="Q272" t="n">
        <v>-0.1079007273833877</v>
      </c>
      <c r="R272" t="n">
        <v>1.47110384958928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1.05474277307357</v>
      </c>
      <c r="AJ272" t="n">
        <v>0.6666666666666666</v>
      </c>
    </row>
    <row r="273">
      <c r="A273" t="inlineStr">
        <is>
          <t>2022-06-20</t>
        </is>
      </c>
      <c r="B273" t="n">
        <v>1</v>
      </c>
      <c r="C273" t="n">
        <v>1.995530382778203</v>
      </c>
      <c r="D273" t="n">
        <v>0.5327830709669986</v>
      </c>
      <c r="E273" t="n">
        <v>0.5402170890639904</v>
      </c>
      <c r="F273" t="n">
        <v>0.4866864686117784</v>
      </c>
      <c r="G273" t="n">
        <v>0.826099894108561</v>
      </c>
      <c r="H273" t="n">
        <v>1.462989924838523</v>
      </c>
      <c r="I273" t="n">
        <v>0.6872530688187608</v>
      </c>
      <c r="J273" t="n">
        <v>-0.9553454330952653</v>
      </c>
      <c r="K273" t="n">
        <v>0.2300588375656377</v>
      </c>
      <c r="L273" t="n">
        <v>0.3208842196387582</v>
      </c>
      <c r="M273" t="n">
        <v>-0.0620458284863598</v>
      </c>
      <c r="N273" t="n">
        <v>2.892712554582336</v>
      </c>
      <c r="O273" t="n">
        <v>0.6124676119331326</v>
      </c>
      <c r="P273" t="n">
        <v>-0.5679033687042728</v>
      </c>
      <c r="Q273" t="n">
        <v>-0.4805261585465921</v>
      </c>
      <c r="R273" t="n">
        <v>-0.9438243625090678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0.7379047224725218</v>
      </c>
      <c r="AJ273" t="n">
        <v>0</v>
      </c>
    </row>
    <row r="274">
      <c r="A274" t="inlineStr">
        <is>
          <t>2022-06-21</t>
        </is>
      </c>
      <c r="B274" t="n">
        <v>1</v>
      </c>
      <c r="C274" t="n">
        <v>0.9791837861669751</v>
      </c>
      <c r="D274" t="n">
        <v>0.6070901789727898</v>
      </c>
      <c r="E274" t="n">
        <v>0.5542952222651457</v>
      </c>
      <c r="F274" t="n">
        <v>-0.2578840996431555</v>
      </c>
      <c r="G274" t="n">
        <v>0.005649346721052615</v>
      </c>
      <c r="H274" t="n">
        <v>0.4018279801617733</v>
      </c>
      <c r="I274" t="n">
        <v>-0.08742798179703098</v>
      </c>
      <c r="J274" t="n">
        <v>-0.4783728693705665</v>
      </c>
      <c r="K274" t="n">
        <v>0.7755603663612635</v>
      </c>
      <c r="L274" t="n">
        <v>1.310619133711983</v>
      </c>
      <c r="M274" t="n">
        <v>-1.345292114443051</v>
      </c>
      <c r="N274" t="n">
        <v>1.27516236797464</v>
      </c>
      <c r="O274" t="n">
        <v>0.0572409171359981</v>
      </c>
      <c r="P274" t="n">
        <v>-0.2747503024230084</v>
      </c>
      <c r="Q274" t="n">
        <v>-0.0295926136617275</v>
      </c>
      <c r="R274" t="n">
        <v>-0.621793778891951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inlineStr">
        <is>
          <t>2022-06-22</t>
        </is>
      </c>
      <c r="B275" t="n">
        <v>1</v>
      </c>
      <c r="C275" t="n">
        <v>0.7673700391013369</v>
      </c>
      <c r="D275" t="n">
        <v>1.279448792779524</v>
      </c>
      <c r="E275" t="n">
        <v>0.8327029751228376</v>
      </c>
      <c r="F275" t="n">
        <v>-0.8934175766926914</v>
      </c>
      <c r="G275" t="n">
        <v>-0.4170041450977864</v>
      </c>
      <c r="H275" t="n">
        <v>-0.1203519910379158</v>
      </c>
      <c r="I275" t="n">
        <v>0.8237090873105244</v>
      </c>
      <c r="J275" t="n">
        <v>-0.5020833812134738</v>
      </c>
      <c r="K275" t="n">
        <v>-0.127401399377676</v>
      </c>
      <c r="L275" t="n">
        <v>-1.024265139593298</v>
      </c>
      <c r="M275" t="n">
        <v>-1.460446690981279</v>
      </c>
      <c r="N275" t="n">
        <v>1.072146668740849</v>
      </c>
      <c r="O275" t="n">
        <v>1.905707458651743</v>
      </c>
      <c r="P275" t="n">
        <v>0.568506400350702</v>
      </c>
      <c r="Q275" t="n">
        <v>0.2416726685963052</v>
      </c>
      <c r="R275" t="n">
        <v>1.480752546968548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0.4515437332033252</v>
      </c>
      <c r="AJ275" t="n">
        <v>0.3333333333333333</v>
      </c>
    </row>
    <row r="276">
      <c r="A276" t="inlineStr">
        <is>
          <t>2022-06-23</t>
        </is>
      </c>
      <c r="B276" t="n">
        <v>1</v>
      </c>
      <c r="C276" t="n">
        <v>0.3751463918590865</v>
      </c>
      <c r="D276" t="n">
        <v>1.359323197040351</v>
      </c>
      <c r="E276" t="n">
        <v>0.9252310054829996</v>
      </c>
      <c r="F276" t="n">
        <v>-1.137310001762385</v>
      </c>
      <c r="G276" t="n">
        <v>-0.7694607599496855</v>
      </c>
      <c r="H276" t="n">
        <v>-0.6250444633925505</v>
      </c>
      <c r="I276" t="n">
        <v>0.9931382117802831</v>
      </c>
      <c r="J276" t="n">
        <v>-1.227667891405585</v>
      </c>
      <c r="K276" t="n">
        <v>1.854733294803723</v>
      </c>
      <c r="L276" t="n">
        <v>0.3255245826835582</v>
      </c>
      <c r="M276" t="n">
        <v>1.340557993672823</v>
      </c>
      <c r="N276" t="n">
        <v>1.274134960589854</v>
      </c>
      <c r="O276" t="n">
        <v>-0.3160012782635955</v>
      </c>
      <c r="P276" t="n">
        <v>-0.3824153009009577</v>
      </c>
      <c r="Q276" t="n">
        <v>-0.5548109634667622</v>
      </c>
      <c r="R276" t="n">
        <v>-0.1152568452942213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0.6276200897589176</v>
      </c>
      <c r="AJ276" t="n">
        <v>0.6666666666666666</v>
      </c>
    </row>
    <row r="277">
      <c r="A277" t="inlineStr">
        <is>
          <t>2022-06-24</t>
        </is>
      </c>
      <c r="B277" t="n">
        <v>1</v>
      </c>
      <c r="C277" t="n">
        <v>0.9303661114051682</v>
      </c>
      <c r="D277" t="n">
        <v>1.469540733438459</v>
      </c>
      <c r="E277" t="n">
        <v>0.9394247652361114</v>
      </c>
      <c r="F277" t="n">
        <v>-0.9213437778433796</v>
      </c>
      <c r="G277" t="n">
        <v>-0.3897197655956968</v>
      </c>
      <c r="H277" t="n">
        <v>-0.069257058668324</v>
      </c>
      <c r="I277" t="n">
        <v>0.26034196794331</v>
      </c>
      <c r="J277" t="n">
        <v>-0.3244346124000127</v>
      </c>
      <c r="K277" t="n">
        <v>-0.6165276317530339</v>
      </c>
      <c r="L277" t="n">
        <v>1.794962320608243</v>
      </c>
      <c r="M277" t="n">
        <v>-0.4175991216314286</v>
      </c>
      <c r="N277" t="n">
        <v>1.09927022369921</v>
      </c>
      <c r="O277" t="n">
        <v>2.320940590504428</v>
      </c>
      <c r="P277" t="n">
        <v>2.118540205097487</v>
      </c>
      <c r="Q277" t="n">
        <v>3</v>
      </c>
      <c r="R277" t="n">
        <v>1.953630687674489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1.250163755004942</v>
      </c>
      <c r="AJ277" t="n">
        <v>1</v>
      </c>
    </row>
    <row r="278">
      <c r="A278" t="inlineStr">
        <is>
          <t>2022-06-27</t>
        </is>
      </c>
      <c r="B278" t="n">
        <v>1</v>
      </c>
      <c r="C278" t="n">
        <v>0.8088050133764804</v>
      </c>
      <c r="D278" t="n">
        <v>1.520304738200926</v>
      </c>
      <c r="E278" t="n">
        <v>0.9261970856493057</v>
      </c>
      <c r="F278" t="n">
        <v>-1.007703517694831</v>
      </c>
      <c r="G278" t="n">
        <v>-0.4644605774448206</v>
      </c>
      <c r="H278" t="n">
        <v>-0.1798836570174648</v>
      </c>
      <c r="I278" t="n">
        <v>0.2345066108941153</v>
      </c>
      <c r="J278" t="n">
        <v>-1.043639616696896</v>
      </c>
      <c r="K278" t="n">
        <v>0.290254936378311</v>
      </c>
      <c r="L278" t="n">
        <v>1.922206178492999</v>
      </c>
      <c r="M278" t="n">
        <v>-0.3819617119198428</v>
      </c>
      <c r="N278" t="n">
        <v>1.610302656891961</v>
      </c>
      <c r="O278" t="n">
        <v>1.124887405850475</v>
      </c>
      <c r="P278" t="n">
        <v>0.02753258662894911</v>
      </c>
      <c r="Q278" t="n">
        <v>0.01272070861283781</v>
      </c>
      <c r="R278" t="n">
        <v>-0.3709417107686266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0.6832730949631393</v>
      </c>
      <c r="AJ278" t="n">
        <v>0</v>
      </c>
    </row>
    <row r="279">
      <c r="A279" t="inlineStr">
        <is>
          <t>2022-06-28</t>
        </is>
      </c>
      <c r="B279" t="n">
        <v>1</v>
      </c>
      <c r="C279" t="n">
        <v>0.7857433759663733</v>
      </c>
      <c r="D279" t="n">
        <v>0.8845038731424248</v>
      </c>
      <c r="E279" t="n">
        <v>0.7023354203282225</v>
      </c>
      <c r="F279" t="n">
        <v>-0.6162194739799053</v>
      </c>
      <c r="G279" t="n">
        <v>-0.2889349572662111</v>
      </c>
      <c r="H279" t="n">
        <v>0.04101369517871278</v>
      </c>
      <c r="I279" t="n">
        <v>0.4007552735566595</v>
      </c>
      <c r="J279" t="n">
        <v>-0.8140391198339578</v>
      </c>
      <c r="K279" t="n">
        <v>-0.1136128740985775</v>
      </c>
      <c r="L279" t="n">
        <v>-0.6179270633071382</v>
      </c>
      <c r="M279" t="n">
        <v>-0.6122171643245653</v>
      </c>
      <c r="N279" t="n">
        <v>1.361259106819739</v>
      </c>
      <c r="O279" t="n">
        <v>0.2988064041243845</v>
      </c>
      <c r="P279" t="n">
        <v>-0.05869677721781418</v>
      </c>
      <c r="Q279" t="n">
        <v>-0.3131845684518502</v>
      </c>
      <c r="R279" t="n">
        <v>-0.4107298393466152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0.1096964568075661</v>
      </c>
      <c r="AJ279" t="n">
        <v>0</v>
      </c>
    </row>
    <row r="280">
      <c r="A280" t="inlineStr">
        <is>
          <t>2022-06-30</t>
        </is>
      </c>
      <c r="B280" t="n">
        <v>1</v>
      </c>
      <c r="C280" t="n">
        <v>0.7814328225284733</v>
      </c>
      <c r="D280" t="n">
        <v>0.8910477898350836</v>
      </c>
      <c r="E280" t="n">
        <v>0.7044043621975944</v>
      </c>
      <c r="F280" t="n">
        <v>-0.6237309285952399</v>
      </c>
      <c r="G280" t="n">
        <v>-0.2940725867121681</v>
      </c>
      <c r="H280" t="n">
        <v>0.03431746235804985</v>
      </c>
      <c r="I280" t="n">
        <v>-1.065203468703931</v>
      </c>
      <c r="J280" t="n">
        <v>-0.6508384144229968</v>
      </c>
      <c r="K280" t="n">
        <v>0.9761574635300933</v>
      </c>
      <c r="L280" t="n">
        <v>0.6061069759412755</v>
      </c>
      <c r="M280" t="n">
        <v>1.681276864989605</v>
      </c>
      <c r="N280" t="n">
        <v>1.211257628640927</v>
      </c>
      <c r="O280" t="n">
        <v>2.955985110606849</v>
      </c>
      <c r="P280" t="n">
        <v>2.744860254462053</v>
      </c>
      <c r="Q280" t="n">
        <v>1.184321239257894</v>
      </c>
      <c r="R280" t="n">
        <v>1.957709617733051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2022-07-01</t>
        </is>
      </c>
      <c r="B281" t="n">
        <v>1</v>
      </c>
      <c r="C281" t="n">
        <v>1.112454976917062</v>
      </c>
      <c r="D281" t="n">
        <v>0.1536998868068819</v>
      </c>
      <c r="E281" t="n">
        <v>0.6490930847945515</v>
      </c>
      <c r="F281" t="n">
        <v>0.3746117919398878</v>
      </c>
      <c r="G281" t="n">
        <v>0.01078614363440599</v>
      </c>
      <c r="H281" t="n">
        <v>0.4353672354386124</v>
      </c>
      <c r="I281" t="n">
        <v>-1.153806920667964</v>
      </c>
      <c r="J281" t="n">
        <v>0.584985725365312</v>
      </c>
      <c r="K281" t="n">
        <v>-0.553480603658011</v>
      </c>
      <c r="L281" t="n">
        <v>-0.7252787671528756</v>
      </c>
      <c r="M281" t="n">
        <v>-0.1946969853734596</v>
      </c>
      <c r="N281" t="n">
        <v>0.6465945299623258</v>
      </c>
      <c r="O281" t="n">
        <v>0.5457029392209103</v>
      </c>
      <c r="P281" t="n">
        <v>-0.3516084395494138</v>
      </c>
      <c r="Q281" t="n">
        <v>-0.3379665089355526</v>
      </c>
      <c r="R281" t="n">
        <v>-0.2105112944577085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inlineStr">
        <is>
          <t>2022-07-04</t>
        </is>
      </c>
      <c r="B282" t="n">
        <v>1</v>
      </c>
      <c r="C282" t="n">
        <v>0.950837925672635</v>
      </c>
      <c r="D282" t="n">
        <v>0.1219676298072815</v>
      </c>
      <c r="E282" t="n">
        <v>0.6561622621303801</v>
      </c>
      <c r="F282" t="n">
        <v>0.2951519491183367</v>
      </c>
      <c r="G282" t="n">
        <v>-0.119919772384538</v>
      </c>
      <c r="H282" t="n">
        <v>0.2613451750905613</v>
      </c>
      <c r="I282" t="n">
        <v>-1.463282059099254</v>
      </c>
      <c r="J282" t="n">
        <v>-0.2971488666870632</v>
      </c>
      <c r="K282" t="n">
        <v>-0.02153669256778657</v>
      </c>
      <c r="L282" t="n">
        <v>0.4648392718462351</v>
      </c>
      <c r="M282" t="n">
        <v>-0.8096178881574323</v>
      </c>
      <c r="N282" t="n">
        <v>1.098653779268338</v>
      </c>
      <c r="O282" t="n">
        <v>3</v>
      </c>
      <c r="P282" t="n">
        <v>1.517022868806939</v>
      </c>
      <c r="Q282" t="n">
        <v>1.432053276425856</v>
      </c>
      <c r="R282" t="n">
        <v>-0.4209048872359977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inlineStr">
        <is>
          <t>2022-07-05</t>
        </is>
      </c>
      <c r="B283" t="n">
        <v>1</v>
      </c>
      <c r="C283" t="n">
        <v>0.4104999907434616</v>
      </c>
      <c r="D283" t="n">
        <v>0.127408623656871</v>
      </c>
      <c r="E283" t="n">
        <v>0.6956559692691204</v>
      </c>
      <c r="F283" t="n">
        <v>-0.1328378128963828</v>
      </c>
      <c r="G283" t="n">
        <v>-0.5660380362502487</v>
      </c>
      <c r="H283" t="n">
        <v>-0.3377969512822054</v>
      </c>
      <c r="I283" t="n">
        <v>-1.71189203468115</v>
      </c>
      <c r="J283" t="n">
        <v>0.2203344865340464</v>
      </c>
      <c r="K283" t="n">
        <v>0.3087374707447852</v>
      </c>
      <c r="L283" t="n">
        <v>0.8599227530737658</v>
      </c>
      <c r="M283" t="n">
        <v>-0.9445017961399507</v>
      </c>
      <c r="N283" t="n">
        <v>0.2302890576468799</v>
      </c>
      <c r="O283" t="n">
        <v>-0.7001203561369569</v>
      </c>
      <c r="P283" t="n">
        <v>-0.6991310304198715</v>
      </c>
      <c r="Q283" t="n">
        <v>-0.5856345427679502</v>
      </c>
      <c r="R283" t="n">
        <v>-0.4349156730883724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inlineStr">
        <is>
          <t>2022-07-06</t>
        </is>
      </c>
      <c r="B284" t="n">
        <v>1</v>
      </c>
      <c r="C284" t="n">
        <v>0.4288104874355274</v>
      </c>
      <c r="D284" t="n">
        <v>-0.2639704677090861</v>
      </c>
      <c r="E284" t="n">
        <v>0.6635691534593516</v>
      </c>
      <c r="F284" t="n">
        <v>0.4706001997287481</v>
      </c>
      <c r="G284" t="n">
        <v>-0.5251094394300523</v>
      </c>
      <c r="H284" t="n">
        <v>-0.2838930687937126</v>
      </c>
      <c r="I284" t="n">
        <v>-1.615463463508332</v>
      </c>
      <c r="J284" t="n">
        <v>0.1748948820069073</v>
      </c>
      <c r="K284" t="n">
        <v>0.217425543773198</v>
      </c>
      <c r="L284" t="n">
        <v>0.9383789092773392</v>
      </c>
      <c r="M284" t="n">
        <v>0.005333923821188575</v>
      </c>
      <c r="N284" t="n">
        <v>0.2732346863309507</v>
      </c>
      <c r="O284" t="n">
        <v>-0.4906961484577085</v>
      </c>
      <c r="P284" t="n">
        <v>-0.5410492885953152</v>
      </c>
      <c r="Q284" t="n">
        <v>-0.4573516789523192</v>
      </c>
      <c r="R284" t="n">
        <v>-0.516574163950157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0.01207541856560662</v>
      </c>
      <c r="AJ284" t="n">
        <v>0.3333333333333333</v>
      </c>
    </row>
    <row r="285">
      <c r="A285" t="inlineStr">
        <is>
          <t>2022-07-07</t>
        </is>
      </c>
      <c r="B285" t="n">
        <v>1</v>
      </c>
      <c r="C285" t="n">
        <v>0.07923978411303322</v>
      </c>
      <c r="D285" t="n">
        <v>-0.6149271510218037</v>
      </c>
      <c r="E285" t="n">
        <v>0.7950821372116468</v>
      </c>
      <c r="F285" t="n">
        <v>0.8527780198131256</v>
      </c>
      <c r="G285" t="n">
        <v>-0.8889670547443674</v>
      </c>
      <c r="H285" t="n">
        <v>-0.7872986056085175</v>
      </c>
      <c r="I285" t="n">
        <v>-1.005677227320329</v>
      </c>
      <c r="J285" t="n">
        <v>-1.233549014385011</v>
      </c>
      <c r="K285" t="n">
        <v>1.507319729998589</v>
      </c>
      <c r="L285" t="n">
        <v>1.601317538828968</v>
      </c>
      <c r="M285" t="n">
        <v>0.5880336582670276</v>
      </c>
      <c r="N285" t="n">
        <v>0.9165971906841892</v>
      </c>
      <c r="O285" t="n">
        <v>1.497353224029619</v>
      </c>
      <c r="P285" t="n">
        <v>1.858032494683729</v>
      </c>
      <c r="Q285" t="n">
        <v>1.147104717800708</v>
      </c>
      <c r="R285" t="n">
        <v>2.041045296467651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0.5773651201966035</v>
      </c>
      <c r="AJ285" t="n">
        <v>0.6666666666666666</v>
      </c>
    </row>
    <row r="286">
      <c r="A286" t="inlineStr">
        <is>
          <t>2022-07-12</t>
        </is>
      </c>
      <c r="B286" t="n">
        <v>1</v>
      </c>
      <c r="C286" t="n">
        <v>0.1897036292901127</v>
      </c>
      <c r="D286" t="n">
        <v>-0.7388710563630045</v>
      </c>
      <c r="E286" t="n">
        <v>0.105447305961898</v>
      </c>
      <c r="F286" t="n">
        <v>1.329063425743739</v>
      </c>
      <c r="G286" t="n">
        <v>-0.1696933320373593</v>
      </c>
      <c r="H286" t="n">
        <v>0.07996859003424887</v>
      </c>
      <c r="I286" t="n">
        <v>-0.5236146077073264</v>
      </c>
      <c r="J286" t="n">
        <v>0.1249168676010411</v>
      </c>
      <c r="K286" t="n">
        <v>0.09761489142416226</v>
      </c>
      <c r="L286" t="n">
        <v>-0.987904826370437</v>
      </c>
      <c r="M286" t="n">
        <v>-0.2504376991488321</v>
      </c>
      <c r="N286" t="n">
        <v>0.07782180174457917</v>
      </c>
      <c r="O286" t="n">
        <v>-0.6640483694070994</v>
      </c>
      <c r="P286" t="n">
        <v>-0.6843959098323451</v>
      </c>
      <c r="Q286" t="n">
        <v>-0.5989793525564263</v>
      </c>
      <c r="R286" t="n">
        <v>-1.128739237212552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0.01069338887744379</v>
      </c>
      <c r="AJ286" t="n">
        <v>0</v>
      </c>
    </row>
    <row r="287">
      <c r="A287" t="inlineStr">
        <is>
          <t>2022-07-13</t>
        </is>
      </c>
      <c r="B287" t="n">
        <v>1</v>
      </c>
      <c r="C287" t="n">
        <v>0.2095131112317565</v>
      </c>
      <c r="D287" t="n">
        <v>-0.4582142966582086</v>
      </c>
      <c r="E287" t="n">
        <v>0.188812109429645</v>
      </c>
      <c r="F287" t="n">
        <v>0.6351755514078432</v>
      </c>
      <c r="G287" t="n">
        <v>-0.2461554944676654</v>
      </c>
      <c r="H287" t="n">
        <v>0.009254090731542852</v>
      </c>
      <c r="I287" t="n">
        <v>-0.03187954455971356</v>
      </c>
      <c r="J287" t="n">
        <v>-0.008773302332182238</v>
      </c>
      <c r="K287" t="n">
        <v>0.4675051106457688</v>
      </c>
      <c r="L287" t="n">
        <v>1.002136384085371</v>
      </c>
      <c r="M287" t="n">
        <v>0.6989605163535015</v>
      </c>
      <c r="N287" t="n">
        <v>0.1719323181910127</v>
      </c>
      <c r="O287" t="n">
        <v>-0.7423533926138906</v>
      </c>
      <c r="P287" t="n">
        <v>-0.6895247422336825</v>
      </c>
      <c r="Q287" t="n">
        <v>-0.5475004515801518</v>
      </c>
      <c r="R287" t="n">
        <v>-0.9194791291946983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inlineStr">
        <is>
          <t>2022-07-14</t>
        </is>
      </c>
      <c r="B288" t="n">
        <v>1</v>
      </c>
      <c r="C288" t="n">
        <v>0.09460526550788795</v>
      </c>
      <c r="D288" t="n">
        <v>-0.4364561156162869</v>
      </c>
      <c r="E288" t="n">
        <v>0.2073155007030973</v>
      </c>
      <c r="F288" t="n">
        <v>0.4702735779140427</v>
      </c>
      <c r="G288" t="n">
        <v>-0.3684261564353308</v>
      </c>
      <c r="H288" t="n">
        <v>-0.1292009979480045</v>
      </c>
      <c r="I288" t="n">
        <v>-0.4272044281156058</v>
      </c>
      <c r="J288" t="n">
        <v>-0.4214739805658333</v>
      </c>
      <c r="K288" t="n">
        <v>2.575701384949352</v>
      </c>
      <c r="L288" t="n">
        <v>0.5748863002727674</v>
      </c>
      <c r="M288" t="n">
        <v>1.860416226685423</v>
      </c>
      <c r="N288" t="n">
        <v>0.3102213521832612</v>
      </c>
      <c r="O288" t="n">
        <v>-0.3170382853512583</v>
      </c>
      <c r="P288" t="n">
        <v>0.1725367676624976</v>
      </c>
      <c r="Q288" t="n">
        <v>0.5278224106100462</v>
      </c>
      <c r="R288" t="n">
        <v>-0.7019368189319627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0.1432695525580251</v>
      </c>
      <c r="AJ288" t="n">
        <v>0.3333333333333333</v>
      </c>
    </row>
    <row r="289">
      <c r="A289" t="inlineStr">
        <is>
          <t>2022-07-20</t>
        </is>
      </c>
      <c r="B289" t="n">
        <v>1</v>
      </c>
      <c r="C289" t="n">
        <v>-0.4320617544885063</v>
      </c>
      <c r="D289" t="n">
        <v>-0.1785333246134114</v>
      </c>
      <c r="E289" t="n">
        <v>-0.3772116730808284</v>
      </c>
      <c r="F289" t="n">
        <v>-0.4526687275989389</v>
      </c>
      <c r="G289" t="n">
        <v>-0.1829535364725194</v>
      </c>
      <c r="H289" t="n">
        <v>-0.03237200919316342</v>
      </c>
      <c r="I289" t="n">
        <v>0.2475864747613243</v>
      </c>
      <c r="J289" t="n">
        <v>-0.4309774177697237</v>
      </c>
      <c r="K289" t="n">
        <v>0.4667850062305726</v>
      </c>
      <c r="L289" t="n">
        <v>2.357748166681693</v>
      </c>
      <c r="M289" t="n">
        <v>0.2429195313836163</v>
      </c>
      <c r="N289" t="n">
        <v>-0.230811376645253</v>
      </c>
      <c r="O289" t="n">
        <v>-0.4512339931464107</v>
      </c>
      <c r="P289" t="n">
        <v>-0.3358076800624316</v>
      </c>
      <c r="Q289" t="n">
        <v>-0.4162246134685634</v>
      </c>
      <c r="R289" t="n">
        <v>-0.3890357711822835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inlineStr">
        <is>
          <t>2022-07-21</t>
        </is>
      </c>
      <c r="B290" t="n">
        <v>1</v>
      </c>
      <c r="C290" t="n">
        <v>-0.7658278012747238</v>
      </c>
      <c r="D290" t="n">
        <v>-0.2505855739976323</v>
      </c>
      <c r="E290" t="n">
        <v>-0.6315747983472059</v>
      </c>
      <c r="F290" t="n">
        <v>-0.6695657591621494</v>
      </c>
      <c r="G290" t="n">
        <v>-0.2003678144768706</v>
      </c>
      <c r="H290" t="n">
        <v>-0.09784569907933759</v>
      </c>
      <c r="I290" t="n">
        <v>0.1706924841278672</v>
      </c>
      <c r="J290" t="n">
        <v>-1.899559754633737</v>
      </c>
      <c r="K290" t="n">
        <v>1.834274388185485</v>
      </c>
      <c r="L290" t="n">
        <v>-0.08692174559403903</v>
      </c>
      <c r="M290" t="n">
        <v>0.01488690226158356</v>
      </c>
      <c r="N290" t="n">
        <v>0.4061812019223098</v>
      </c>
      <c r="O290" t="n">
        <v>-0.6984822304835755</v>
      </c>
      <c r="P290" t="n">
        <v>0.1107434469918523</v>
      </c>
      <c r="Q290" t="n">
        <v>-0.1788156042683554</v>
      </c>
      <c r="R290" t="n">
        <v>0.2023448608254452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2022-07-22</t>
        </is>
      </c>
      <c r="B291" t="n">
        <v>1</v>
      </c>
      <c r="C291" t="n">
        <v>-0.3225828821702112</v>
      </c>
      <c r="D291" t="n">
        <v>-0.3322357278072607</v>
      </c>
      <c r="E291" t="n">
        <v>-0.692994839659119</v>
      </c>
      <c r="F291" t="n">
        <v>-0.1341434448960598</v>
      </c>
      <c r="G291" t="n">
        <v>0.4837079093108971</v>
      </c>
      <c r="H291" t="n">
        <v>0.4253519888457412</v>
      </c>
      <c r="I291" t="n">
        <v>-0.7500568800336652</v>
      </c>
      <c r="J291" t="n">
        <v>0.7219851631298057</v>
      </c>
      <c r="K291" t="n">
        <v>0.06052808991368598</v>
      </c>
      <c r="L291" t="n">
        <v>1.244646116741772</v>
      </c>
      <c r="M291" t="n">
        <v>0.111233316224616</v>
      </c>
      <c r="N291" t="n">
        <v>-0.6549251450850754</v>
      </c>
      <c r="O291" t="n">
        <v>-0.577662361440792</v>
      </c>
      <c r="P291" t="n">
        <v>-0.6410190609186566</v>
      </c>
      <c r="Q291" t="n">
        <v>-0.3190681905516311</v>
      </c>
      <c r="R291" t="n">
        <v>-0.5317187829956302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2022-07-25</t>
        </is>
      </c>
      <c r="B292" t="n">
        <v>1</v>
      </c>
      <c r="C292" t="n">
        <v>0.03506985017504032</v>
      </c>
      <c r="D292" t="n">
        <v>-0.2955171219235845</v>
      </c>
      <c r="E292" t="n">
        <v>-0.7072432500908438</v>
      </c>
      <c r="F292" t="n">
        <v>0.1522224217160466</v>
      </c>
      <c r="G292" t="n">
        <v>0.9866137028664828</v>
      </c>
      <c r="H292" t="n">
        <v>0.8089316977781996</v>
      </c>
      <c r="I292" t="n">
        <v>-0.7334811787260055</v>
      </c>
      <c r="J292" t="n">
        <v>0.2807078836542574</v>
      </c>
      <c r="K292" t="n">
        <v>0.02569730931864735</v>
      </c>
      <c r="L292" t="n">
        <v>-0.2050871889537529</v>
      </c>
      <c r="M292" t="n">
        <v>-0.08705151342085686</v>
      </c>
      <c r="N292" t="n">
        <v>-0.146769452569726</v>
      </c>
      <c r="O292" t="n">
        <v>-0.3484851274735325</v>
      </c>
      <c r="P292" t="n">
        <v>-0.6451406069267759</v>
      </c>
      <c r="Q292" t="n">
        <v>-0.4466299453384937</v>
      </c>
      <c r="R292" t="n">
        <v>-0.9112279069808095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0.1756493330664913</v>
      </c>
      <c r="AJ292" t="n">
        <v>0.3333333333333333</v>
      </c>
    </row>
    <row r="293">
      <c r="A293" t="inlineStr">
        <is>
          <t>2022-07-26</t>
        </is>
      </c>
      <c r="B293" t="n">
        <v>1</v>
      </c>
      <c r="C293" t="n">
        <v>-0.08329879451293359</v>
      </c>
      <c r="D293" t="n">
        <v>-0.2052398245927258</v>
      </c>
      <c r="E293" t="n">
        <v>-0.6648374491277897</v>
      </c>
      <c r="F293" t="n">
        <v>-0.1002092023013757</v>
      </c>
      <c r="G293" t="n">
        <v>0.7379614412603082</v>
      </c>
      <c r="H293" t="n">
        <v>0.6407960235106627</v>
      </c>
      <c r="I293" t="n">
        <v>-0.1288524262616839</v>
      </c>
      <c r="J293" t="n">
        <v>0.5238592704258508</v>
      </c>
      <c r="K293" t="n">
        <v>-0.02128779091889935</v>
      </c>
      <c r="L293" t="n">
        <v>-0.3635516031858591</v>
      </c>
      <c r="M293" t="n">
        <v>-0.3530523122172368</v>
      </c>
      <c r="N293" t="n">
        <v>-0.3666346329140141</v>
      </c>
      <c r="O293" t="n">
        <v>-0.6178740260731146</v>
      </c>
      <c r="P293" t="n">
        <v>-0.3338873119110632</v>
      </c>
      <c r="Q293" t="n">
        <v>-0.3391959418645821</v>
      </c>
      <c r="R293" t="n">
        <v>-0.8712420756287748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inlineStr">
        <is>
          <t>2022-07-27</t>
        </is>
      </c>
      <c r="B294" t="n">
        <v>1</v>
      </c>
      <c r="C294" t="n">
        <v>-0.04554102946049197</v>
      </c>
      <c r="D294" t="n">
        <v>-0.2444432500636032</v>
      </c>
      <c r="E294" t="n">
        <v>-0.5402962291848606</v>
      </c>
      <c r="F294" t="n">
        <v>-0.006263487076074424</v>
      </c>
      <c r="G294" t="n">
        <v>0.5366010553938689</v>
      </c>
      <c r="H294" t="n">
        <v>0.5435536612765254</v>
      </c>
      <c r="I294" t="n">
        <v>0.622094136605469</v>
      </c>
      <c r="J294" t="n">
        <v>0.7965600173503804</v>
      </c>
      <c r="K294" t="n">
        <v>0.09231842185791195</v>
      </c>
      <c r="L294" t="n">
        <v>-0.03359171068140624</v>
      </c>
      <c r="M294" t="n">
        <v>0.3564259952103154</v>
      </c>
      <c r="N294" t="n">
        <v>-0.4500601125586687</v>
      </c>
      <c r="O294" t="n">
        <v>-0.08408986977248341</v>
      </c>
      <c r="P294" t="n">
        <v>-0.4378326794816737</v>
      </c>
      <c r="Q294" t="n">
        <v>-0.3192989390487039</v>
      </c>
      <c r="R294" t="n">
        <v>-0.09817743960076586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inlineStr">
        <is>
          <t>2022-07-28</t>
        </is>
      </c>
      <c r="B295" t="n">
        <v>1</v>
      </c>
      <c r="C295" t="n">
        <v>-0.535315925438819</v>
      </c>
      <c r="D295" t="n">
        <v>-0.2966367933263222</v>
      </c>
      <c r="E295" t="n">
        <v>-0.526490509576011</v>
      </c>
      <c r="F295" t="n">
        <v>-0.3921041478221304</v>
      </c>
      <c r="G295" t="n">
        <v>-0.08078025079271255</v>
      </c>
      <c r="H295" t="n">
        <v>0.02450955210289305</v>
      </c>
      <c r="I295" t="n">
        <v>0.49689255860571</v>
      </c>
      <c r="J295" t="n">
        <v>-0.9351824710764501</v>
      </c>
      <c r="K295" t="n">
        <v>3</v>
      </c>
      <c r="L295" t="n">
        <v>1.389991659053219</v>
      </c>
      <c r="M295" t="n">
        <v>2.935538812591584</v>
      </c>
      <c r="N295" t="n">
        <v>-0.04382323261412979</v>
      </c>
      <c r="O295" t="n">
        <v>-0.7981186080305173</v>
      </c>
      <c r="P295" t="n">
        <v>-0.06390160077252754</v>
      </c>
      <c r="Q295" t="n">
        <v>0.09864429041272615</v>
      </c>
      <c r="R295" t="n">
        <v>-0.874371610496736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0.5056619637406887</v>
      </c>
      <c r="AJ295" t="n">
        <v>0.3333333333333333</v>
      </c>
    </row>
    <row r="296">
      <c r="A296" t="inlineStr">
        <is>
          <t>2022-08-02</t>
        </is>
      </c>
      <c r="B296" t="n">
        <v>1</v>
      </c>
      <c r="C296" t="n">
        <v>-0.03352443503631085</v>
      </c>
      <c r="D296" t="n">
        <v>-0.1912684983033965</v>
      </c>
      <c r="E296" t="n">
        <v>-0.2665119077122805</v>
      </c>
      <c r="F296" t="n">
        <v>-0.07551236142871171</v>
      </c>
      <c r="G296" t="n">
        <v>0.09468957455558906</v>
      </c>
      <c r="H296" t="n">
        <v>0.2567380014083732</v>
      </c>
      <c r="I296" t="n">
        <v>0.7395153436666151</v>
      </c>
      <c r="J296" t="n">
        <v>0.5527676209771639</v>
      </c>
      <c r="K296" t="n">
        <v>-0.35439070302265</v>
      </c>
      <c r="L296" t="n">
        <v>-0.5992153115510275</v>
      </c>
      <c r="M296" t="n">
        <v>-0.09479136828153453</v>
      </c>
      <c r="N296" t="n">
        <v>-0.3358124113704223</v>
      </c>
      <c r="O296" t="n">
        <v>-0.3589371167942678</v>
      </c>
      <c r="P296" t="n">
        <v>-0.4704504481328555</v>
      </c>
      <c r="Q296" t="n">
        <v>-0.559500687735209</v>
      </c>
      <c r="R296" t="n">
        <v>-0.5505471078433969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0.22445830462629</v>
      </c>
      <c r="AJ296" t="n">
        <v>0</v>
      </c>
    </row>
    <row r="297">
      <c r="A297" t="inlineStr">
        <is>
          <t>2022-08-03</t>
        </is>
      </c>
      <c r="B297" t="n">
        <v>1</v>
      </c>
      <c r="C297" t="n">
        <v>0.09447534874579608</v>
      </c>
      <c r="D297" t="n">
        <v>-0.121583245843779</v>
      </c>
      <c r="E297" t="n">
        <v>-0.298980212893565</v>
      </c>
      <c r="F297" t="n">
        <v>-0.06258719225512717</v>
      </c>
      <c r="G297" t="n">
        <v>0.2821148898679735</v>
      </c>
      <c r="H297" t="n">
        <v>0.4239244269880205</v>
      </c>
      <c r="I297" t="n">
        <v>-0.294095565465232</v>
      </c>
      <c r="J297" t="n">
        <v>0.02186974821249664</v>
      </c>
      <c r="K297" t="n">
        <v>-0.1332710631115976</v>
      </c>
      <c r="L297" t="n">
        <v>0.3029565814462585</v>
      </c>
      <c r="M297" t="n">
        <v>0.7866991394735501</v>
      </c>
      <c r="N297" t="n">
        <v>0.04432832100054295</v>
      </c>
      <c r="O297" t="n">
        <v>0.4554628544704135</v>
      </c>
      <c r="P297" t="n">
        <v>-0.1547642269742662</v>
      </c>
      <c r="Q297" t="n">
        <v>-0.5677668627649854</v>
      </c>
      <c r="R297" t="n">
        <v>-0.2840482941733565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0.3384708572106926</v>
      </c>
      <c r="AJ297" t="n">
        <v>0.3333333333333333</v>
      </c>
    </row>
    <row r="298">
      <c r="A298" t="inlineStr">
        <is>
          <t>2022-08-04</t>
        </is>
      </c>
      <c r="B298" t="n">
        <v>1</v>
      </c>
      <c r="C298" t="n">
        <v>-0.4982331626937708</v>
      </c>
      <c r="D298" t="n">
        <v>-0.1584253567280604</v>
      </c>
      <c r="E298" t="n">
        <v>-0.3694531305101724</v>
      </c>
      <c r="F298" t="n">
        <v>-0.5368351561319431</v>
      </c>
      <c r="G298" t="n">
        <v>-0.2680977171432899</v>
      </c>
      <c r="H298" t="n">
        <v>-0.1089378234637044</v>
      </c>
      <c r="I298" t="n">
        <v>-0.004623846007034776</v>
      </c>
      <c r="J298" t="n">
        <v>-0.899289100834632</v>
      </c>
      <c r="K298" t="n">
        <v>1.905971951831473</v>
      </c>
      <c r="L298" t="n">
        <v>1.186724075167832</v>
      </c>
      <c r="M298" t="n">
        <v>0.3503359040709345</v>
      </c>
      <c r="N298" t="n">
        <v>-0.02450797378014512</v>
      </c>
      <c r="O298" t="n">
        <v>-0.900151195305235</v>
      </c>
      <c r="P298" t="n">
        <v>-0.3975948674063863</v>
      </c>
      <c r="Q298" t="n">
        <v>-0.2956659118331368</v>
      </c>
      <c r="R298" t="n">
        <v>-0.1735615449361565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0.1992074346509859</v>
      </c>
      <c r="AJ298" t="n">
        <v>0</v>
      </c>
    </row>
    <row r="299">
      <c r="A299" t="inlineStr">
        <is>
          <t>2022-08-10</t>
        </is>
      </c>
      <c r="B299" t="n">
        <v>1</v>
      </c>
      <c r="C299" t="n">
        <v>0.3857049530565242</v>
      </c>
      <c r="D299" t="n">
        <v>-0.2513522447000507</v>
      </c>
      <c r="E299" t="n">
        <v>-0.3810351003925949</v>
      </c>
      <c r="F299" t="n">
        <v>0.4074905567127542</v>
      </c>
      <c r="G299" t="n">
        <v>0.7442829221963121</v>
      </c>
      <c r="H299" t="n">
        <v>0.8132536538075426</v>
      </c>
      <c r="I299" t="n">
        <v>-1.244821062563355</v>
      </c>
      <c r="J299" t="n">
        <v>0.8397729627974271</v>
      </c>
      <c r="K299" t="n">
        <v>0.1409656402509597</v>
      </c>
      <c r="L299" t="n">
        <v>0.2526257447403253</v>
      </c>
      <c r="M299" t="n">
        <v>0.8024419863441118</v>
      </c>
      <c r="N299" t="n">
        <v>-0.1073170089939284</v>
      </c>
      <c r="O299" t="n">
        <v>0.3828170426121029</v>
      </c>
      <c r="P299" t="n">
        <v>-0.4795253618610335</v>
      </c>
      <c r="Q299" t="n">
        <v>-0.515944317870608</v>
      </c>
      <c r="R299" t="n">
        <v>-0.4712391417477689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0.7951217704205191</v>
      </c>
      <c r="AJ299" t="n">
        <v>0.3333333333333333</v>
      </c>
    </row>
    <row r="300">
      <c r="A300" t="inlineStr">
        <is>
          <t>2022-08-11</t>
        </is>
      </c>
      <c r="B300" t="n">
        <v>1</v>
      </c>
      <c r="C300" t="n">
        <v>-0.02512064196622888</v>
      </c>
      <c r="D300" t="n">
        <v>-0.5863345325697946</v>
      </c>
      <c r="E300" t="n">
        <v>-0.5550822740976046</v>
      </c>
      <c r="F300" t="n">
        <v>0.6640508750379719</v>
      </c>
      <c r="G300" t="n">
        <v>0.5897054893165277</v>
      </c>
      <c r="H300" t="n">
        <v>0.5807229628447937</v>
      </c>
      <c r="I300" t="n">
        <v>-1.217922868505519</v>
      </c>
      <c r="J300" t="n">
        <v>-0.06765948474604597</v>
      </c>
      <c r="K300" t="n">
        <v>-0.1497664428833674</v>
      </c>
      <c r="L300" t="n">
        <v>0.1316982601018331</v>
      </c>
      <c r="M300" t="n">
        <v>-0.1079746375497218</v>
      </c>
      <c r="N300" t="n">
        <v>-0.180160192575284</v>
      </c>
      <c r="O300" t="n">
        <v>-0.3191853322512164</v>
      </c>
      <c r="P300" t="n">
        <v>-0.3351766071331188</v>
      </c>
      <c r="Q300" t="n">
        <v>-0.3009448500247113</v>
      </c>
      <c r="R300" t="n">
        <v>-0.2488136175062554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0.3732760780391618</v>
      </c>
      <c r="AJ300" t="n">
        <v>0</v>
      </c>
    </row>
    <row r="301">
      <c r="A301" t="inlineStr">
        <is>
          <t>2022-08-16</t>
        </is>
      </c>
      <c r="B301" t="n">
        <v>1</v>
      </c>
      <c r="C301" t="n">
        <v>-0.4966310913177523</v>
      </c>
      <c r="D301" t="n">
        <v>-0.877828461104428</v>
      </c>
      <c r="E301" t="n">
        <v>-0.7093123262014239</v>
      </c>
      <c r="F301" t="n">
        <v>0.8391510492035933</v>
      </c>
      <c r="G301" t="n">
        <v>0.2858854839851944</v>
      </c>
      <c r="H301" t="n">
        <v>0.2640947724755969</v>
      </c>
      <c r="I301" t="n">
        <v>-1.049809897234462</v>
      </c>
      <c r="J301" t="n">
        <v>0.5283162012668288</v>
      </c>
      <c r="K301" t="n">
        <v>0.9233292022697489</v>
      </c>
      <c r="L301" t="n">
        <v>1.271549133704178</v>
      </c>
      <c r="M301" t="n">
        <v>-1.16072578380906</v>
      </c>
      <c r="N301" t="n">
        <v>-0.7313642545131829</v>
      </c>
      <c r="O301" t="n">
        <v>-0.5618301774088403</v>
      </c>
      <c r="P301" t="n">
        <v>-0.5027582922327517</v>
      </c>
      <c r="Q301" t="n">
        <v>-0.5524305765376784</v>
      </c>
      <c r="R301" t="n">
        <v>-0.7799220601188752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inlineStr">
        <is>
          <t>2022-08-18</t>
        </is>
      </c>
      <c r="B302" t="n">
        <v>1</v>
      </c>
      <c r="C302" t="n">
        <v>-0.8877553885677332</v>
      </c>
      <c r="D302" t="n">
        <v>-1.235467538138059</v>
      </c>
      <c r="E302" t="n">
        <v>-0.8071845032846346</v>
      </c>
      <c r="F302" t="n">
        <v>1.577768187165638</v>
      </c>
      <c r="G302" t="n">
        <v>-0.06334507048532215</v>
      </c>
      <c r="H302" t="n">
        <v>-0.03140500994752051</v>
      </c>
      <c r="I302" t="n">
        <v>-0.9775158498756363</v>
      </c>
      <c r="J302" t="n">
        <v>0.7491811159731178</v>
      </c>
      <c r="K302" t="n">
        <v>2.335259492462577</v>
      </c>
      <c r="L302" t="n">
        <v>-0.5008329133701493</v>
      </c>
      <c r="M302" t="n">
        <v>1.238616171769532</v>
      </c>
      <c r="N302" t="n">
        <v>-1.144176541720355</v>
      </c>
      <c r="O302" t="n">
        <v>0.06769550756586651</v>
      </c>
      <c r="P302" t="n">
        <v>3</v>
      </c>
      <c r="Q302" t="n">
        <v>3</v>
      </c>
      <c r="R302" t="n">
        <v>0.1308813782155088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2022-08-19</t>
        </is>
      </c>
      <c r="B303" t="n">
        <v>1</v>
      </c>
      <c r="C303" t="n">
        <v>-0.6483501945145375</v>
      </c>
      <c r="D303" t="n">
        <v>-1.268045898266353</v>
      </c>
      <c r="E303" t="n">
        <v>-0.7843022989475991</v>
      </c>
      <c r="F303" t="n">
        <v>2.235829690769181</v>
      </c>
      <c r="G303" t="n">
        <v>0.2263459459995409</v>
      </c>
      <c r="H303" t="n">
        <v>0.1899281443223012</v>
      </c>
      <c r="I303" t="n">
        <v>-0.9858968802971301</v>
      </c>
      <c r="J303" t="n">
        <v>0.345576302524797</v>
      </c>
      <c r="K303" t="n">
        <v>-0.1323692610215642</v>
      </c>
      <c r="L303" t="n">
        <v>0.05450365687542696</v>
      </c>
      <c r="M303" t="n">
        <v>-0.4924052260147419</v>
      </c>
      <c r="N303" t="n">
        <v>-0.7967073641855972</v>
      </c>
      <c r="O303" t="n">
        <v>-0.3451601227714273</v>
      </c>
      <c r="P303" t="n">
        <v>-0.6291970132841627</v>
      </c>
      <c r="Q303" t="n">
        <v>-0.3666895276422505</v>
      </c>
      <c r="R303" t="n">
        <v>-0.7889978992986659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2022-08-23</t>
        </is>
      </c>
      <c r="B304" t="n">
        <v>1</v>
      </c>
      <c r="C304" t="n">
        <v>-0.01773389988721918</v>
      </c>
      <c r="D304" t="n">
        <v>-0.1194972484988221</v>
      </c>
      <c r="E304" t="n">
        <v>-0.2092527734845112</v>
      </c>
      <c r="F304" t="n">
        <v>-0.163543873408372</v>
      </c>
      <c r="G304" t="n">
        <v>0.02914109447466113</v>
      </c>
      <c r="H304" t="n">
        <v>0.2104153749071755</v>
      </c>
      <c r="I304" t="n">
        <v>0.961607100638819</v>
      </c>
      <c r="J304" t="n">
        <v>-0.2934321624566334</v>
      </c>
      <c r="K304" t="n">
        <v>-0.1620590259299085</v>
      </c>
      <c r="L304" t="n">
        <v>-0.9219152950278076</v>
      </c>
      <c r="M304" t="n">
        <v>-0.0563821477105976</v>
      </c>
      <c r="N304" t="n">
        <v>0.1152194305508042</v>
      </c>
      <c r="O304" t="n">
        <v>0.0676570176910061</v>
      </c>
      <c r="P304" t="n">
        <v>0.5459772117959665</v>
      </c>
      <c r="Q304" t="n">
        <v>0.9704637264600456</v>
      </c>
      <c r="R304" t="n">
        <v>-0.5679080412557147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0.5065094190319481</v>
      </c>
      <c r="AJ304" t="n">
        <v>0.3333333333333333</v>
      </c>
    </row>
    <row r="305">
      <c r="A305" t="inlineStr">
        <is>
          <t>2022-08-24</t>
        </is>
      </c>
      <c r="B305" t="n">
        <v>1</v>
      </c>
      <c r="C305" t="n">
        <v>-0.1204189789340198</v>
      </c>
      <c r="D305" t="n">
        <v>-0.08168156141387438</v>
      </c>
      <c r="E305" t="n">
        <v>-0.223865711083604</v>
      </c>
      <c r="F305" t="n">
        <v>-0.3025875144844413</v>
      </c>
      <c r="G305" t="n">
        <v>-0.05817080862273549</v>
      </c>
      <c r="H305" t="n">
        <v>0.1207251598141941</v>
      </c>
      <c r="I305" t="n">
        <v>0.852432366216901</v>
      </c>
      <c r="J305" t="n">
        <v>-1.184551041710096</v>
      </c>
      <c r="K305" t="n">
        <v>-0.5483199122609929</v>
      </c>
      <c r="L305" t="n">
        <v>0.06225100741926302</v>
      </c>
      <c r="M305" t="n">
        <v>-0.6569546815281764</v>
      </c>
      <c r="N305" t="n">
        <v>0.6301560118057437</v>
      </c>
      <c r="O305" t="n">
        <v>-0.1150033446464452</v>
      </c>
      <c r="P305" t="n">
        <v>0.2357646626085032</v>
      </c>
      <c r="Q305" t="n">
        <v>0.3399860175961927</v>
      </c>
      <c r="R305" t="n">
        <v>-0.1742533693572546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1.003217328140599</v>
      </c>
      <c r="AJ305" t="n">
        <v>0.6666666666666666</v>
      </c>
    </row>
    <row r="306">
      <c r="A306" t="inlineStr">
        <is>
          <t>2022-08-25</t>
        </is>
      </c>
      <c r="B306" t="n">
        <v>1</v>
      </c>
      <c r="C306" t="n">
        <v>-0.7932889568619897</v>
      </c>
      <c r="D306" t="n">
        <v>-0.1667938867769362</v>
      </c>
      <c r="E306" t="n">
        <v>-0.2773529295173551</v>
      </c>
      <c r="F306" t="n">
        <v>-0.7905019366187326</v>
      </c>
      <c r="G306" t="n">
        <v>-0.7068953309768254</v>
      </c>
      <c r="H306" t="n">
        <v>-0.51318114373392</v>
      </c>
      <c r="I306" t="n">
        <v>0.548361591498652</v>
      </c>
      <c r="J306" t="n">
        <v>-1.32115257475323</v>
      </c>
      <c r="K306" t="n">
        <v>1.930560619309227</v>
      </c>
      <c r="L306" t="n">
        <v>0.96912028687282</v>
      </c>
      <c r="M306" t="n">
        <v>0.3457182144719735</v>
      </c>
      <c r="N306" t="n">
        <v>-0.09539908333040632</v>
      </c>
      <c r="O306" t="n">
        <v>-0.6101995408955867</v>
      </c>
      <c r="P306" t="n">
        <v>-0.1056885230969299</v>
      </c>
      <c r="Q306" t="n">
        <v>-0.481899073731886</v>
      </c>
      <c r="R306" t="n">
        <v>0.9117380157049483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0.6420211389286002</v>
      </c>
      <c r="AJ306" t="n">
        <v>0</v>
      </c>
    </row>
    <row r="307">
      <c r="A307" t="inlineStr">
        <is>
          <t>2022-08-29</t>
        </is>
      </c>
      <c r="B307" t="n">
        <v>1</v>
      </c>
      <c r="C307" t="n">
        <v>0.6647206165571758</v>
      </c>
      <c r="D307" t="n">
        <v>-0.1775261877226418</v>
      </c>
      <c r="E307" t="n">
        <v>-0.364515767177983</v>
      </c>
      <c r="F307" t="n">
        <v>0.5322616861963524</v>
      </c>
      <c r="G307" t="n">
        <v>1.026211310819689</v>
      </c>
      <c r="H307" t="n">
        <v>1.082297400192519</v>
      </c>
      <c r="I307" t="n">
        <v>0.4814595474526558</v>
      </c>
      <c r="J307" t="n">
        <v>-0.2871409771375428</v>
      </c>
      <c r="K307" t="n">
        <v>-1.010938283990806</v>
      </c>
      <c r="L307" t="n">
        <v>-3</v>
      </c>
      <c r="M307" t="n">
        <v>-1.069940177855392</v>
      </c>
      <c r="N307" t="n">
        <v>0.8015275635881135</v>
      </c>
      <c r="O307" t="n">
        <v>0.6037590447828879</v>
      </c>
      <c r="P307" t="n">
        <v>0.02750458622570282</v>
      </c>
      <c r="Q307" t="n">
        <v>0.3904147201316996</v>
      </c>
      <c r="R307" t="n">
        <v>-0.7162749484661626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0.657316689057916</v>
      </c>
      <c r="AJ307" t="n">
        <v>0.3333333333333333</v>
      </c>
    </row>
    <row r="308">
      <c r="A308" t="inlineStr">
        <is>
          <t>2022-09-01</t>
        </is>
      </c>
      <c r="B308" t="n">
        <v>1</v>
      </c>
      <c r="C308" t="n">
        <v>0.7761189445311533</v>
      </c>
      <c r="D308" t="n">
        <v>0.9715308629664892</v>
      </c>
      <c r="E308" t="n">
        <v>0.1168835786770661</v>
      </c>
      <c r="F308" t="n">
        <v>-0.6865214462025335</v>
      </c>
      <c r="G308" t="n">
        <v>0.355252783391328</v>
      </c>
      <c r="H308" t="n">
        <v>0.670868220141132</v>
      </c>
      <c r="I308" t="n">
        <v>1.91641249828397</v>
      </c>
      <c r="J308" t="n">
        <v>0.5196412730933625</v>
      </c>
      <c r="K308" t="n">
        <v>0.01553124488136944</v>
      </c>
      <c r="L308" t="n">
        <v>-1.768547160569978</v>
      </c>
      <c r="M308" t="n">
        <v>-1.907445687136548</v>
      </c>
      <c r="N308" t="n">
        <v>0.3905646096735564</v>
      </c>
      <c r="O308" t="n">
        <v>2.517594576701122</v>
      </c>
      <c r="P308" t="n">
        <v>3</v>
      </c>
      <c r="Q308" t="n">
        <v>3</v>
      </c>
      <c r="R308" t="n">
        <v>1.623172863919476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0.08922817067314706</v>
      </c>
      <c r="AJ308" t="n">
        <v>0</v>
      </c>
    </row>
    <row r="309">
      <c r="A309" t="inlineStr">
        <is>
          <t>2022-09-06</t>
        </is>
      </c>
      <c r="B309" t="n">
        <v>1</v>
      </c>
      <c r="C309" t="n">
        <v>0.1300725415590938</v>
      </c>
      <c r="D309" t="n">
        <v>1.010923749750258</v>
      </c>
      <c r="E309" t="n">
        <v>0.2419131036113041</v>
      </c>
      <c r="F309" t="n">
        <v>-1.075714804543831</v>
      </c>
      <c r="G309" t="n">
        <v>-0.3732153320053686</v>
      </c>
      <c r="H309" t="n">
        <v>-0.1305134967855748</v>
      </c>
      <c r="I309" t="n">
        <v>2.124577754125586</v>
      </c>
      <c r="J309" t="n">
        <v>0.7367009020604112</v>
      </c>
      <c r="K309" t="n">
        <v>0.5589254991561511</v>
      </c>
      <c r="L309" t="n">
        <v>0.921806247065851</v>
      </c>
      <c r="M309" t="n">
        <v>-0.6170694647446276</v>
      </c>
      <c r="N309" t="n">
        <v>-0.2762227830528113</v>
      </c>
      <c r="O309" t="n">
        <v>-0.3821398707187071</v>
      </c>
      <c r="P309" t="n">
        <v>-0.2433957709887329</v>
      </c>
      <c r="Q309" t="n">
        <v>-0.2558771839518191</v>
      </c>
      <c r="R309" t="n">
        <v>-1.383869935005714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2022-09-07</t>
        </is>
      </c>
      <c r="B310" t="n">
        <v>1</v>
      </c>
      <c r="C310" t="n">
        <v>0.4863791465683316</v>
      </c>
      <c r="D310" t="n">
        <v>0.7457042690885083</v>
      </c>
      <c r="E310" t="n">
        <v>0.2415155126500524</v>
      </c>
      <c r="F310" t="n">
        <v>-0.6874126864457453</v>
      </c>
      <c r="G310" t="n">
        <v>-0.06031808940315894</v>
      </c>
      <c r="H310" t="n">
        <v>0.2365454986173188</v>
      </c>
      <c r="I310" t="n">
        <v>1.43909268652526</v>
      </c>
      <c r="J310" t="n">
        <v>0.3643645797699927</v>
      </c>
      <c r="K310" t="n">
        <v>-0.07526527803838075</v>
      </c>
      <c r="L310" t="n">
        <v>-1.063873925701608</v>
      </c>
      <c r="M310" t="n">
        <v>0.3536188465212891</v>
      </c>
      <c r="N310" t="n">
        <v>0.2191930578911866</v>
      </c>
      <c r="O310" t="n">
        <v>-0.05608276035100204</v>
      </c>
      <c r="P310" t="n">
        <v>-0.1273587306330634</v>
      </c>
      <c r="Q310" t="n">
        <v>0.02868274493176474</v>
      </c>
      <c r="R310" t="n">
        <v>-1.098355600404581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0.5269527337617547</v>
      </c>
      <c r="AJ310" t="n">
        <v>0.3333333333333333</v>
      </c>
    </row>
    <row r="311">
      <c r="A311" t="inlineStr">
        <is>
          <t>2022-09-08</t>
        </is>
      </c>
      <c r="B311" t="n">
        <v>1</v>
      </c>
      <c r="C311" t="n">
        <v>-0.5129801273299683</v>
      </c>
      <c r="D311" t="n">
        <v>0.7188047008292416</v>
      </c>
      <c r="E311" t="n">
        <v>0.2450678158451243</v>
      </c>
      <c r="F311" t="n">
        <v>-1.282101981568244</v>
      </c>
      <c r="G311" t="n">
        <v>-0.9397307744131213</v>
      </c>
      <c r="H311" t="n">
        <v>-0.7956350112834103</v>
      </c>
      <c r="I311" t="n">
        <v>-0.4908212307619044</v>
      </c>
      <c r="J311" t="n">
        <v>-1.627468384487908</v>
      </c>
      <c r="K311" t="n">
        <v>3</v>
      </c>
      <c r="L311" t="n">
        <v>1.269865172266679</v>
      </c>
      <c r="M311" t="n">
        <v>0.6702459014247751</v>
      </c>
      <c r="N311" t="n">
        <v>0.5105657922166073</v>
      </c>
      <c r="O311" t="n">
        <v>-0.5865144758062959</v>
      </c>
      <c r="P311" t="n">
        <v>-0.555669189146179</v>
      </c>
      <c r="Q311" t="n">
        <v>-0.4095872660281246</v>
      </c>
      <c r="R311" t="n">
        <v>0.2204843110339608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0.4241503548906257</v>
      </c>
      <c r="AJ311" t="n">
        <v>0</v>
      </c>
    </row>
    <row r="312">
      <c r="A312" t="inlineStr">
        <is>
          <t>2022-09-12</t>
        </is>
      </c>
      <c r="B312" t="n">
        <v>1</v>
      </c>
      <c r="C312" t="n">
        <v>-0.1322421103537817</v>
      </c>
      <c r="D312" t="n">
        <v>0.7567785673021443</v>
      </c>
      <c r="E312" t="n">
        <v>0.2729783062894243</v>
      </c>
      <c r="F312" t="n">
        <v>-1.072208112419186</v>
      </c>
      <c r="G312" t="n">
        <v>-0.6325366328536274</v>
      </c>
      <c r="H312" t="n">
        <v>-0.4343710250667215</v>
      </c>
      <c r="I312" t="n">
        <v>-1.123900055467957</v>
      </c>
      <c r="J312" t="n">
        <v>-0.4891542635431298</v>
      </c>
      <c r="K312" t="n">
        <v>0.4614502924406237</v>
      </c>
      <c r="L312" t="n">
        <v>0.92757720022478</v>
      </c>
      <c r="M312" t="n">
        <v>-0.4564692607329365</v>
      </c>
      <c r="N312" t="n">
        <v>0.1164523194125474</v>
      </c>
      <c r="O312" t="n">
        <v>-0.5590026846463196</v>
      </c>
      <c r="P312" t="n">
        <v>-0.4810589787899133</v>
      </c>
      <c r="Q312" t="n">
        <v>-0.3811605078889305</v>
      </c>
      <c r="R312" t="n">
        <v>-0.9283513373630828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0.03381994603616476</v>
      </c>
      <c r="AJ312" t="n">
        <v>0</v>
      </c>
    </row>
    <row r="313">
      <c r="A313" t="inlineStr">
        <is>
          <t>2022-09-13</t>
        </is>
      </c>
      <c r="B313" t="n">
        <v>1</v>
      </c>
      <c r="C313" t="n">
        <v>-0.2853235959826589</v>
      </c>
      <c r="D313" t="n">
        <v>0.7704261273168993</v>
      </c>
      <c r="E313" t="n">
        <v>0.2581941328338656</v>
      </c>
      <c r="F313" t="n">
        <v>-1.173593253748717</v>
      </c>
      <c r="G313" t="n">
        <v>-0.7521334317057994</v>
      </c>
      <c r="H313" t="n">
        <v>-0.5757299053592925</v>
      </c>
      <c r="I313" t="n">
        <v>-1.222454839329909</v>
      </c>
      <c r="J313" t="n">
        <v>0.6627132935546194</v>
      </c>
      <c r="K313" t="n">
        <v>0.8067253133904665</v>
      </c>
      <c r="L313" t="n">
        <v>1.042607330402483</v>
      </c>
      <c r="M313" t="n">
        <v>-0.01273868150794932</v>
      </c>
      <c r="N313" t="n">
        <v>-0.6000615907374822</v>
      </c>
      <c r="O313" t="n">
        <v>-0.6232518209152598</v>
      </c>
      <c r="P313" t="n">
        <v>-0.2295073768290504</v>
      </c>
      <c r="Q313" t="n">
        <v>-0.2859207780890659</v>
      </c>
      <c r="R313" t="n">
        <v>0.1183609760622486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0.01001350957879671</v>
      </c>
      <c r="AJ313" t="n">
        <v>0</v>
      </c>
    </row>
    <row r="314">
      <c r="A314" t="inlineStr">
        <is>
          <t>2022-09-14</t>
        </is>
      </c>
      <c r="B314" t="n">
        <v>1</v>
      </c>
      <c r="C314" t="n">
        <v>0.1152994523566059</v>
      </c>
      <c r="D314" t="n">
        <v>0.3555650951072357</v>
      </c>
      <c r="E314" t="n">
        <v>0.2908930023253817</v>
      </c>
      <c r="F314" t="n">
        <v>-0.5978843009196179</v>
      </c>
      <c r="G314" t="n">
        <v>-0.435802739224207</v>
      </c>
      <c r="H314" t="n">
        <v>-0.1992376008602865</v>
      </c>
      <c r="I314" t="n">
        <v>-1.300941289256109</v>
      </c>
      <c r="J314" t="n">
        <v>1.595740991851355</v>
      </c>
      <c r="K314" t="n">
        <v>-0.2978643222497898</v>
      </c>
      <c r="L314" t="n">
        <v>-2.068138322801601</v>
      </c>
      <c r="M314" t="n">
        <v>-0.06526244343878389</v>
      </c>
      <c r="N314" t="n">
        <v>-0.620815219910167</v>
      </c>
      <c r="O314" t="n">
        <v>-0.6214451803620132</v>
      </c>
      <c r="P314" t="n">
        <v>-0.6236692215506763</v>
      </c>
      <c r="Q314" t="n">
        <v>-0.4338732061687899</v>
      </c>
      <c r="R314" t="n">
        <v>-0.7853286814211416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inlineStr">
        <is>
          <t>2022-09-15</t>
        </is>
      </c>
      <c r="B315" t="n">
        <v>1</v>
      </c>
      <c r="C315" t="n">
        <v>0.3490985235021221</v>
      </c>
      <c r="D315" t="n">
        <v>-0.4425674219137354</v>
      </c>
      <c r="E315" t="n">
        <v>0.2714822059028651</v>
      </c>
      <c r="F315" t="n">
        <v>0.747366266536455</v>
      </c>
      <c r="G315" t="n">
        <v>-0.2134612546290876</v>
      </c>
      <c r="H315" t="n">
        <v>0.06254313788530667</v>
      </c>
      <c r="I315" t="n">
        <v>-1.079580631354144</v>
      </c>
      <c r="J315" t="n">
        <v>-0.06765948474604597</v>
      </c>
      <c r="K315" t="n">
        <v>-0.1497664428833674</v>
      </c>
      <c r="L315" t="n">
        <v>0.1316982601018331</v>
      </c>
      <c r="M315" t="n">
        <v>-0.1079746375497218</v>
      </c>
      <c r="N315" t="n">
        <v>-0.180160192575284</v>
      </c>
      <c r="O315" t="n">
        <v>-0.3191853322512164</v>
      </c>
      <c r="P315" t="n">
        <v>-0.3351766071331188</v>
      </c>
      <c r="Q315" t="n">
        <v>-0.3009448500247113</v>
      </c>
      <c r="R315" t="n">
        <v>-0.2488136175062554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0.4958019502676446</v>
      </c>
      <c r="AJ315" t="n">
        <v>0.3333333333333333</v>
      </c>
    </row>
    <row r="316">
      <c r="A316" t="inlineStr">
        <is>
          <t>2022-09-19</t>
        </is>
      </c>
      <c r="B316" t="n">
        <v>1</v>
      </c>
      <c r="C316" t="n">
        <v>0.9319279760946102</v>
      </c>
      <c r="D316" t="n">
        <v>-0.02418602931123602</v>
      </c>
      <c r="E316" t="n">
        <v>0.496722765545476</v>
      </c>
      <c r="F316" t="n">
        <v>0.5030753857126715</v>
      </c>
      <c r="G316" t="n">
        <v>0.02945021843517874</v>
      </c>
      <c r="H316" t="n">
        <v>0.4161165468681162</v>
      </c>
      <c r="I316" t="n">
        <v>0.1039502334547397</v>
      </c>
      <c r="J316" t="n">
        <v>-0.3460859698658673</v>
      </c>
      <c r="K316" t="n">
        <v>-0.160154167006265</v>
      </c>
      <c r="L316" t="n">
        <v>-0.2005754928941539</v>
      </c>
      <c r="M316" t="n">
        <v>1.405287865305339</v>
      </c>
      <c r="N316" t="n">
        <v>1.117969038102322</v>
      </c>
      <c r="O316" t="n">
        <v>0.8251926970362087</v>
      </c>
      <c r="P316" t="n">
        <v>-0.5168749377012842</v>
      </c>
      <c r="Q316" t="n">
        <v>-0.581293609540546</v>
      </c>
      <c r="R316" t="n">
        <v>-1.080077906034104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1.080880941223634</v>
      </c>
      <c r="AJ316" t="n">
        <v>0.6666666666666666</v>
      </c>
    </row>
    <row r="317">
      <c r="A317" t="inlineStr">
        <is>
          <t>2022-09-20</t>
        </is>
      </c>
      <c r="B317" t="n">
        <v>1</v>
      </c>
      <c r="C317" t="n">
        <v>0.3990546064308697</v>
      </c>
      <c r="D317" t="n">
        <v>-0.1030499315477521</v>
      </c>
      <c r="E317" t="n">
        <v>0.4252937655641268</v>
      </c>
      <c r="F317" t="n">
        <v>0.1750229272829004</v>
      </c>
      <c r="G317" t="n">
        <v>-0.3300856321235299</v>
      </c>
      <c r="H317" t="n">
        <v>-0.05413308956687483</v>
      </c>
      <c r="I317" t="n">
        <v>0.07146369263734113</v>
      </c>
      <c r="J317" t="n">
        <v>-0.7686690532203425</v>
      </c>
      <c r="K317" t="n">
        <v>0.9769127018631558</v>
      </c>
      <c r="L317" t="n">
        <v>1.578991872355029</v>
      </c>
      <c r="M317" t="n">
        <v>0.03398609380774468</v>
      </c>
      <c r="N317" t="n">
        <v>0.8902955616336575</v>
      </c>
      <c r="O317" t="n">
        <v>-0.2197919984116201</v>
      </c>
      <c r="P317" t="n">
        <v>-0.1500373782727205</v>
      </c>
      <c r="Q317" t="n">
        <v>-0.2229828777073484</v>
      </c>
      <c r="R317" t="n">
        <v>-0.2758091248230933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1.546835605455466</v>
      </c>
      <c r="AJ317" t="n">
        <v>1</v>
      </c>
    </row>
    <row r="318">
      <c r="A318" t="inlineStr">
        <is>
          <t>2022-09-21</t>
        </is>
      </c>
      <c r="B318" t="n">
        <v>1</v>
      </c>
      <c r="C318" t="n">
        <v>0.8815160359866305</v>
      </c>
      <c r="D318" t="n">
        <v>0.08950147336742387</v>
      </c>
      <c r="E318" t="n">
        <v>0.3404367484521677</v>
      </c>
      <c r="F318" t="n">
        <v>0.2874632798521038</v>
      </c>
      <c r="G318" t="n">
        <v>0.1647838791657134</v>
      </c>
      <c r="H318" t="n">
        <v>0.5350277016084232</v>
      </c>
      <c r="I318" t="n">
        <v>0.4606127837615788</v>
      </c>
      <c r="J318" t="n">
        <v>0.2890333996550448</v>
      </c>
      <c r="K318" t="n">
        <v>-0.6859769457044046</v>
      </c>
      <c r="L318" t="n">
        <v>0.243769304596911</v>
      </c>
      <c r="M318" t="n">
        <v>-0.4897999741168849</v>
      </c>
      <c r="N318" t="n">
        <v>0.6219367527274523</v>
      </c>
      <c r="O318" t="n">
        <v>2.508562101534682</v>
      </c>
      <c r="P318" t="n">
        <v>1.146188486613477</v>
      </c>
      <c r="Q318" t="n">
        <v>1.803345039228664</v>
      </c>
      <c r="R318" t="n">
        <v>0.1958797131367006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1.41600753242515</v>
      </c>
      <c r="AJ318" t="n">
        <v>0</v>
      </c>
    </row>
    <row r="319">
      <c r="A319" t="inlineStr">
        <is>
          <t>2022-09-22</t>
        </is>
      </c>
      <c r="B319" t="n">
        <v>1</v>
      </c>
      <c r="C319" t="n">
        <v>1.189158222551904</v>
      </c>
      <c r="D319" t="n">
        <v>0.1304856779270836</v>
      </c>
      <c r="E319" t="n">
        <v>0.3447481523875944</v>
      </c>
      <c r="F319" t="n">
        <v>0.4680969357755008</v>
      </c>
      <c r="G319" t="n">
        <v>0.4199064811626073</v>
      </c>
      <c r="H319" t="n">
        <v>0.8468672596540869</v>
      </c>
      <c r="I319" t="n">
        <v>0.4664016369430742</v>
      </c>
      <c r="J319" t="n">
        <v>0.0345164807088541</v>
      </c>
      <c r="K319" t="n">
        <v>3</v>
      </c>
      <c r="L319" t="n">
        <v>-0.3888252321399304</v>
      </c>
      <c r="M319" t="n">
        <v>3</v>
      </c>
      <c r="N319" t="n">
        <v>1.081598816680884</v>
      </c>
      <c r="O319" t="n">
        <v>0.1523878810181228</v>
      </c>
      <c r="P319" t="n">
        <v>3</v>
      </c>
      <c r="Q319" t="n">
        <v>3</v>
      </c>
      <c r="R319" t="n">
        <v>0.7451314250994002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1.924878507017772</v>
      </c>
      <c r="AJ319" t="n">
        <v>0.3333333333333333</v>
      </c>
    </row>
    <row r="320">
      <c r="A320" t="inlineStr">
        <is>
          <t>2022-09-26</t>
        </is>
      </c>
      <c r="B320" t="n">
        <v>1</v>
      </c>
      <c r="C320" t="n">
        <v>1.329114584862659</v>
      </c>
      <c r="D320" t="n">
        <v>0.3419150698632697</v>
      </c>
      <c r="E320" t="n">
        <v>0.5481792813793334</v>
      </c>
      <c r="F320" t="n">
        <v>0.2770389217570795</v>
      </c>
      <c r="G320" t="n">
        <v>0.288748886305672</v>
      </c>
      <c r="H320" t="n">
        <v>0.7685753160675528</v>
      </c>
      <c r="I320" t="n">
        <v>0.1548492339695393</v>
      </c>
      <c r="J320" t="n">
        <v>0.1957078342771348</v>
      </c>
      <c r="K320" t="n">
        <v>-0.0362712672120026</v>
      </c>
      <c r="L320" t="n">
        <v>-1.136431311472538</v>
      </c>
      <c r="M320" t="n">
        <v>1.514779397325191</v>
      </c>
      <c r="N320" t="n">
        <v>1.096393483021807</v>
      </c>
      <c r="O320" t="n">
        <v>-0.3401812127412887</v>
      </c>
      <c r="P320" t="n">
        <v>-0.6250665184220098</v>
      </c>
      <c r="Q320" t="n">
        <v>-0.4776324625137893</v>
      </c>
      <c r="R320" t="n">
        <v>-0.9187834568992856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0.8498782366656815</v>
      </c>
      <c r="AJ320" t="n">
        <v>0</v>
      </c>
    </row>
    <row r="321">
      <c r="A321" t="inlineStr">
        <is>
          <t>2022-09-27</t>
        </is>
      </c>
      <c r="B321" t="n">
        <v>1</v>
      </c>
      <c r="C321" t="n">
        <v>1.083196981678428</v>
      </c>
      <c r="D321" t="n">
        <v>0.4691038042736667</v>
      </c>
      <c r="E321" t="n">
        <v>0.7212811012329742</v>
      </c>
      <c r="F321" t="n">
        <v>-0.04589149626603854</v>
      </c>
      <c r="G321" t="n">
        <v>-0.08341490524917591</v>
      </c>
      <c r="H321" t="n">
        <v>0.3263778965021298</v>
      </c>
      <c r="I321" t="n">
        <v>0.2828556169741696</v>
      </c>
      <c r="J321" t="n">
        <v>-1.144781918787382</v>
      </c>
      <c r="K321" t="n">
        <v>0.3670914268835599</v>
      </c>
      <c r="L321" t="n">
        <v>0.823619842900651</v>
      </c>
      <c r="M321" t="n">
        <v>-0.4185023693498032</v>
      </c>
      <c r="N321" t="n">
        <v>2.046128869518348</v>
      </c>
      <c r="O321" t="n">
        <v>-0.871147501125357</v>
      </c>
      <c r="P321" t="n">
        <v>-0.7144213701065627</v>
      </c>
      <c r="Q321" t="n">
        <v>-0.5943945741860108</v>
      </c>
      <c r="R321" t="n">
        <v>-0.4209314604833329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0.3777348854975329</v>
      </c>
      <c r="AJ321" t="n">
        <v>0</v>
      </c>
    </row>
    <row r="322">
      <c r="A322" t="inlineStr">
        <is>
          <t>2022-09-28</t>
        </is>
      </c>
      <c r="B322" t="n">
        <v>1</v>
      </c>
      <c r="C322" t="n">
        <v>0.8492839697392685</v>
      </c>
      <c r="D322" t="n">
        <v>0.2761524496857894</v>
      </c>
      <c r="E322" t="n">
        <v>0.5834614361415528</v>
      </c>
      <c r="F322" t="n">
        <v>0.01453525795548303</v>
      </c>
      <c r="G322" t="n">
        <v>-0.1263328323870374</v>
      </c>
      <c r="H322" t="n">
        <v>0.2362948902101185</v>
      </c>
      <c r="I322" t="n">
        <v>-0.5700039059962139</v>
      </c>
      <c r="J322" t="n">
        <v>-0.6820592481733386</v>
      </c>
      <c r="K322" t="n">
        <v>0.1890524350418783</v>
      </c>
      <c r="L322" t="n">
        <v>-1.061320499216316</v>
      </c>
      <c r="M322" t="n">
        <v>-0.1585307581495435</v>
      </c>
      <c r="N322" t="n">
        <v>1.312354515303907</v>
      </c>
      <c r="O322" t="n">
        <v>1.781066897956119</v>
      </c>
      <c r="P322" t="n">
        <v>0.3316903497371881</v>
      </c>
      <c r="Q322" t="n">
        <v>-0.3080546910363562</v>
      </c>
      <c r="R322" t="n">
        <v>0.1591613330707181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0.1652082394075114</v>
      </c>
      <c r="AJ322" t="n">
        <v>0</v>
      </c>
    </row>
    <row r="323">
      <c r="A323" t="inlineStr">
        <is>
          <t>2022-09-29</t>
        </is>
      </c>
      <c r="B323" t="n">
        <v>1</v>
      </c>
      <c r="C323" t="n">
        <v>-0.3217440656687813</v>
      </c>
      <c r="D323" t="n">
        <v>0.2793941379323509</v>
      </c>
      <c r="E323" t="n">
        <v>0.04928853771941062</v>
      </c>
      <c r="F323" t="n">
        <v>-0.842677855868015</v>
      </c>
      <c r="G323" t="n">
        <v>-0.5844207909381246</v>
      </c>
      <c r="H323" t="n">
        <v>-0.3849216077804329</v>
      </c>
      <c r="I323" t="n">
        <v>-0.2612015844854474</v>
      </c>
      <c r="J323" t="n">
        <v>-2.165235518388022</v>
      </c>
      <c r="K323" t="n">
        <v>3</v>
      </c>
      <c r="L323" t="n">
        <v>1.585128230307589</v>
      </c>
      <c r="M323" t="n">
        <v>-0.1112085402198771</v>
      </c>
      <c r="N323" t="n">
        <v>1.363930366020184</v>
      </c>
      <c r="O323" t="n">
        <v>-0.557335562703745</v>
      </c>
      <c r="P323" t="n">
        <v>0.2563456766983843</v>
      </c>
      <c r="Q323" t="n">
        <v>0.1002859650064676</v>
      </c>
      <c r="R323" t="n">
        <v>0.1639266732211105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inlineStr">
        <is>
          <t>2022-09-30</t>
        </is>
      </c>
      <c r="B324" t="n">
        <v>1</v>
      </c>
      <c r="C324" t="n">
        <v>1.058521504657426</v>
      </c>
      <c r="D324" t="n">
        <v>0.2988136351744405</v>
      </c>
      <c r="E324" t="n">
        <v>-0.04636681120282723</v>
      </c>
      <c r="F324" t="n">
        <v>0.1383228904779182</v>
      </c>
      <c r="G324" t="n">
        <v>0.8669442786836284</v>
      </c>
      <c r="H324" t="n">
        <v>1.139841890343856</v>
      </c>
      <c r="I324" t="n">
        <v>-0.05071384049175016</v>
      </c>
      <c r="J324" t="n">
        <v>-0.2447168053298642</v>
      </c>
      <c r="K324" t="n">
        <v>-0.7376797700090504</v>
      </c>
      <c r="L324" t="n">
        <v>0.01091365169652718</v>
      </c>
      <c r="M324" t="n">
        <v>-0.4600823297559014</v>
      </c>
      <c r="N324" t="n">
        <v>1.166051703710325</v>
      </c>
      <c r="O324" t="n">
        <v>0.944391882435626</v>
      </c>
      <c r="P324" t="n">
        <v>0.4295216237578118</v>
      </c>
      <c r="Q324" t="n">
        <v>-0.3054387078663896</v>
      </c>
      <c r="R324" t="n">
        <v>-0.6328740863564573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0.2546404448272612</v>
      </c>
      <c r="AJ324" t="n">
        <v>0.3333333333333333</v>
      </c>
    </row>
    <row r="325">
      <c r="A325" t="inlineStr">
        <is>
          <t>2022-10-03</t>
        </is>
      </c>
      <c r="B325" t="n">
        <v>1</v>
      </c>
      <c r="C325" t="n">
        <v>0.8862318732367115</v>
      </c>
      <c r="D325" t="n">
        <v>0.5792472600793157</v>
      </c>
      <c r="E325" t="n">
        <v>0.2080830891061042</v>
      </c>
      <c r="F325" t="n">
        <v>-0.2906785051514063</v>
      </c>
      <c r="G325" t="n">
        <v>0.3334104271470915</v>
      </c>
      <c r="H325" t="n">
        <v>0.6845107278714315</v>
      </c>
      <c r="I325" t="n">
        <v>0.9376352396423194</v>
      </c>
      <c r="J325" t="n">
        <v>-0.3164227452629245</v>
      </c>
      <c r="K325" t="n">
        <v>-0.5952539762501902</v>
      </c>
      <c r="L325" t="n">
        <v>-0.0758070184892127</v>
      </c>
      <c r="M325" t="n">
        <v>-1.359740043879371</v>
      </c>
      <c r="N325" t="n">
        <v>1.048105335936848</v>
      </c>
      <c r="O325" t="n">
        <v>2.390992139558954</v>
      </c>
      <c r="P325" t="n">
        <v>3</v>
      </c>
      <c r="Q325" t="n">
        <v>3</v>
      </c>
      <c r="R325" t="n">
        <v>0.01009921225057756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inlineStr">
        <is>
          <t>2022-10-06</t>
        </is>
      </c>
      <c r="B326" t="n">
        <v>1</v>
      </c>
      <c r="C326" t="n">
        <v>-0.2023096092830987</v>
      </c>
      <c r="D326" t="n">
        <v>1.113033577687549</v>
      </c>
      <c r="E326" t="n">
        <v>0.6299306664552818</v>
      </c>
      <c r="F326" t="n">
        <v>-1.31394411565618</v>
      </c>
      <c r="G326" t="n">
        <v>-0.9822746713109839</v>
      </c>
      <c r="H326" t="n">
        <v>-0.8965303751563318</v>
      </c>
      <c r="I326" t="n">
        <v>1.163212003525207</v>
      </c>
      <c r="J326" t="n">
        <v>-2.392176396255949</v>
      </c>
      <c r="K326" t="n">
        <v>3</v>
      </c>
      <c r="L326" t="n">
        <v>1.392865115472871</v>
      </c>
      <c r="M326" t="n">
        <v>-2.13767692518884</v>
      </c>
      <c r="N326" t="n">
        <v>1.873113465920319</v>
      </c>
      <c r="O326" t="n">
        <v>-0.2444268556071802</v>
      </c>
      <c r="P326" t="n">
        <v>0.08429201132978897</v>
      </c>
      <c r="Q326" t="n">
        <v>-0.03153412567090758</v>
      </c>
      <c r="R326" t="n">
        <v>-0.3319655685524781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inlineStr">
        <is>
          <t>2022-10-10</t>
        </is>
      </c>
      <c r="B327" t="n">
        <v>1</v>
      </c>
      <c r="C327" t="n">
        <v>0.3713579767123119</v>
      </c>
      <c r="D327" t="n">
        <v>1.130241913000773</v>
      </c>
      <c r="E327" t="n">
        <v>0.5551701690097407</v>
      </c>
      <c r="F327" t="n">
        <v>-1.013563211795162</v>
      </c>
      <c r="G327" t="n">
        <v>-0.4747227933866833</v>
      </c>
      <c r="H327" t="n">
        <v>-0.2245553423944949</v>
      </c>
      <c r="I327" t="n">
        <v>0.8134095966034919</v>
      </c>
      <c r="J327" t="n">
        <v>0.773413400267342</v>
      </c>
      <c r="K327" t="n">
        <v>-0.1223939454400224</v>
      </c>
      <c r="L327" t="n">
        <v>-2.039163371178073</v>
      </c>
      <c r="M327" t="n">
        <v>-0.156666105429858</v>
      </c>
      <c r="N327" t="n">
        <v>-0.0886181945908162</v>
      </c>
      <c r="O327" t="n">
        <v>-0.1409177303288023</v>
      </c>
      <c r="P327" t="n">
        <v>-0.5757826415623506</v>
      </c>
      <c r="Q327" t="n">
        <v>-0.4768282745955643</v>
      </c>
      <c r="R327" t="n">
        <v>-1.046908501983184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inlineStr">
        <is>
          <t>2022-10-11</t>
        </is>
      </c>
      <c r="B328" t="n">
        <v>1</v>
      </c>
      <c r="C328" t="n">
        <v>0.6487765113224583</v>
      </c>
      <c r="D328" t="n">
        <v>0.8530869833654144</v>
      </c>
      <c r="E328" t="n">
        <v>0.5521101121878618</v>
      </c>
      <c r="F328" t="n">
        <v>-0.6724813983266221</v>
      </c>
      <c r="G328" t="n">
        <v>-0.2529272750749398</v>
      </c>
      <c r="H328" t="n">
        <v>0.06424057652108822</v>
      </c>
      <c r="I328" t="n">
        <v>0.6310119182542158</v>
      </c>
      <c r="J328" t="n">
        <v>-1.121558542471783</v>
      </c>
      <c r="K328" t="n">
        <v>0.1321939262052287</v>
      </c>
      <c r="L328" t="n">
        <v>-0.0865779929458018</v>
      </c>
      <c r="M328" t="n">
        <v>0.1790435538671376</v>
      </c>
      <c r="N328" t="n">
        <v>1.499548140811988</v>
      </c>
      <c r="O328" t="n">
        <v>-0.8219734482153082</v>
      </c>
      <c r="P328" t="n">
        <v>-0.656428324811295</v>
      </c>
      <c r="Q328" t="n">
        <v>-0.4771784253546263</v>
      </c>
      <c r="R328" t="n">
        <v>-0.8553525516082415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0.2881319025980823</v>
      </c>
      <c r="AJ328" t="n">
        <v>0.3333333333333333</v>
      </c>
    </row>
    <row r="329">
      <c r="A329" t="inlineStr">
        <is>
          <t>2022-10-12</t>
        </is>
      </c>
      <c r="B329" t="n">
        <v>1</v>
      </c>
      <c r="C329" t="n">
        <v>0.7426583175987863</v>
      </c>
      <c r="D329" t="n">
        <v>0.7167573536507004</v>
      </c>
      <c r="E329" t="n">
        <v>0.6049060518303423</v>
      </c>
      <c r="F329" t="n">
        <v>-0.506591835995062</v>
      </c>
      <c r="G329" t="n">
        <v>-0.2304538256655907</v>
      </c>
      <c r="H329" t="n">
        <v>0.1031477818004547</v>
      </c>
      <c r="I329" t="n">
        <v>0.7315675470430263</v>
      </c>
      <c r="J329" t="n">
        <v>0.347125853041388</v>
      </c>
      <c r="K329" t="n">
        <v>-0.01252751879151724</v>
      </c>
      <c r="L329" t="n">
        <v>0.313088354132739</v>
      </c>
      <c r="M329" t="n">
        <v>1.347016847117049</v>
      </c>
      <c r="N329" t="n">
        <v>0.4604283118390314</v>
      </c>
      <c r="O329" t="n">
        <v>-0.2118289106856978</v>
      </c>
      <c r="P329" t="n">
        <v>-0.4614922834952608</v>
      </c>
      <c r="Q329" t="n">
        <v>-0.5643905652687105</v>
      </c>
      <c r="R329" t="n">
        <v>-0.3541486378271008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0.6481114719573088</v>
      </c>
      <c r="AJ329" t="n">
        <v>0.6666666666666666</v>
      </c>
    </row>
    <row r="330">
      <c r="A330" t="inlineStr">
        <is>
          <t>2022-10-13</t>
        </is>
      </c>
      <c r="B330" t="n">
        <v>1</v>
      </c>
      <c r="C330" t="n">
        <v>-0.01646932966489768</v>
      </c>
      <c r="D330" t="n">
        <v>0.7843669683935114</v>
      </c>
      <c r="E330" t="n">
        <v>0.6123732062939524</v>
      </c>
      <c r="F330" t="n">
        <v>-1.020032773286123</v>
      </c>
      <c r="G330" t="n">
        <v>-0.8256308458974047</v>
      </c>
      <c r="H330" t="n">
        <v>-0.6861224671761159</v>
      </c>
      <c r="I330" t="n">
        <v>-0.5368972646828658</v>
      </c>
      <c r="J330" t="n">
        <v>-0.9704828220463368</v>
      </c>
      <c r="K330" t="n">
        <v>3</v>
      </c>
      <c r="L330" t="n">
        <v>-0.1762347861859213</v>
      </c>
      <c r="M330" t="n">
        <v>0.9751248031598966</v>
      </c>
      <c r="N330" t="n">
        <v>0.5804294943820821</v>
      </c>
      <c r="O330" t="n">
        <v>-0.4190001285302706</v>
      </c>
      <c r="P330" t="n">
        <v>-0.2337738991252015</v>
      </c>
      <c r="Q330" t="n">
        <v>-0.08279194225085169</v>
      </c>
      <c r="R330" t="n">
        <v>0.2849693390783838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0.2983599344863129</v>
      </c>
      <c r="AJ330" t="n">
        <v>0</v>
      </c>
    </row>
    <row r="331">
      <c r="A331" t="inlineStr">
        <is>
          <t>2022-10-18</t>
        </is>
      </c>
      <c r="B331" t="n">
        <v>1</v>
      </c>
      <c r="C331" t="n">
        <v>-0.1423417264677422</v>
      </c>
      <c r="D331" t="n">
        <v>0.5595106033103615</v>
      </c>
      <c r="E331" t="n">
        <v>0.5425719754364118</v>
      </c>
      <c r="F331" t="n">
        <v>-0.9427180413899769</v>
      </c>
      <c r="G331" t="n">
        <v>-0.870198532350236</v>
      </c>
      <c r="H331" t="n">
        <v>-0.7393639639768564</v>
      </c>
      <c r="I331" t="n">
        <v>0.01930023112960989</v>
      </c>
      <c r="J331" t="n">
        <v>-0.5854290826162393</v>
      </c>
      <c r="K331" t="n">
        <v>1.09166375404746</v>
      </c>
      <c r="L331" t="n">
        <v>1.778488137896637</v>
      </c>
      <c r="M331" t="n">
        <v>-0.1595427414632878</v>
      </c>
      <c r="N331" t="n">
        <v>0.1665897997901238</v>
      </c>
      <c r="O331" t="n">
        <v>-0.6826248058322475</v>
      </c>
      <c r="P331" t="n">
        <v>-0.2247975224836079</v>
      </c>
      <c r="Q331" t="n">
        <v>-0.1586946908578901</v>
      </c>
      <c r="R331" t="n">
        <v>-1.5060452736723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inlineStr">
        <is>
          <t>2022-10-19</t>
        </is>
      </c>
      <c r="B332" t="n">
        <v>1</v>
      </c>
      <c r="C332" t="n">
        <v>0.08258674200406871</v>
      </c>
      <c r="D332" t="n">
        <v>0.3941293906607242</v>
      </c>
      <c r="E332" t="n">
        <v>0.6165114920236465</v>
      </c>
      <c r="F332" t="n">
        <v>-0.65623045806664</v>
      </c>
      <c r="G332" t="n">
        <v>-0.7521952440247346</v>
      </c>
      <c r="H332" t="n">
        <v>-0.5887200800221351</v>
      </c>
      <c r="I332" t="n">
        <v>-0.9375142983707188</v>
      </c>
      <c r="J332" t="n">
        <v>-0.06765948474604597</v>
      </c>
      <c r="K332" t="n">
        <v>-0.1497664428833674</v>
      </c>
      <c r="L332" t="n">
        <v>0.1316982601018331</v>
      </c>
      <c r="M332" t="n">
        <v>-0.1079746375497218</v>
      </c>
      <c r="N332" t="n">
        <v>-0.180160192575284</v>
      </c>
      <c r="O332" t="n">
        <v>-0.3191853322512164</v>
      </c>
      <c r="P332" t="n">
        <v>-0.3351766071331188</v>
      </c>
      <c r="Q332" t="n">
        <v>-0.3009448500247113</v>
      </c>
      <c r="R332" t="n">
        <v>-0.2488136175062554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</row>
    <row r="333">
      <c r="A333" t="inlineStr">
        <is>
          <t>2022-10-20</t>
        </is>
      </c>
      <c r="B333" t="n">
        <v>1</v>
      </c>
      <c r="C333" t="n">
        <v>-0.7156855796619593</v>
      </c>
      <c r="D333" t="n">
        <v>-0.2035682433418619</v>
      </c>
      <c r="E333" t="n">
        <v>0.5198688201444445</v>
      </c>
      <c r="F333" t="n">
        <v>-0.6789818212823356</v>
      </c>
      <c r="G333" t="n">
        <v>-1.3098958227804</v>
      </c>
      <c r="H333" t="n">
        <v>-1.304501623658017</v>
      </c>
      <c r="I333" t="n">
        <v>-0.8198472604560156</v>
      </c>
      <c r="J333" t="n">
        <v>-0.7502547874318861</v>
      </c>
      <c r="K333" t="n">
        <v>2.115078591243218</v>
      </c>
      <c r="L333" t="n">
        <v>-0.7394303738625589</v>
      </c>
      <c r="M333" t="n">
        <v>0.01911863652621466</v>
      </c>
      <c r="N333" t="n">
        <v>-0.3584153738357227</v>
      </c>
      <c r="O333" t="n">
        <v>-0.08083325611417135</v>
      </c>
      <c r="P333" t="n">
        <v>3</v>
      </c>
      <c r="Q333" t="n">
        <v>3</v>
      </c>
      <c r="R333" t="n">
        <v>1.261926110546838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inlineStr">
        <is>
          <t>2022-10-27</t>
        </is>
      </c>
      <c r="B334" t="n">
        <v>1</v>
      </c>
      <c r="C334" t="n">
        <v>-0.7388877248745465</v>
      </c>
      <c r="D334" t="n">
        <v>-0.6764935307510067</v>
      </c>
      <c r="E334" t="n">
        <v>0.06300946166614517</v>
      </c>
      <c r="F334" t="n">
        <v>0.02468885695539941</v>
      </c>
      <c r="G334" t="n">
        <v>-0.9892035370779203</v>
      </c>
      <c r="H334" t="n">
        <v>-0.8291385651082439</v>
      </c>
      <c r="I334" t="n">
        <v>-1.03890908436635</v>
      </c>
      <c r="J334" t="n">
        <v>-0.3817483769670448</v>
      </c>
      <c r="K334" t="n">
        <v>3</v>
      </c>
      <c r="L334" t="n">
        <v>1.382243886073362</v>
      </c>
      <c r="M334" t="n">
        <v>-0.2639722665636039</v>
      </c>
      <c r="N334" t="n">
        <v>-0.5733489987330358</v>
      </c>
      <c r="O334" t="n">
        <v>1.051171459741091</v>
      </c>
      <c r="P334" t="n">
        <v>1.777396332227954</v>
      </c>
      <c r="Q334" t="n">
        <v>1.942956357134101</v>
      </c>
      <c r="R334" t="n">
        <v>2.165883728042799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inlineStr">
        <is>
          <t>2022-11-01</t>
        </is>
      </c>
      <c r="B335" t="n">
        <v>1</v>
      </c>
      <c r="C335" t="n">
        <v>-0.1412995680935659</v>
      </c>
      <c r="D335" t="n">
        <v>-0.8546581203298047</v>
      </c>
      <c r="E335" t="n">
        <v>-0.003270438835782511</v>
      </c>
      <c r="F335" t="n">
        <v>1.259895818802854</v>
      </c>
      <c r="G335" t="n">
        <v>-0.3557257057991505</v>
      </c>
      <c r="H335" t="n">
        <v>-0.1418175172253992</v>
      </c>
      <c r="I335" t="n">
        <v>-0.5743419608269119</v>
      </c>
      <c r="J335" t="n">
        <v>-0.1115501624701717</v>
      </c>
      <c r="K335" t="n">
        <v>0.1827578601081476</v>
      </c>
      <c r="L335" t="n">
        <v>1.429597447870816</v>
      </c>
      <c r="M335" t="n">
        <v>-0.5433807480980417</v>
      </c>
      <c r="N335" t="n">
        <v>-0.1110156755791597</v>
      </c>
      <c r="O335" t="n">
        <v>-0.8928835300518969</v>
      </c>
      <c r="P335" t="n">
        <v>-0.7996915033868084</v>
      </c>
      <c r="Q335" t="n">
        <v>-0.5551466280678143</v>
      </c>
      <c r="R335" t="n">
        <v>-0.6276868210047912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2022-11-02</t>
        </is>
      </c>
      <c r="B336" t="n">
        <v>1</v>
      </c>
      <c r="C336" t="n">
        <v>-0.24011115063581</v>
      </c>
      <c r="D336" t="n">
        <v>-0.833718831274458</v>
      </c>
      <c r="E336" t="n">
        <v>-0.1228375776710817</v>
      </c>
      <c r="F336" t="n">
        <v>1.058403896558954</v>
      </c>
      <c r="G336" t="n">
        <v>-0.3121281013885071</v>
      </c>
      <c r="H336" t="n">
        <v>-0.1128324386516506</v>
      </c>
      <c r="I336" t="n">
        <v>-0.5632522430387493</v>
      </c>
      <c r="J336" t="n">
        <v>0.1646361670373382</v>
      </c>
      <c r="K336" t="n">
        <v>-0.02654351100866583</v>
      </c>
      <c r="L336" t="n">
        <v>0.06713280580704739</v>
      </c>
      <c r="M336" t="n">
        <v>0.392161443600777</v>
      </c>
      <c r="N336" t="n">
        <v>-0.344648114879585</v>
      </c>
      <c r="O336" t="n">
        <v>-0.6104730399356318</v>
      </c>
      <c r="P336" t="n">
        <v>-0.4995003572128341</v>
      </c>
      <c r="Q336" t="n">
        <v>-0.3832308392651044</v>
      </c>
      <c r="R336" t="n">
        <v>-0.4028831346335665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>
        <is>
          <t>2022-11-03</t>
        </is>
      </c>
      <c r="B337" t="n">
        <v>1</v>
      </c>
      <c r="C337" t="n">
        <v>-0.4891050980180656</v>
      </c>
      <c r="D337" t="n">
        <v>-0.8099795431958583</v>
      </c>
      <c r="E337" t="n">
        <v>-0.2863670874661337</v>
      </c>
      <c r="F337" t="n">
        <v>0.6555182772047893</v>
      </c>
      <c r="G337" t="n">
        <v>-0.3680866422222773</v>
      </c>
      <c r="H337" t="n">
        <v>-0.1903384343844761</v>
      </c>
      <c r="I337" t="n">
        <v>-0.5571233799141052</v>
      </c>
      <c r="J337" t="n">
        <v>0.09786752189744496</v>
      </c>
      <c r="K337" t="n">
        <v>3</v>
      </c>
      <c r="L337" t="n">
        <v>-0.6952402346835412</v>
      </c>
      <c r="M337" t="n">
        <v>3</v>
      </c>
      <c r="N337" t="n">
        <v>-0.5476638141133759</v>
      </c>
      <c r="O337" t="n">
        <v>-0.4466025151084726</v>
      </c>
      <c r="P337" t="n">
        <v>0.2913914328410351</v>
      </c>
      <c r="Q337" t="n">
        <v>0.5318804560208718</v>
      </c>
      <c r="R337" t="n">
        <v>0.5470267570539361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0.06701386370327479</v>
      </c>
      <c r="AJ337" t="n">
        <v>0.3333333333333333</v>
      </c>
    </row>
    <row r="338">
      <c r="A338" t="inlineStr">
        <is>
          <t>2022-11-10</t>
        </is>
      </c>
      <c r="B338" t="n">
        <v>1</v>
      </c>
      <c r="C338" t="n">
        <v>-0.2219196588764654</v>
      </c>
      <c r="D338" t="n">
        <v>-0.8209489059655227</v>
      </c>
      <c r="E338" t="n">
        <v>-0.6936236634443493</v>
      </c>
      <c r="F338" t="n">
        <v>1.043912703294709</v>
      </c>
      <c r="G338" t="n">
        <v>0.6174175837541767</v>
      </c>
      <c r="H338" t="n">
        <v>0.5296173684308961</v>
      </c>
      <c r="I338" t="n">
        <v>-1.123493542163773</v>
      </c>
      <c r="J338" t="n">
        <v>-0.06765948474604597</v>
      </c>
      <c r="K338" t="n">
        <v>-0.1497664428833674</v>
      </c>
      <c r="L338" t="n">
        <v>0.1316982601018331</v>
      </c>
      <c r="M338" t="n">
        <v>-0.1079746375497218</v>
      </c>
      <c r="N338" t="n">
        <v>-0.180160192575284</v>
      </c>
      <c r="O338" t="n">
        <v>-0.3191853322512164</v>
      </c>
      <c r="P338" t="n">
        <v>-0.3351766071331188</v>
      </c>
      <c r="Q338" t="n">
        <v>-0.3009448500247113</v>
      </c>
      <c r="R338" t="n">
        <v>-0.2488136175062554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</row>
    <row r="339">
      <c r="A339" t="inlineStr">
        <is>
          <t>2022-11-15</t>
        </is>
      </c>
      <c r="B339" t="n">
        <v>1</v>
      </c>
      <c r="C339" t="n">
        <v>-0.9258464183577158</v>
      </c>
      <c r="D339" t="n">
        <v>-0.2124466409813602</v>
      </c>
      <c r="E339" t="n">
        <v>-0.7450001017714556</v>
      </c>
      <c r="F339" t="n">
        <v>-0.8609850035334889</v>
      </c>
      <c r="G339" t="n">
        <v>-0.2248376668642841</v>
      </c>
      <c r="H339" t="n">
        <v>-0.1385516318814891</v>
      </c>
      <c r="I339" t="n">
        <v>1.551812838812075</v>
      </c>
      <c r="J339" t="n">
        <v>0.6650124282318336</v>
      </c>
      <c r="K339" t="n">
        <v>0.5165295394639703</v>
      </c>
      <c r="L339" t="n">
        <v>0.7030572836458213</v>
      </c>
      <c r="M339" t="n">
        <v>-0.2127037241600379</v>
      </c>
      <c r="N339" t="n">
        <v>-1.150957430459945</v>
      </c>
      <c r="O339" t="n">
        <v>-0.05161188104075914</v>
      </c>
      <c r="P339" t="n">
        <v>-0.5850273481517441</v>
      </c>
      <c r="Q339" t="n">
        <v>-0.6073473635651272</v>
      </c>
      <c r="R339" t="n">
        <v>-0.3196612589800103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2022-11-16</t>
        </is>
      </c>
      <c r="B340" t="n">
        <v>1</v>
      </c>
      <c r="C340" t="n">
        <v>-0.7526913808468558</v>
      </c>
      <c r="D340" t="n">
        <v>-0.3817568667096408</v>
      </c>
      <c r="E340" t="n">
        <v>-0.7926828958825044</v>
      </c>
      <c r="F340" t="n">
        <v>-0.4869431435639607</v>
      </c>
      <c r="G340" t="n">
        <v>0.09797068156173354</v>
      </c>
      <c r="H340" t="n">
        <v>0.09172341922660875</v>
      </c>
      <c r="I340" t="n">
        <v>1.665606613771947</v>
      </c>
      <c r="J340" t="n">
        <v>0.9074824344707899</v>
      </c>
      <c r="K340" t="n">
        <v>-0.1998297816193892</v>
      </c>
      <c r="L340" t="n">
        <v>-0.0988239001266365</v>
      </c>
      <c r="M340" t="n">
        <v>-0.4505524958199862</v>
      </c>
      <c r="N340" t="n">
        <v>-1.079449876478812</v>
      </c>
      <c r="O340" t="n">
        <v>-0.6815923127383576</v>
      </c>
      <c r="P340" t="n">
        <v>-0.2901547489281986</v>
      </c>
      <c r="Q340" t="n">
        <v>-0.1593354801968631</v>
      </c>
      <c r="R340" t="n">
        <v>-0.2901791238918937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2022-11-17</t>
        </is>
      </c>
      <c r="B341" t="n">
        <v>1</v>
      </c>
      <c r="C341" t="n">
        <v>-0.5088301894589644</v>
      </c>
      <c r="D341" t="n">
        <v>-0.4571017337783845</v>
      </c>
      <c r="E341" t="n">
        <v>-0.7924392431220748</v>
      </c>
      <c r="F341" t="n">
        <v>-0.121083302702429</v>
      </c>
      <c r="G341" t="n">
        <v>0.4362646064705906</v>
      </c>
      <c r="H341" t="n">
        <v>0.3423800842956565</v>
      </c>
      <c r="I341" t="n">
        <v>1.56734412679964</v>
      </c>
      <c r="J341" t="n">
        <v>-0.06765948474604597</v>
      </c>
      <c r="K341" t="n">
        <v>-0.1497664428833674</v>
      </c>
      <c r="L341" t="n">
        <v>0.1316982601018331</v>
      </c>
      <c r="M341" t="n">
        <v>-0.1079746375497218</v>
      </c>
      <c r="N341" t="n">
        <v>-0.180160192575284</v>
      </c>
      <c r="O341" t="n">
        <v>-0.3191853322512164</v>
      </c>
      <c r="P341" t="n">
        <v>-0.3351766071331188</v>
      </c>
      <c r="Q341" t="n">
        <v>-0.3009448500247113</v>
      </c>
      <c r="R341" t="n">
        <v>-0.2488136175062554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</row>
    <row r="342">
      <c r="A342" t="inlineStr">
        <is>
          <t>2022-11-22</t>
        </is>
      </c>
      <c r="B342" t="n">
        <v>1</v>
      </c>
      <c r="C342" t="n">
        <v>-0.985216966495191</v>
      </c>
      <c r="D342" t="n">
        <v>-0.2904865114080273</v>
      </c>
      <c r="E342" t="n">
        <v>-0.6724620687346627</v>
      </c>
      <c r="F342" t="n">
        <v>-0.8299713403272851</v>
      </c>
      <c r="G342" t="n">
        <v>-0.4192281351398378</v>
      </c>
      <c r="H342" t="n">
        <v>-0.278908006129691</v>
      </c>
      <c r="I342" t="n">
        <v>-0.5634133383351071</v>
      </c>
      <c r="J342" t="n">
        <v>-0.9604614692390765</v>
      </c>
      <c r="K342" t="n">
        <v>0.2716839607401378</v>
      </c>
      <c r="L342" t="n">
        <v>0.399156319429873</v>
      </c>
      <c r="M342" t="n">
        <v>-0.3937484622875053</v>
      </c>
      <c r="N342" t="n">
        <v>-0.5476638141133759</v>
      </c>
      <c r="O342" t="n">
        <v>-0.6188043785606323</v>
      </c>
      <c r="P342" t="n">
        <v>-0.5956220070699013</v>
      </c>
      <c r="Q342" t="n">
        <v>-0.5068821846024985</v>
      </c>
      <c r="R342" t="n">
        <v>-1.0446289785146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inlineStr">
        <is>
          <t>2022-11-25</t>
        </is>
      </c>
      <c r="B343" t="n">
        <v>1</v>
      </c>
      <c r="C343" t="n">
        <v>-1.136881859798551</v>
      </c>
      <c r="D343" t="n">
        <v>-0.2759795884221431</v>
      </c>
      <c r="E343" t="n">
        <v>-0.6929026372614141</v>
      </c>
      <c r="F343" t="n">
        <v>-0.9900024337742697</v>
      </c>
      <c r="G343" t="n">
        <v>-0.5874512633241067</v>
      </c>
      <c r="H343" t="n">
        <v>-0.4126281968723287</v>
      </c>
      <c r="I343" t="n">
        <v>0.4157483255730476</v>
      </c>
      <c r="J343" t="n">
        <v>1.817929813818289</v>
      </c>
      <c r="K343" t="n">
        <v>-0.5158529601040118</v>
      </c>
      <c r="L343" t="n">
        <v>-0.09906536667156962</v>
      </c>
      <c r="M343" t="n">
        <v>-0.5340222451643202</v>
      </c>
      <c r="N343" t="n">
        <v>-1.603427642719872</v>
      </c>
      <c r="O343" t="n">
        <v>-0.5939862780230268</v>
      </c>
      <c r="P343" t="n">
        <v>-0.4197484487206325</v>
      </c>
      <c r="Q343" t="n">
        <v>-0.3805613213460157</v>
      </c>
      <c r="R343" t="n">
        <v>-0.9180288899099804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inlineStr">
        <is>
          <t>2022-11-28</t>
        </is>
      </c>
      <c r="B344" t="n">
        <v>1</v>
      </c>
      <c r="C344" t="n">
        <v>-1.072833113278001</v>
      </c>
      <c r="D344" t="n">
        <v>-0.8431111409926292</v>
      </c>
      <c r="E344" t="n">
        <v>-0.6996366944703782</v>
      </c>
      <c r="F344" t="n">
        <v>-0.04863256595572467</v>
      </c>
      <c r="G344" t="n">
        <v>-0.4931855432875333</v>
      </c>
      <c r="H344" t="n">
        <v>-0.3393660276894817</v>
      </c>
      <c r="I344" t="n">
        <v>0.38116098916764</v>
      </c>
      <c r="J344" t="n">
        <v>-0.2587712257115005</v>
      </c>
      <c r="K344" t="n">
        <v>-0.004315874389171362</v>
      </c>
      <c r="L344" t="n">
        <v>-0.6261002926718382</v>
      </c>
      <c r="M344" t="n">
        <v>-0.2962757663580935</v>
      </c>
      <c r="N344" t="n">
        <v>-0.9666405456292664</v>
      </c>
      <c r="O344" t="n">
        <v>-0.6209037874553939</v>
      </c>
      <c r="P344" t="n">
        <v>-0.3851315422302296</v>
      </c>
      <c r="Q344" t="n">
        <v>-0.2189439707117743</v>
      </c>
      <c r="R344" t="n">
        <v>-0.2236708559504823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2022-11-29</t>
        </is>
      </c>
      <c r="B345" t="n">
        <v>1</v>
      </c>
      <c r="C345" t="n">
        <v>-1.064377579666931</v>
      </c>
      <c r="D345" t="n">
        <v>-0.8518811198089137</v>
      </c>
      <c r="E345" t="n">
        <v>-0.6993255807505556</v>
      </c>
      <c r="F345" t="n">
        <v>-0.01725957736787411</v>
      </c>
      <c r="G345" t="n">
        <v>-0.482491320393253</v>
      </c>
      <c r="H345" t="n">
        <v>-0.3310056111690582</v>
      </c>
      <c r="I345" t="n">
        <v>-0.8724644739556937</v>
      </c>
      <c r="J345" t="n">
        <v>0.008191167698854758</v>
      </c>
      <c r="K345" t="n">
        <v>-0.2084457291901149</v>
      </c>
      <c r="L345" t="n">
        <v>0.4503721162076163</v>
      </c>
      <c r="M345" t="n">
        <v>-0.1079746375497218</v>
      </c>
      <c r="N345" t="n">
        <v>-1.058696247306127</v>
      </c>
      <c r="O345" t="n">
        <v>-0.5341336477651962</v>
      </c>
      <c r="P345" t="n">
        <v>-0.2996081763711876</v>
      </c>
      <c r="Q345" t="n">
        <v>-0.0177462488082622</v>
      </c>
      <c r="R345" t="n">
        <v>-1.02946707066333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0.009894502998710475</v>
      </c>
      <c r="AJ345" t="n">
        <v>0.3333333333333333</v>
      </c>
    </row>
    <row r="346">
      <c r="A346" t="inlineStr">
        <is>
          <t>2022-12-02</t>
        </is>
      </c>
      <c r="B346" t="n">
        <v>1</v>
      </c>
      <c r="C346" t="n">
        <v>-0.9903114674519446</v>
      </c>
      <c r="D346" t="n">
        <v>-0.8738973072864972</v>
      </c>
      <c r="E346" t="n">
        <v>-0.875002108812733</v>
      </c>
      <c r="F346" t="n">
        <v>0.1372893830341922</v>
      </c>
      <c r="G346" t="n">
        <v>-0.08362247320731585</v>
      </c>
      <c r="H346" t="n">
        <v>-0.06282261943676085</v>
      </c>
      <c r="I346" t="n">
        <v>-1.52135429202768</v>
      </c>
      <c r="J346" t="n">
        <v>-0.5839351342330276</v>
      </c>
      <c r="K346" t="n">
        <v>-0.184074324127978</v>
      </c>
      <c r="L346" t="n">
        <v>-0.5772885768980622</v>
      </c>
      <c r="M346" t="n">
        <v>0.06539779037341982</v>
      </c>
      <c r="N346" t="n">
        <v>-0.7420492913149612</v>
      </c>
      <c r="O346" t="n">
        <v>-0.5511509635581914</v>
      </c>
      <c r="P346" t="n">
        <v>-0.509672154043355</v>
      </c>
      <c r="Q346" t="n">
        <v>-0.4174461997549547</v>
      </c>
      <c r="R346" t="n">
        <v>-0.1037654796777868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2022-12-05</t>
        </is>
      </c>
      <c r="B347" t="n">
        <v>1</v>
      </c>
      <c r="C347" t="n">
        <v>-0.8424186750136657</v>
      </c>
      <c r="D347" t="n">
        <v>-0.718330302968348</v>
      </c>
      <c r="E347" t="n">
        <v>-0.8063009916596032</v>
      </c>
      <c r="F347" t="n">
        <v>-0.01656956951376984</v>
      </c>
      <c r="G347" t="n">
        <v>-0.001485679620360539</v>
      </c>
      <c r="H347" t="n">
        <v>0.01427909811251891</v>
      </c>
      <c r="I347" t="n">
        <v>-0.3567907369119847</v>
      </c>
      <c r="J347" t="n">
        <v>-0.1940773984248137</v>
      </c>
      <c r="K347" t="n">
        <v>0.1143843003864567</v>
      </c>
      <c r="L347" t="n">
        <v>0.1621499517579728</v>
      </c>
      <c r="M347" t="n">
        <v>-0.1745639082358707</v>
      </c>
      <c r="N347" t="n">
        <v>-0.7628029204876465</v>
      </c>
      <c r="O347" t="n">
        <v>-0.6736095286790442</v>
      </c>
      <c r="P347" t="n">
        <v>-0.632594849039269</v>
      </c>
      <c r="Q347" t="n">
        <v>-0.4090640119284796</v>
      </c>
      <c r="R347" t="n">
        <v>-1.058760500439128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2022-12-06</t>
        </is>
      </c>
      <c r="B348" t="n">
        <v>1</v>
      </c>
      <c r="C348" t="n">
        <v>-0.7683265807369242</v>
      </c>
      <c r="D348" t="n">
        <v>-1.032264821992396</v>
      </c>
      <c r="E348" t="n">
        <v>-0.8093394259425881</v>
      </c>
      <c r="F348" t="n">
        <v>0.9346126615140765</v>
      </c>
      <c r="G348" t="n">
        <v>0.1081079173437968</v>
      </c>
      <c r="H348" t="n">
        <v>0.0938370255822764</v>
      </c>
      <c r="I348" t="n">
        <v>-0.3464903989372218</v>
      </c>
      <c r="J348" t="n">
        <v>0.4001758587211831</v>
      </c>
      <c r="K348" t="n">
        <v>-0.07203671567056705</v>
      </c>
      <c r="L348" t="n">
        <v>-0.6995470072116053</v>
      </c>
      <c r="M348" t="n">
        <v>0.1766019413824642</v>
      </c>
      <c r="N348" t="n">
        <v>-0.9249278058069388</v>
      </c>
      <c r="O348" t="n">
        <v>-0.1173934043708754</v>
      </c>
      <c r="P348" t="n">
        <v>-0.484365918851679</v>
      </c>
      <c r="Q348" t="n">
        <v>-0.5125512455529806</v>
      </c>
      <c r="R348" t="n">
        <v>-0.0001484926598021484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0.2867290316015109</v>
      </c>
      <c r="AJ348" t="n">
        <v>0.3333333333333333</v>
      </c>
    </row>
    <row r="349">
      <c r="A349" t="inlineStr">
        <is>
          <t>2022-12-07</t>
        </is>
      </c>
      <c r="B349" t="n">
        <v>1</v>
      </c>
      <c r="C349" t="n">
        <v>-0.6010778134157508</v>
      </c>
      <c r="D349" t="n">
        <v>-0.991995623041198</v>
      </c>
      <c r="E349" t="n">
        <v>-0.8056849739040112</v>
      </c>
      <c r="F349" t="n">
        <v>1.055966445326612</v>
      </c>
      <c r="G349" t="n">
        <v>0.3351500517194224</v>
      </c>
      <c r="H349" t="n">
        <v>0.2619355446024697</v>
      </c>
      <c r="I349" t="n">
        <v>-0.2694346105015241</v>
      </c>
      <c r="J349" t="n">
        <v>0.09685503018180895</v>
      </c>
      <c r="K349" t="n">
        <v>-0.09918810762676666</v>
      </c>
      <c r="L349" t="n">
        <v>-0.08108484204152996</v>
      </c>
      <c r="M349" t="n">
        <v>0.7198023249027922</v>
      </c>
      <c r="N349" t="n">
        <v>-0.6528703303155025</v>
      </c>
      <c r="O349" t="n">
        <v>-0.5353560776417112</v>
      </c>
      <c r="P349" t="n">
        <v>-0.6486735718664111</v>
      </c>
      <c r="Q349" t="n">
        <v>-0.4577067806845671</v>
      </c>
      <c r="R349" t="n">
        <v>-0.7556719880621547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0.1944184407792272</v>
      </c>
      <c r="AJ349" t="n">
        <v>0</v>
      </c>
    </row>
    <row r="350">
      <c r="A350" t="inlineStr">
        <is>
          <t>2022-12-08</t>
        </is>
      </c>
      <c r="B350" t="n">
        <v>1</v>
      </c>
      <c r="C350" t="n">
        <v>-0.5544856898074145</v>
      </c>
      <c r="D350" t="n">
        <v>-0.87842724427787</v>
      </c>
      <c r="E350" t="n">
        <v>-0.7806568283797883</v>
      </c>
      <c r="F350" t="n">
        <v>0.7597910197441961</v>
      </c>
      <c r="G350" t="n">
        <v>0.3487077413525492</v>
      </c>
      <c r="H350" t="n">
        <v>0.2825271553368618</v>
      </c>
      <c r="I350" t="n">
        <v>-0.7730390582578469</v>
      </c>
      <c r="J350" t="n">
        <v>-0.06765948474604597</v>
      </c>
      <c r="K350" t="n">
        <v>-0.1497664428833674</v>
      </c>
      <c r="L350" t="n">
        <v>0.1316982601018331</v>
      </c>
      <c r="M350" t="n">
        <v>-0.1079746375497218</v>
      </c>
      <c r="N350" t="n">
        <v>-0.180160192575284</v>
      </c>
      <c r="O350" t="n">
        <v>-0.3191853322512164</v>
      </c>
      <c r="P350" t="n">
        <v>-0.3351766071331188</v>
      </c>
      <c r="Q350" t="n">
        <v>-0.3009448500247113</v>
      </c>
      <c r="R350" t="n">
        <v>-0.2488136175062554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</row>
    <row r="351">
      <c r="A351" t="inlineStr">
        <is>
          <t>2022-12-12</t>
        </is>
      </c>
      <c r="B351" t="n">
        <v>1</v>
      </c>
      <c r="C351" t="n">
        <v>-0.911172531900195</v>
      </c>
      <c r="D351" t="n">
        <v>-0.9795836805354895</v>
      </c>
      <c r="E351" t="n">
        <v>-1.178827711630602</v>
      </c>
      <c r="F351" t="n">
        <v>0.5396934701393034</v>
      </c>
      <c r="G351" t="n">
        <v>0.7581747081271236</v>
      </c>
      <c r="H351" t="n">
        <v>0.3506161253681647</v>
      </c>
      <c r="I351" t="n">
        <v>-0.4496351550433754</v>
      </c>
      <c r="J351" t="n">
        <v>-0.3622503522895773</v>
      </c>
      <c r="K351" t="n">
        <v>-0.1777000887702805</v>
      </c>
      <c r="L351" t="n">
        <v>-1.195616582747348</v>
      </c>
      <c r="M351" t="n">
        <v>-0.1133395411725076</v>
      </c>
      <c r="N351" t="n">
        <v>-0.7593097353793727</v>
      </c>
      <c r="O351" t="n">
        <v>-0.5890040345642237</v>
      </c>
      <c r="P351" t="n">
        <v>-0.6174363372747802</v>
      </c>
      <c r="Q351" t="n">
        <v>-0.5863016831334837</v>
      </c>
      <c r="R351" t="n">
        <v>-0.5831994844218783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2022-12-16</t>
        </is>
      </c>
      <c r="B352" t="n">
        <v>1</v>
      </c>
      <c r="C352" t="n">
        <v>-0.9243320611282265</v>
      </c>
      <c r="D352" t="n">
        <v>-0.6689421956671703</v>
      </c>
      <c r="E352" t="n">
        <v>-0.8778542006604452</v>
      </c>
      <c r="F352" t="n">
        <v>-0.213416897061019</v>
      </c>
      <c r="G352" t="n">
        <v>0.01808459239635491</v>
      </c>
      <c r="H352" t="n">
        <v>0.008184065689803621</v>
      </c>
      <c r="I352" t="n">
        <v>1.204497943402734</v>
      </c>
      <c r="J352" t="n">
        <v>0.3451406285218656</v>
      </c>
      <c r="K352" t="n">
        <v>-0.4796016957154437</v>
      </c>
      <c r="L352" t="n">
        <v>-1.069539671253511</v>
      </c>
      <c r="M352" t="n">
        <v>0.1399465656317188</v>
      </c>
      <c r="N352" t="n">
        <v>-1.046161877211733</v>
      </c>
      <c r="O352" t="n">
        <v>-0.09543305718610301</v>
      </c>
      <c r="P352" t="n">
        <v>-0.4337787235518851</v>
      </c>
      <c r="Q352" t="n">
        <v>-0.5316863556781627</v>
      </c>
      <c r="R352" t="n">
        <v>-0.6589664181885213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0.07491633059157418</v>
      </c>
      <c r="AJ352" t="n">
        <v>0.3333333333333333</v>
      </c>
    </row>
    <row r="353">
      <c r="A353" t="inlineStr">
        <is>
          <t>2022-12-21</t>
        </is>
      </c>
      <c r="B353" t="n">
        <v>1</v>
      </c>
      <c r="C353" t="n">
        <v>-0.591360180825117</v>
      </c>
      <c r="D353" t="n">
        <v>-0.40334127448257</v>
      </c>
      <c r="E353" t="n">
        <v>-0.8254846216568791</v>
      </c>
      <c r="F353" t="n">
        <v>-0.2923895410384981</v>
      </c>
      <c r="G353" t="n">
        <v>0.3900798429580595</v>
      </c>
      <c r="H353" t="n">
        <v>0.293570819806369</v>
      </c>
      <c r="I353" t="n">
        <v>1.505916471235629</v>
      </c>
      <c r="J353" t="n">
        <v>-0.7096919112108931</v>
      </c>
      <c r="K353" t="n">
        <v>-0.9499397861154941</v>
      </c>
      <c r="L353" t="n">
        <v>1.200080628439719</v>
      </c>
      <c r="M353" t="n">
        <v>-0.04050024034891585</v>
      </c>
      <c r="N353" t="n">
        <v>-0.2443731541244333</v>
      </c>
      <c r="O353" t="n">
        <v>-0.7530805611427865</v>
      </c>
      <c r="P353" t="n">
        <v>-0.5309540001040244</v>
      </c>
      <c r="Q353" t="n">
        <v>-0.2110114208999537</v>
      </c>
      <c r="R353" t="n">
        <v>-0.3731083907166224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0.3796531748156606</v>
      </c>
      <c r="AJ353" t="n">
        <v>0.6666666666666666</v>
      </c>
    </row>
    <row r="354">
      <c r="A354" t="inlineStr">
        <is>
          <t>2022-12-22</t>
        </is>
      </c>
      <c r="B354" t="n">
        <v>1</v>
      </c>
      <c r="C354" t="n">
        <v>-0.3962223798850031</v>
      </c>
      <c r="D354" t="n">
        <v>-0.3367345882583187</v>
      </c>
      <c r="E354" t="n">
        <v>-0.742311525432199</v>
      </c>
      <c r="F354" t="n">
        <v>-0.1992298905046554</v>
      </c>
      <c r="G354" t="n">
        <v>0.4861226434706927</v>
      </c>
      <c r="H354" t="n">
        <v>0.4034712831504092</v>
      </c>
      <c r="I354" t="n">
        <v>1.199959588411737</v>
      </c>
      <c r="J354" t="n">
        <v>-1.159217711528778</v>
      </c>
      <c r="K354" t="n">
        <v>0.8971572093097542</v>
      </c>
      <c r="L354" t="n">
        <v>1.025383422884862</v>
      </c>
      <c r="M354" t="n">
        <v>3</v>
      </c>
      <c r="N354" t="n">
        <v>0.2761114270083526</v>
      </c>
      <c r="O354" t="n">
        <v>-0.07557909043484509</v>
      </c>
      <c r="P354" t="n">
        <v>-0.1080818625551469</v>
      </c>
      <c r="Q354" t="n">
        <v>-0.6047346158784225</v>
      </c>
      <c r="R354" t="n">
        <v>-0.6727342098188995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0.8393413493026067</v>
      </c>
      <c r="AJ354" t="n">
        <v>1</v>
      </c>
    </row>
    <row r="355">
      <c r="A355" t="inlineStr">
        <is>
          <t>2022-12-23</t>
        </is>
      </c>
      <c r="B355" t="n">
        <v>1</v>
      </c>
      <c r="C355" t="n">
        <v>-0.2897275503805412</v>
      </c>
      <c r="D355" t="n">
        <v>-0.3594753295406014</v>
      </c>
      <c r="E355" t="n">
        <v>-0.8659509792807647</v>
      </c>
      <c r="F355" t="n">
        <v>-0.05858315822350757</v>
      </c>
      <c r="G355" t="n">
        <v>0.9147081795866079</v>
      </c>
      <c r="H355" t="n">
        <v>0.6481580907701724</v>
      </c>
      <c r="I355" t="n">
        <v>0.6722260797492139</v>
      </c>
      <c r="J355" t="n">
        <v>-1.139099065985067</v>
      </c>
      <c r="K355" t="n">
        <v>-1.071260540532727</v>
      </c>
      <c r="L355" t="n">
        <v>-0.9315373966342056</v>
      </c>
      <c r="M355" t="n">
        <v>-1.017381420089322</v>
      </c>
      <c r="N355" t="n">
        <v>0.3891262393348563</v>
      </c>
      <c r="O355" t="n">
        <v>-0.4940013384626645</v>
      </c>
      <c r="P355" t="n">
        <v>-0.5786664204716061</v>
      </c>
      <c r="Q355" t="n">
        <v>-0.4401328223766595</v>
      </c>
      <c r="R355" t="n">
        <v>-0.3771178924598483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1.454626808201356</v>
      </c>
      <c r="AJ355" t="n">
        <v>1.333333333333333</v>
      </c>
    </row>
    <row r="356">
      <c r="A356" t="inlineStr">
        <is>
          <t>2022-12-26</t>
        </is>
      </c>
      <c r="B356" t="n">
        <v>1</v>
      </c>
      <c r="C356" t="n">
        <v>0.06101013236259387</v>
      </c>
      <c r="D356" t="n">
        <v>-0.06050133708645107</v>
      </c>
      <c r="E356" t="n">
        <v>-0.5972292238903192</v>
      </c>
      <c r="F356" t="n">
        <v>-0.1755429876397707</v>
      </c>
      <c r="G356" t="n">
        <v>0.7803989481380952</v>
      </c>
      <c r="H356" t="n">
        <v>0.7154043612659058</v>
      </c>
      <c r="I356" t="n">
        <v>1.154311126421565</v>
      </c>
      <c r="J356" t="n">
        <v>-0.316470631014724</v>
      </c>
      <c r="K356" t="n">
        <v>-0.3860988707079518</v>
      </c>
      <c r="L356" t="n">
        <v>0.4961810882542942</v>
      </c>
      <c r="M356" t="n">
        <v>0.9193114499628829</v>
      </c>
      <c r="N356" t="n">
        <v>0.2091244655202802</v>
      </c>
      <c r="O356" t="n">
        <v>0.08427013138641175</v>
      </c>
      <c r="P356" t="n">
        <v>-0.5808189304637297</v>
      </c>
      <c r="Q356" t="n">
        <v>-0.4071578893914066</v>
      </c>
      <c r="R356" t="n">
        <v>-0.996123025189391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1.049867643899585</v>
      </c>
      <c r="AJ356" t="n">
        <v>0</v>
      </c>
    </row>
    <row r="357">
      <c r="A357" t="inlineStr">
        <is>
          <t>2022-12-28</t>
        </is>
      </c>
      <c r="B357" t="n">
        <v>1</v>
      </c>
      <c r="C357" t="n">
        <v>-0.4359140689122874</v>
      </c>
      <c r="D357" t="n">
        <v>0.1911972848704719</v>
      </c>
      <c r="E357" t="n">
        <v>-0.4371629210498572</v>
      </c>
      <c r="F357" t="n">
        <v>-0.8498085161253396</v>
      </c>
      <c r="G357" t="n">
        <v>-0.1001238383723723</v>
      </c>
      <c r="H357" t="n">
        <v>0.02917637580511798</v>
      </c>
      <c r="I357" t="n">
        <v>1.399240853266587</v>
      </c>
      <c r="J357" t="n">
        <v>-0.6426980175637064</v>
      </c>
      <c r="K357" t="n">
        <v>-0.9323149367380789</v>
      </c>
      <c r="L357" t="n">
        <v>-0.4485857878547682</v>
      </c>
      <c r="M357" t="n">
        <v>-0.9616472788162383</v>
      </c>
      <c r="N357" t="n">
        <v>-0.1140978977335185</v>
      </c>
      <c r="O357" t="n">
        <v>0.5781073862955061</v>
      </c>
      <c r="P357" t="n">
        <v>0.8558702261291277</v>
      </c>
      <c r="Q357" t="n">
        <v>-0.3719561007163384</v>
      </c>
      <c r="R357" t="n">
        <v>-1.056997716918463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0.9325781405922559</v>
      </c>
      <c r="AJ357" t="n">
        <v>0</v>
      </c>
    </row>
    <row r="358">
      <c r="A358" t="inlineStr">
        <is>
          <t>2022-12-29</t>
        </is>
      </c>
      <c r="B358" t="n">
        <v>1</v>
      </c>
      <c r="C358" t="n">
        <v>-0.8339846765180524</v>
      </c>
      <c r="D358" t="n">
        <v>0.1536948300997743</v>
      </c>
      <c r="E358" t="n">
        <v>-0.5103485763366237</v>
      </c>
      <c r="F358" t="n">
        <v>-1.121703574499011</v>
      </c>
      <c r="G358" t="n">
        <v>-0.4638016455230728</v>
      </c>
      <c r="H358" t="n">
        <v>-0.300447282381504</v>
      </c>
      <c r="I358" t="n">
        <v>1.388699055844604</v>
      </c>
      <c r="J358" t="n">
        <v>-0.5617549932795552</v>
      </c>
      <c r="K358" t="n">
        <v>0.861637523879304</v>
      </c>
      <c r="L358" t="n">
        <v>-0.9260167040104196</v>
      </c>
      <c r="M358" t="n">
        <v>0.4894073808474853</v>
      </c>
      <c r="N358" t="n">
        <v>-0.5856778873504723</v>
      </c>
      <c r="O358" t="n">
        <v>0.3213727551081818</v>
      </c>
      <c r="P358" t="n">
        <v>1.946215418402787</v>
      </c>
      <c r="Q358" t="n">
        <v>1.572513108372204</v>
      </c>
      <c r="R358" t="n">
        <v>1.359306327408539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0.5330334285953723</v>
      </c>
      <c r="AJ358" t="n">
        <v>0</v>
      </c>
    </row>
    <row r="359">
      <c r="A359" t="inlineStr">
        <is>
          <t>2023-01-02</t>
        </is>
      </c>
      <c r="B359" t="n">
        <v>1</v>
      </c>
      <c r="C359" t="n">
        <v>-0.5427663693170719</v>
      </c>
      <c r="D359" t="n">
        <v>-0.08767436321956362</v>
      </c>
      <c r="E359" t="n">
        <v>-0.5368514358876283</v>
      </c>
      <c r="F359" t="n">
        <v>-0.6579413319903475</v>
      </c>
      <c r="G359" t="n">
        <v>-0.07347470405969621</v>
      </c>
      <c r="H359" t="n">
        <v>0.02816535197789606</v>
      </c>
      <c r="I359" t="n">
        <v>-0.4966550214344072</v>
      </c>
      <c r="J359" t="n">
        <v>-0.6791829665966117</v>
      </c>
      <c r="K359" t="n">
        <v>-0.1109271090569985</v>
      </c>
      <c r="L359" t="n">
        <v>0.3753536533037943</v>
      </c>
      <c r="M359" t="n">
        <v>0.258775117871764</v>
      </c>
      <c r="N359" t="n">
        <v>-0.2088248586108239</v>
      </c>
      <c r="O359" t="n">
        <v>-0.3277527674675606</v>
      </c>
      <c r="P359" t="n">
        <v>-0.3394324892151074</v>
      </c>
      <c r="Q359" t="n">
        <v>-0.5407367260423364</v>
      </c>
      <c r="R359" t="n">
        <v>-0.3811088712738847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0.5015725326313866</v>
      </c>
      <c r="AJ359" t="n">
        <v>0</v>
      </c>
    </row>
    <row r="360">
      <c r="A360" t="inlineStr">
        <is>
          <t>2023-01-03</t>
        </is>
      </c>
      <c r="B360" t="n">
        <v>1</v>
      </c>
      <c r="C360" t="n">
        <v>-0.6274731573053074</v>
      </c>
      <c r="D360" t="n">
        <v>-0.2173984171874783</v>
      </c>
      <c r="E360" t="n">
        <v>-0.5054971608396972</v>
      </c>
      <c r="F360" t="n">
        <v>-0.5817483691985803</v>
      </c>
      <c r="G360" t="n">
        <v>-0.2235698403091054</v>
      </c>
      <c r="H360" t="n">
        <v>-0.09325703387492708</v>
      </c>
      <c r="I360" t="n">
        <v>-1.094578004913179</v>
      </c>
      <c r="J360" t="n">
        <v>0.1526171453843751</v>
      </c>
      <c r="K360" t="n">
        <v>-0.2066401708357464</v>
      </c>
      <c r="L360" t="n">
        <v>-0.1249730359286677</v>
      </c>
      <c r="M360" t="n">
        <v>-0.3094194194022865</v>
      </c>
      <c r="N360" t="n">
        <v>-0.7009529959235055</v>
      </c>
      <c r="O360" t="n">
        <v>-0.6481758007486318</v>
      </c>
      <c r="P360" t="n">
        <v>-0.604963534835712</v>
      </c>
      <c r="Q360" t="n">
        <v>-0.2910808394764998</v>
      </c>
      <c r="R360" t="n">
        <v>-1.197032454072491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0.1597064127538275</v>
      </c>
      <c r="AJ360" t="n">
        <v>0</v>
      </c>
    </row>
    <row r="361">
      <c r="A361" t="inlineStr">
        <is>
          <t>2023-01-04</t>
        </is>
      </c>
      <c r="B361" t="n">
        <v>1</v>
      </c>
      <c r="C361" t="n">
        <v>-0.7483914184493435</v>
      </c>
      <c r="D361" t="n">
        <v>-0.1954382487330988</v>
      </c>
      <c r="E361" t="n">
        <v>-0.4882004016464468</v>
      </c>
      <c r="F361" t="n">
        <v>-0.7181128283039987</v>
      </c>
      <c r="G361" t="n">
        <v>-0.3923770695445605</v>
      </c>
      <c r="H361" t="n">
        <v>-0.2365780296195938</v>
      </c>
      <c r="I361" t="n">
        <v>-1.310492933534441</v>
      </c>
      <c r="J361" t="n">
        <v>0.4640466571090867</v>
      </c>
      <c r="K361" t="n">
        <v>-0.07433573221638035</v>
      </c>
      <c r="L361" t="n">
        <v>-0.316633895170057</v>
      </c>
      <c r="M361" t="n">
        <v>-0.2593841397927897</v>
      </c>
      <c r="N361" t="n">
        <v>-0.9298593612539138</v>
      </c>
      <c r="O361" t="n">
        <v>-0.6149734382133863</v>
      </c>
      <c r="P361" t="n">
        <v>-0.6476781344476089</v>
      </c>
      <c r="Q361" t="n">
        <v>-0.4599683857322832</v>
      </c>
      <c r="R361" t="n">
        <v>0.5161839969703148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inlineStr">
        <is>
          <t>2023-01-05</t>
        </is>
      </c>
      <c r="B362" t="n">
        <v>1</v>
      </c>
      <c r="C362" t="n">
        <v>-0.5935786507517143</v>
      </c>
      <c r="D362" t="n">
        <v>-0.1303373806865296</v>
      </c>
      <c r="E362" t="n">
        <v>-0.4129026616304431</v>
      </c>
      <c r="F362" t="n">
        <v>-0.6541274733968113</v>
      </c>
      <c r="G362" t="n">
        <v>-0.3163405495598343</v>
      </c>
      <c r="H362" t="n">
        <v>-0.1595644660891856</v>
      </c>
      <c r="I362" t="n">
        <v>-0.2744202140335838</v>
      </c>
      <c r="J362" t="n">
        <v>-0.2494189861211414</v>
      </c>
      <c r="K362" t="n">
        <v>0.4832948705329962</v>
      </c>
      <c r="L362" t="n">
        <v>0.3839200152728043</v>
      </c>
      <c r="M362" t="n">
        <v>1.427646062045578</v>
      </c>
      <c r="N362" t="n">
        <v>-0.4891015931805512</v>
      </c>
      <c r="O362" t="n">
        <v>-0.7004098885030082</v>
      </c>
      <c r="P362" t="n">
        <v>-0.5011991608174328</v>
      </c>
      <c r="Q362" t="n">
        <v>-0.4075312988292202</v>
      </c>
      <c r="R362" t="n">
        <v>-0.1473738408596436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0.5445877381207538</v>
      </c>
      <c r="AJ362" t="n">
        <v>0.3333333333333333</v>
      </c>
    </row>
    <row r="363">
      <c r="A363" t="inlineStr">
        <is>
          <t>2023-01-11</t>
        </is>
      </c>
      <c r="B363" t="n">
        <v>1</v>
      </c>
      <c r="C363" t="n">
        <v>-0.1521737422945663</v>
      </c>
      <c r="D363" t="n">
        <v>-0.367781342957324</v>
      </c>
      <c r="E363" t="n">
        <v>-0.2214067108558823</v>
      </c>
      <c r="F363" t="n">
        <v>0.0919826715481207</v>
      </c>
      <c r="G363" t="n">
        <v>-0.09490705865875915</v>
      </c>
      <c r="H363" t="n">
        <v>0.08536374849305924</v>
      </c>
      <c r="I363" t="n">
        <v>0.6095865807781879</v>
      </c>
      <c r="J363" t="n">
        <v>0.142364745697169</v>
      </c>
      <c r="K363" t="n">
        <v>-0.8015699649859432</v>
      </c>
      <c r="L363" t="n">
        <v>-0.05803845834710361</v>
      </c>
      <c r="M363" t="n">
        <v>2.516155024196562</v>
      </c>
      <c r="N363" t="n">
        <v>-0.2517704872948953</v>
      </c>
      <c r="O363" t="n">
        <v>-0.4654915578744493</v>
      </c>
      <c r="P363" t="n">
        <v>-0.3911041035088698</v>
      </c>
      <c r="Q363" t="n">
        <v>-0.5223370783177392</v>
      </c>
      <c r="R363" t="n">
        <v>-0.4280982692400975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0.5585068927171718</v>
      </c>
      <c r="AJ363" t="n">
        <v>0.6666666666666666</v>
      </c>
    </row>
    <row r="364">
      <c r="A364" t="inlineStr">
        <is>
          <t>2023-01-12</t>
        </is>
      </c>
      <c r="B364" t="n">
        <v>1</v>
      </c>
      <c r="C364" t="n">
        <v>-0.275357426977588</v>
      </c>
      <c r="D364" t="n">
        <v>-0.3690056854881044</v>
      </c>
      <c r="E364" t="n">
        <v>-0.241499878847575</v>
      </c>
      <c r="F364" t="n">
        <v>-0.02872840196870029</v>
      </c>
      <c r="G364" t="n">
        <v>-0.1978664871079938</v>
      </c>
      <c r="H364" t="n">
        <v>-0.01943010037055159</v>
      </c>
      <c r="I364" t="n">
        <v>0.3535517265546196</v>
      </c>
      <c r="J364" t="n">
        <v>-0.8279216004026061</v>
      </c>
      <c r="K364" t="n">
        <v>-0.08520460230218985</v>
      </c>
      <c r="L364" t="n">
        <v>0.2232977360410613</v>
      </c>
      <c r="M364" t="n">
        <v>0.7677564053302545</v>
      </c>
      <c r="N364" t="n">
        <v>0.1807680217001759</v>
      </c>
      <c r="O364" t="n">
        <v>-0.1524979422355815</v>
      </c>
      <c r="P364" t="n">
        <v>-0.4689167599928394</v>
      </c>
      <c r="Q364" t="n">
        <v>-0.3691484710599262</v>
      </c>
      <c r="R364" t="n">
        <v>0.6864988299573556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0.9900781296751544</v>
      </c>
      <c r="AJ364" t="n">
        <v>1</v>
      </c>
    </row>
    <row r="365">
      <c r="A365" t="inlineStr">
        <is>
          <t>2023-01-13</t>
        </is>
      </c>
      <c r="B365" t="n">
        <v>1</v>
      </c>
      <c r="C365" t="n">
        <v>-0.2885858837687281</v>
      </c>
      <c r="D365" t="n">
        <v>-0.4073906462440579</v>
      </c>
      <c r="E365" t="n">
        <v>-0.3966709392646189</v>
      </c>
      <c r="F365" t="n">
        <v>0.02239053102810784</v>
      </c>
      <c r="G365" t="n">
        <v>0.007746774792324268</v>
      </c>
      <c r="H365" t="n">
        <v>0.1365229174986102</v>
      </c>
      <c r="I365" t="n">
        <v>0.5574081829602656</v>
      </c>
      <c r="J365" t="n">
        <v>0.09597548703988401</v>
      </c>
      <c r="K365" t="n">
        <v>-0.5989813041103984</v>
      </c>
      <c r="L365" t="n">
        <v>-0.2194905443914469</v>
      </c>
      <c r="M365" t="n">
        <v>0.06915352701760025</v>
      </c>
      <c r="N365" t="n">
        <v>-0.3575934479278933</v>
      </c>
      <c r="O365" t="n">
        <v>0.4562999400405458</v>
      </c>
      <c r="P365" t="n">
        <v>-0.2744335573456315</v>
      </c>
      <c r="Q365" t="n">
        <v>-0.5844570619390536</v>
      </c>
      <c r="R365" t="n">
        <v>0.5049024099507347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0.448905875037514</v>
      </c>
      <c r="AJ365" t="n">
        <v>0</v>
      </c>
    </row>
    <row r="366">
      <c r="A366" t="inlineStr">
        <is>
          <t>2023-01-17</t>
        </is>
      </c>
      <c r="B366" t="n">
        <v>1</v>
      </c>
      <c r="C366" t="n">
        <v>-0.4531944104092855</v>
      </c>
      <c r="D366" t="n">
        <v>-0.3674458864204798</v>
      </c>
      <c r="E366" t="n">
        <v>-0.4843025469750806</v>
      </c>
      <c r="F366" t="n">
        <v>-0.2084355111298312</v>
      </c>
      <c r="G366" t="n">
        <v>-0.04850220080371653</v>
      </c>
      <c r="H366" t="n">
        <v>0.06290787227972991</v>
      </c>
      <c r="I366" t="n">
        <v>-0.4289560923300629</v>
      </c>
      <c r="J366" t="n">
        <v>-0.4844261782895201</v>
      </c>
      <c r="K366" t="n">
        <v>-0.5638769680699947</v>
      </c>
      <c r="L366" t="n">
        <v>0.07750373179827626</v>
      </c>
      <c r="M366" t="n">
        <v>0.1632401310878182</v>
      </c>
      <c r="N366" t="n">
        <v>-0.223414043474791</v>
      </c>
      <c r="O366" t="n">
        <v>0.3680949802906896</v>
      </c>
      <c r="P366" t="n">
        <v>-0.006472736620158236</v>
      </c>
      <c r="Q366" t="n">
        <v>-0.4027981787983722</v>
      </c>
      <c r="R366" t="n">
        <v>-1.020596440906128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inlineStr">
        <is>
          <t>2023-01-18</t>
        </is>
      </c>
      <c r="B367" t="n">
        <v>1</v>
      </c>
      <c r="C367" t="n">
        <v>-0.6480667292703397</v>
      </c>
      <c r="D367" t="n">
        <v>-0.2296890395540988</v>
      </c>
      <c r="E367" t="n">
        <v>-0.395643808441929</v>
      </c>
      <c r="F367" t="n">
        <v>-0.5856011973330393</v>
      </c>
      <c r="G367" t="n">
        <v>-0.4017599958482361</v>
      </c>
      <c r="H367" t="n">
        <v>-0.2344901732205125</v>
      </c>
      <c r="I367" t="n">
        <v>-0.6457190503057395</v>
      </c>
      <c r="J367" t="n">
        <v>-0.05021239548695219</v>
      </c>
      <c r="K367" t="n">
        <v>-0.5347125833696453</v>
      </c>
      <c r="L367" t="n">
        <v>0.1494673114920547</v>
      </c>
      <c r="M367" t="n">
        <v>-0.5676891828298797</v>
      </c>
      <c r="N367" t="n">
        <v>-0.6343769973893475</v>
      </c>
      <c r="O367" t="n">
        <v>-0.01508399387060318</v>
      </c>
      <c r="P367" t="n">
        <v>-0.2938952784075383</v>
      </c>
      <c r="Q367" t="n">
        <v>-0.2939871452454725</v>
      </c>
      <c r="R367" t="n">
        <v>-0.4106114897216755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inlineStr">
        <is>
          <t>2023-01-19</t>
        </is>
      </c>
      <c r="B368" t="n">
        <v>1</v>
      </c>
      <c r="C368" t="n">
        <v>-0.8441308932097198</v>
      </c>
      <c r="D368" t="n">
        <v>-0.350183490050303</v>
      </c>
      <c r="E368" t="n">
        <v>-0.4074865751808491</v>
      </c>
      <c r="F368" t="n">
        <v>-0.6204406321902208</v>
      </c>
      <c r="G368" t="n">
        <v>-0.6096787529704811</v>
      </c>
      <c r="H368" t="n">
        <v>-0.4232906714581868</v>
      </c>
      <c r="I368" t="n">
        <v>-0.5649821312105503</v>
      </c>
      <c r="J368" t="n">
        <v>-0.06135509599685798</v>
      </c>
      <c r="K368" t="n">
        <v>0.01762803160573358</v>
      </c>
      <c r="L368" t="n">
        <v>-0.5753416214428778</v>
      </c>
      <c r="M368" t="n">
        <v>-0.06143979958227987</v>
      </c>
      <c r="N368" t="n">
        <v>-0.8197212896048125</v>
      </c>
      <c r="O368" t="n">
        <v>0.2628347599775404</v>
      </c>
      <c r="P368" t="n">
        <v>1.877852406701273</v>
      </c>
      <c r="Q368" t="n">
        <v>1.492524026115514</v>
      </c>
      <c r="R368" t="n">
        <v>1.736775469450982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inlineStr">
        <is>
          <t>2023-01-20</t>
        </is>
      </c>
      <c r="B369" t="n">
        <v>1</v>
      </c>
      <c r="C369" t="n">
        <v>-0.8318584962338315</v>
      </c>
      <c r="D369" t="n">
        <v>-0.3246118524529971</v>
      </c>
      <c r="E369" t="n">
        <v>-0.4184205175072403</v>
      </c>
      <c r="F369" t="n">
        <v>-0.6411867729343174</v>
      </c>
      <c r="G369" t="n">
        <v>-0.5819990275491508</v>
      </c>
      <c r="H369" t="n">
        <v>-0.3987147288067153</v>
      </c>
      <c r="I369" t="n">
        <v>-0.3726214133970959</v>
      </c>
      <c r="J369" t="n">
        <v>-0.009569031309159518</v>
      </c>
      <c r="K369" t="n">
        <v>-0.1545893937922174</v>
      </c>
      <c r="L369" t="n">
        <v>0.1395989463715859</v>
      </c>
      <c r="M369" t="n">
        <v>-0.2433813805822694</v>
      </c>
      <c r="N369" t="n">
        <v>-0.8287624745909327</v>
      </c>
      <c r="O369" t="n">
        <v>-0.5866987920620328</v>
      </c>
      <c r="P369" t="n">
        <v>-0.6625430634785654</v>
      </c>
      <c r="Q369" t="n">
        <v>-0.4063005377039271</v>
      </c>
      <c r="R369" t="n">
        <v>-0.5660795893411668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inlineStr">
        <is>
          <t>2023-01-27</t>
        </is>
      </c>
      <c r="B370" t="n">
        <v>1</v>
      </c>
      <c r="C370" t="n">
        <v>1.044393477424394</v>
      </c>
      <c r="D370" t="n">
        <v>-0.5299916661903288</v>
      </c>
      <c r="E370" t="n">
        <v>-0.6547830990816481</v>
      </c>
      <c r="F370" t="n">
        <v>1.711139899403444</v>
      </c>
      <c r="G370" t="n">
        <v>2.170325380235039</v>
      </c>
      <c r="H370" t="n">
        <v>1.790157005511242</v>
      </c>
      <c r="I370" t="n">
        <v>0.1107379346552713</v>
      </c>
      <c r="J370" t="n">
        <v>2.905768469607197</v>
      </c>
      <c r="K370" t="n">
        <v>-2.345122170603272</v>
      </c>
      <c r="L370" t="n">
        <v>-0.5516782494347454</v>
      </c>
      <c r="M370" t="n">
        <v>1.459607289934133</v>
      </c>
      <c r="N370" t="n">
        <v>-0.4099912245519998</v>
      </c>
      <c r="O370" t="n">
        <v>2.324103704929413</v>
      </c>
      <c r="P370" t="n">
        <v>0.7680139354127765</v>
      </c>
      <c r="Q370" t="n">
        <v>1.263006434633422</v>
      </c>
      <c r="R370" t="n">
        <v>-0.4114813215512141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</row>
    <row r="371">
      <c r="A371" t="inlineStr">
        <is>
          <t>2023-01-30</t>
        </is>
      </c>
      <c r="B371" t="n">
        <v>1</v>
      </c>
      <c r="C371" t="n">
        <v>1.762379219677622</v>
      </c>
      <c r="D371" t="n">
        <v>-0.09751638796427352</v>
      </c>
      <c r="E371" t="n">
        <v>-0.4333524690100721</v>
      </c>
      <c r="F371" t="n">
        <v>1.344187420476583</v>
      </c>
      <c r="G371" t="n">
        <v>2.43304981754068</v>
      </c>
      <c r="H371" t="n">
        <v>2.286963891342799</v>
      </c>
      <c r="I371" t="n">
        <v>0.6680187275325321</v>
      </c>
      <c r="J371" t="n">
        <v>0.07392650440708368</v>
      </c>
      <c r="K371" t="n">
        <v>-0.9735335961739967</v>
      </c>
      <c r="L371" t="n">
        <v>-0.9929123464440606</v>
      </c>
      <c r="M371" t="n">
        <v>3</v>
      </c>
      <c r="N371" t="n">
        <v>1.595918953504951</v>
      </c>
      <c r="O371" t="n">
        <v>3</v>
      </c>
      <c r="P371" t="n">
        <v>1.49392938961318</v>
      </c>
      <c r="Q371" t="n">
        <v>0.6923998086111784</v>
      </c>
      <c r="R371" t="n">
        <v>0.0153686949051185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0.1765593006532193</v>
      </c>
      <c r="AJ371" t="n">
        <v>0.3333333333333333</v>
      </c>
    </row>
    <row r="372">
      <c r="A372" t="inlineStr">
        <is>
          <t>2023-01-31</t>
        </is>
      </c>
      <c r="B372" t="n">
        <v>1</v>
      </c>
      <c r="C372" t="n">
        <v>1.704271123554392</v>
      </c>
      <c r="D372" t="n">
        <v>-0.1607150690262563</v>
      </c>
      <c r="E372" t="n">
        <v>-0.4221216155466336</v>
      </c>
      <c r="F372" t="n">
        <v>1.429487978982106</v>
      </c>
      <c r="G372" t="n">
        <v>2.336331715101134</v>
      </c>
      <c r="H372" t="n">
        <v>2.214900488045218</v>
      </c>
      <c r="I372" t="n">
        <v>0.9125877531938726</v>
      </c>
      <c r="J372" t="n">
        <v>-0.9244523568616002</v>
      </c>
      <c r="K372" t="n">
        <v>-0.9059092194767471</v>
      </c>
      <c r="L372" t="n">
        <v>0.5311973524572247</v>
      </c>
      <c r="M372" t="n">
        <v>0.1465900393514679</v>
      </c>
      <c r="N372" t="n">
        <v>2.51935271095096</v>
      </c>
      <c r="O372" t="n">
        <v>1.0066548434886</v>
      </c>
      <c r="P372" t="n">
        <v>0.2342044526187549</v>
      </c>
      <c r="Q372" t="n">
        <v>0.06942326670245244</v>
      </c>
      <c r="R372" t="n">
        <v>-0.02282256537380221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0.7039796120989195</v>
      </c>
      <c r="AJ372" t="n">
        <v>0.6666666666666666</v>
      </c>
    </row>
    <row r="373">
      <c r="A373" t="inlineStr">
        <is>
          <t>2023-02-01</t>
        </is>
      </c>
      <c r="B373" t="n">
        <v>1</v>
      </c>
      <c r="C373" t="n">
        <v>2.048888044252755</v>
      </c>
      <c r="D373" t="n">
        <v>-0.1310544967442295</v>
      </c>
      <c r="E373" t="n">
        <v>-0.4320040684061955</v>
      </c>
      <c r="F373" t="n">
        <v>1.667499129541697</v>
      </c>
      <c r="G373" t="n">
        <v>2.760122406037275</v>
      </c>
      <c r="H373" t="n">
        <v>2.580295955943123</v>
      </c>
      <c r="I373" t="n">
        <v>0.7489907381708993</v>
      </c>
      <c r="J373" t="n">
        <v>0.8759119270307378</v>
      </c>
      <c r="K373" t="n">
        <v>-0.3613133201186246</v>
      </c>
      <c r="L373" t="n">
        <v>0.7656621442088904</v>
      </c>
      <c r="M373" t="n">
        <v>1.577565295823893</v>
      </c>
      <c r="N373" t="n">
        <v>1.258107405387186</v>
      </c>
      <c r="O373" t="n">
        <v>-0.3461976698430265</v>
      </c>
      <c r="P373" t="n">
        <v>-0.5646200877291273</v>
      </c>
      <c r="Q373" t="n">
        <v>-0.5357671113605494</v>
      </c>
      <c r="R373" t="n">
        <v>-0.7105269121552439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0.4269640822171398</v>
      </c>
      <c r="AJ373" t="n">
        <v>0</v>
      </c>
    </row>
    <row r="374">
      <c r="A374" t="inlineStr">
        <is>
          <t>2023-02-02</t>
        </is>
      </c>
      <c r="B374" t="n">
        <v>1</v>
      </c>
      <c r="C374" t="n">
        <v>1.211784921236746</v>
      </c>
      <c r="D374" t="n">
        <v>-0.2865151825947041</v>
      </c>
      <c r="E374" t="n">
        <v>-0.4364600192969506</v>
      </c>
      <c r="F374" t="n">
        <v>1.257829313891531</v>
      </c>
      <c r="G374" t="n">
        <v>1.804572187598952</v>
      </c>
      <c r="H374" t="n">
        <v>1.723821297458667</v>
      </c>
      <c r="I374" t="n">
        <v>0.658168529621859</v>
      </c>
      <c r="J374" t="n">
        <v>-1.415850036426128</v>
      </c>
      <c r="K374" t="n">
        <v>-0.535792095254692</v>
      </c>
      <c r="L374" t="n">
        <v>-0.7307609089015473</v>
      </c>
      <c r="M374" t="n">
        <v>-1.822829592387056</v>
      </c>
      <c r="N374" t="n">
        <v>2.539695377169731</v>
      </c>
      <c r="O374" t="n">
        <v>2.132092806213938</v>
      </c>
      <c r="P374" t="n">
        <v>3</v>
      </c>
      <c r="Q374" t="n">
        <v>2.532174653472537</v>
      </c>
      <c r="R374" t="n">
        <v>3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0.1112583257694617</v>
      </c>
      <c r="AJ374" t="n">
        <v>0</v>
      </c>
    </row>
    <row r="375">
      <c r="A375" t="inlineStr">
        <is>
          <t>2023-02-07</t>
        </is>
      </c>
      <c r="B375" t="n">
        <v>1</v>
      </c>
      <c r="C375" t="n">
        <v>-0.2206377577091448</v>
      </c>
      <c r="D375" t="n">
        <v>-0.0310062726956255</v>
      </c>
      <c r="E375" t="n">
        <v>-0.3633748563079931</v>
      </c>
      <c r="F375" t="n">
        <v>-0.4497884781303657</v>
      </c>
      <c r="G375" t="n">
        <v>0.03398688477891868</v>
      </c>
      <c r="H375" t="n">
        <v>0.1700540958578001</v>
      </c>
      <c r="I375" t="n">
        <v>0.04022933730354396</v>
      </c>
      <c r="J375" t="n">
        <v>-0.3788809608361162</v>
      </c>
      <c r="K375" t="n">
        <v>-0.3343887348730876</v>
      </c>
      <c r="L375" t="n">
        <v>0.3770277885475487</v>
      </c>
      <c r="M375" t="n">
        <v>0.05190182878572064</v>
      </c>
      <c r="N375" t="n">
        <v>-0.04156293636759917</v>
      </c>
      <c r="O375" t="n">
        <v>-0.5151254009446035</v>
      </c>
      <c r="P375" t="n">
        <v>-0.495645379802396</v>
      </c>
      <c r="Q375" t="n">
        <v>-0.4291201555335333</v>
      </c>
      <c r="R375" t="n">
        <v>-0.2994103583167429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inlineStr">
        <is>
          <t>2023-02-08</t>
        </is>
      </c>
      <c r="B376" t="n">
        <v>1</v>
      </c>
      <c r="C376" t="n">
        <v>-0.3066850183758166</v>
      </c>
      <c r="D376" t="n">
        <v>-0.1176557089669575</v>
      </c>
      <c r="E376" t="n">
        <v>-0.5439426474885284</v>
      </c>
      <c r="F376" t="n">
        <v>-0.4181618372182685</v>
      </c>
      <c r="G376" t="n">
        <v>0.2253699403519624</v>
      </c>
      <c r="H376" t="n">
        <v>0.2788321258247954</v>
      </c>
      <c r="I376" t="n">
        <v>0.2491803793343886</v>
      </c>
      <c r="J376" t="n">
        <v>0.03993901286981746</v>
      </c>
      <c r="K376" t="n">
        <v>-0.1291072373162266</v>
      </c>
      <c r="L376" t="n">
        <v>0.4313788093904892</v>
      </c>
      <c r="M376" t="n">
        <v>-0.005831195323704723</v>
      </c>
      <c r="N376" t="n">
        <v>-0.3479358185109019</v>
      </c>
      <c r="O376" t="n">
        <v>-0.4860899140231396</v>
      </c>
      <c r="P376" t="n">
        <v>-0.5805033731139981</v>
      </c>
      <c r="Q376" t="n">
        <v>-0.4984811673808896</v>
      </c>
      <c r="R376" t="n">
        <v>-0.8337408002581707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inlineStr">
        <is>
          <t>2023-02-09</t>
        </is>
      </c>
      <c r="B377" t="n">
        <v>1</v>
      </c>
      <c r="C377" t="n">
        <v>-0.596527902465082</v>
      </c>
      <c r="D377" t="n">
        <v>0.02400711495521443</v>
      </c>
      <c r="E377" t="n">
        <v>-0.5647058982914737</v>
      </c>
      <c r="F377" t="n">
        <v>-0.8194393828822574</v>
      </c>
      <c r="G377" t="n">
        <v>-0.09497695084361704</v>
      </c>
      <c r="H377" t="n">
        <v>0.003285202772351116</v>
      </c>
      <c r="I377" t="n">
        <v>0.2136709955878873</v>
      </c>
      <c r="J377" t="n">
        <v>-0.2547161369397132</v>
      </c>
      <c r="K377" t="n">
        <v>0.9122567222292933</v>
      </c>
      <c r="L377" t="n">
        <v>-0.2146145208389606</v>
      </c>
      <c r="M377" t="n">
        <v>0.0838206669648732</v>
      </c>
      <c r="N377" t="n">
        <v>-0.4895125561344662</v>
      </c>
      <c r="O377" t="n">
        <v>0.6047795279507036</v>
      </c>
      <c r="P377" t="n">
        <v>1.707366391956484</v>
      </c>
      <c r="Q377" t="n">
        <v>1.528885482452201</v>
      </c>
      <c r="R377" t="n">
        <v>2.258717843976993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inlineStr">
        <is>
          <t>2023-02-10</t>
        </is>
      </c>
      <c r="B378" t="n">
        <v>1</v>
      </c>
      <c r="C378" t="n">
        <v>-0.9809132957098592</v>
      </c>
      <c r="D378" t="n">
        <v>-0.1996702208394857</v>
      </c>
      <c r="E378" t="n">
        <v>-0.5590495719418699</v>
      </c>
      <c r="F378" t="n">
        <v>-0.924747080065267</v>
      </c>
      <c r="G378" t="n">
        <v>-0.5757420261188639</v>
      </c>
      <c r="H378" t="n">
        <v>-0.3984122152896452</v>
      </c>
      <c r="I378" t="n">
        <v>0.1351073272460036</v>
      </c>
      <c r="J378" t="n">
        <v>0.096169183152204</v>
      </c>
      <c r="K378" t="n">
        <v>-0.124916006989991</v>
      </c>
      <c r="L378" t="n">
        <v>-1.103973108358147</v>
      </c>
      <c r="M378" t="n">
        <v>-0.4370428803582667</v>
      </c>
      <c r="N378" t="n">
        <v>-1.011024544652039</v>
      </c>
      <c r="O378" t="n">
        <v>-0.4291923005789556</v>
      </c>
      <c r="P378" t="n">
        <v>-0.5615178967216229</v>
      </c>
      <c r="Q378" t="n">
        <v>-0.4890457171016326</v>
      </c>
      <c r="R378" t="n">
        <v>-0.3904508374694588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inlineStr">
        <is>
          <t>2023-02-14</t>
        </is>
      </c>
      <c r="B379" t="n">
        <v>1</v>
      </c>
      <c r="C379" t="n">
        <v>-0.8159213041017046</v>
      </c>
      <c r="D379" t="n">
        <v>-0.696831191224236</v>
      </c>
      <c r="E379" t="n">
        <v>-0.5814753724257171</v>
      </c>
      <c r="F379" t="n">
        <v>-0.02778251415539543</v>
      </c>
      <c r="G379" t="n">
        <v>-0.340361377553589</v>
      </c>
      <c r="H379" t="n">
        <v>-0.2041363978165454</v>
      </c>
      <c r="I379" t="n">
        <v>-0.6982493412631269</v>
      </c>
      <c r="J379" t="n">
        <v>0.341231269393503</v>
      </c>
      <c r="K379" t="n">
        <v>-0.02820274517172041</v>
      </c>
      <c r="L379" t="n">
        <v>0.8058518440885273</v>
      </c>
      <c r="M379" t="n">
        <v>0.6965097599814351</v>
      </c>
      <c r="N379" t="n">
        <v>-0.9467088423644109</v>
      </c>
      <c r="O379" t="n">
        <v>-0.3528688863585145</v>
      </c>
      <c r="P379" t="n">
        <v>-0.5751989618386338</v>
      </c>
      <c r="Q379" t="n">
        <v>-0.5695843000851446</v>
      </c>
      <c r="R379" t="n">
        <v>-0.3560722813736331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inlineStr">
        <is>
          <t>2023-02-15</t>
        </is>
      </c>
      <c r="B380" t="n">
        <v>1</v>
      </c>
      <c r="C380" t="n">
        <v>-0.8436726541956011</v>
      </c>
      <c r="D380" t="n">
        <v>-0.591727647891763</v>
      </c>
      <c r="E380" t="n">
        <v>-0.5186925863889326</v>
      </c>
      <c r="F380" t="n">
        <v>-0.2576103196202172</v>
      </c>
      <c r="G380" t="n">
        <v>-0.4639707983712162</v>
      </c>
      <c r="H380" t="n">
        <v>-0.3012978137843653</v>
      </c>
      <c r="I380" t="n">
        <v>-0.3814533598964541</v>
      </c>
      <c r="J380" t="n">
        <v>0.5685787854601907</v>
      </c>
      <c r="K380" t="n">
        <v>0.2957542107495407</v>
      </c>
      <c r="L380" t="n">
        <v>-0.3854067477228122</v>
      </c>
      <c r="M380" t="n">
        <v>0.1763925028397608</v>
      </c>
      <c r="N380" t="n">
        <v>-1.049244099366093</v>
      </c>
      <c r="O380" t="n">
        <v>-0.5960191903671588</v>
      </c>
      <c r="P380" t="n">
        <v>-0.3487141061589303</v>
      </c>
      <c r="Q380" t="n">
        <v>-0.1979933956692868</v>
      </c>
      <c r="R380" t="n">
        <v>-0.554348039865268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0.06877347216371467</v>
      </c>
      <c r="AJ380" t="n">
        <v>0.3333333333333333</v>
      </c>
    </row>
    <row r="381">
      <c r="A381" t="inlineStr">
        <is>
          <t>2023-02-21</t>
        </is>
      </c>
      <c r="B381" t="n">
        <v>1</v>
      </c>
      <c r="C381" t="n">
        <v>-0.7653441437636745</v>
      </c>
      <c r="D381" t="n">
        <v>-0.8726814586397369</v>
      </c>
      <c r="E381" t="n">
        <v>-0.580919599598874</v>
      </c>
      <c r="F381" t="n">
        <v>0.4484823172149637</v>
      </c>
      <c r="G381" t="n">
        <v>-0.2784236459507149</v>
      </c>
      <c r="H381" t="n">
        <v>-0.1527019507613593</v>
      </c>
      <c r="I381" t="n">
        <v>-0.1835152796834857</v>
      </c>
      <c r="J381" t="n">
        <v>-0.2718743391143216</v>
      </c>
      <c r="K381" t="n">
        <v>-0.1495992208916018</v>
      </c>
      <c r="L381" t="n">
        <v>0.5235202637827626</v>
      </c>
      <c r="M381" t="n">
        <v>0.5153295246809803</v>
      </c>
      <c r="N381" t="n">
        <v>-0.6514319599768015</v>
      </c>
      <c r="O381" t="n">
        <v>-0.7635592294854532</v>
      </c>
      <c r="P381" t="n">
        <v>-0.4763588427731235</v>
      </c>
      <c r="Q381" t="n">
        <v>-0.570374582768668</v>
      </c>
      <c r="R381" t="n">
        <v>-0.1503317297682268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inlineStr">
        <is>
          <t>2023-02-22</t>
        </is>
      </c>
      <c r="B382" t="n">
        <v>1</v>
      </c>
      <c r="C382" t="n">
        <v>-0.8271993499761657</v>
      </c>
      <c r="D382" t="n">
        <v>-0.8745001350486649</v>
      </c>
      <c r="E382" t="n">
        <v>-0.6206149791199678</v>
      </c>
      <c r="F382" t="n">
        <v>0.3668703411179512</v>
      </c>
      <c r="G382" t="n">
        <v>-0.2954462949626192</v>
      </c>
      <c r="H382" t="n">
        <v>-0.1729708828973479</v>
      </c>
      <c r="I382" t="n">
        <v>-0.7636150782481248</v>
      </c>
      <c r="J382" t="n">
        <v>0.04091725133751487</v>
      </c>
      <c r="K382" t="n">
        <v>-0.1043291310998435</v>
      </c>
      <c r="L382" t="n">
        <v>-1.129167187098621</v>
      </c>
      <c r="M382" t="n">
        <v>-0.1768967960021345</v>
      </c>
      <c r="N382" t="n">
        <v>-0.8443790668396858</v>
      </c>
      <c r="O382" t="n">
        <v>-0.263532858669806</v>
      </c>
      <c r="P382" t="n">
        <v>-0.2641774635446807</v>
      </c>
      <c r="Q382" t="n">
        <v>-0.4200663397247786</v>
      </c>
      <c r="R382" t="n">
        <v>0.6733092083697972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inlineStr">
        <is>
          <t>2023-02-23</t>
        </is>
      </c>
      <c r="B383" t="n">
        <v>1</v>
      </c>
      <c r="C383" t="n">
        <v>-0.609452502085191</v>
      </c>
      <c r="D383" t="n">
        <v>-0.531115070292871</v>
      </c>
      <c r="E383" t="n">
        <v>-0.4188449381389294</v>
      </c>
      <c r="F383" t="n">
        <v>-0.1016459884083815</v>
      </c>
      <c r="G383" t="n">
        <v>-0.3263414213586768</v>
      </c>
      <c r="H383" t="n">
        <v>-0.1694045170508612</v>
      </c>
      <c r="I383" t="n">
        <v>-0.2336154028233494</v>
      </c>
      <c r="J383" t="n">
        <v>-0.5706747285881184</v>
      </c>
      <c r="K383" t="n">
        <v>0.423575352255271</v>
      </c>
      <c r="L383" t="n">
        <v>0.1510543067620831</v>
      </c>
      <c r="M383" t="n">
        <v>1.633866079213015</v>
      </c>
      <c r="N383" t="n">
        <v>-0.3415658927252256</v>
      </c>
      <c r="O383" t="n">
        <v>-0.2144915153064246</v>
      </c>
      <c r="P383" t="n">
        <v>-0.1640334762582835</v>
      </c>
      <c r="Q383" t="n">
        <v>0.1831018895055151</v>
      </c>
      <c r="R383" t="n">
        <v>1.166558115330383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0.5336592839632552</v>
      </c>
      <c r="AJ383" t="n">
        <v>0.3333333333333333</v>
      </c>
    </row>
    <row r="384">
      <c r="A384" t="inlineStr">
        <is>
          <t>2023-02-28</t>
        </is>
      </c>
      <c r="B384" t="n">
        <v>1</v>
      </c>
      <c r="C384" t="n">
        <v>-0.5953417059416299</v>
      </c>
      <c r="D384" t="n">
        <v>-0.5685646012354798</v>
      </c>
      <c r="E384" t="n">
        <v>-0.8198956226248781</v>
      </c>
      <c r="F384" t="n">
        <v>-0.01799475538406823</v>
      </c>
      <c r="G384" t="n">
        <v>0.3727004941210951</v>
      </c>
      <c r="H384" t="n">
        <v>0.2833665698101356</v>
      </c>
      <c r="I384" t="n">
        <v>-0.0183407161773737</v>
      </c>
      <c r="J384" t="n">
        <v>-0.8855240954544016</v>
      </c>
      <c r="K384" t="n">
        <v>-0.7086679937639676</v>
      </c>
      <c r="L384" t="n">
        <v>0.1582288322080629</v>
      </c>
      <c r="M384" t="n">
        <v>-0.2566899596521773</v>
      </c>
      <c r="N384" t="n">
        <v>-0.143892711892324</v>
      </c>
      <c r="O384" t="n">
        <v>0.372389987128006</v>
      </c>
      <c r="P384" t="n">
        <v>-0.2759786134693584</v>
      </c>
      <c r="Q384" t="n">
        <v>-0.07202166696517119</v>
      </c>
      <c r="R384" t="n">
        <v>-1.1689160047189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0.5166032884787395</v>
      </c>
      <c r="AJ384" t="n">
        <v>0</v>
      </c>
    </row>
    <row r="385">
      <c r="A385" t="inlineStr">
        <is>
          <t>2023-03-01</t>
        </is>
      </c>
      <c r="B385" t="n">
        <v>1</v>
      </c>
      <c r="C385" t="n">
        <v>-0.7045388626883087</v>
      </c>
      <c r="D385" t="n">
        <v>-0.8384000687742542</v>
      </c>
      <c r="E385" t="n">
        <v>-0.8222137827516017</v>
      </c>
      <c r="F385" t="n">
        <v>0.4415179612576538</v>
      </c>
      <c r="G385" t="n">
        <v>0.2232770062896803</v>
      </c>
      <c r="H385" t="n">
        <v>0.1735404739482629</v>
      </c>
      <c r="I385" t="n">
        <v>-0.2039729558561827</v>
      </c>
      <c r="J385" t="n">
        <v>-0.5209135890409343</v>
      </c>
      <c r="K385" t="n">
        <v>-0.03864986002883965</v>
      </c>
      <c r="L385" t="n">
        <v>0.8869134675776579</v>
      </c>
      <c r="M385" t="n">
        <v>0.4054023656743876</v>
      </c>
      <c r="N385" t="n">
        <v>-0.4687589269617809</v>
      </c>
      <c r="O385" t="n">
        <v>-0.3662872800782483</v>
      </c>
      <c r="P385" t="n">
        <v>-0.4834159938123588</v>
      </c>
      <c r="Q385" t="n">
        <v>-0.4178023938953905</v>
      </c>
      <c r="R385" t="n">
        <v>-0.002667806288955933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0.2386168006234099</v>
      </c>
      <c r="AJ385" t="n">
        <v>0</v>
      </c>
    </row>
    <row r="386">
      <c r="A386" t="inlineStr">
        <is>
          <t>2023-03-02</t>
        </is>
      </c>
      <c r="B386" t="n">
        <v>1</v>
      </c>
      <c r="C386" t="n">
        <v>-0.8168012341508519</v>
      </c>
      <c r="D386" t="n">
        <v>-0.6953252239664452</v>
      </c>
      <c r="E386" t="n">
        <v>-0.7564540313137229</v>
      </c>
      <c r="F386" t="n">
        <v>-0.03190365686539061</v>
      </c>
      <c r="G386" t="n">
        <v>-0.05701710885363211</v>
      </c>
      <c r="H386" t="n">
        <v>-0.01383233699592498</v>
      </c>
      <c r="I386" t="n">
        <v>-0.3148343487557934</v>
      </c>
      <c r="J386" t="n">
        <v>-0.06765948474604597</v>
      </c>
      <c r="K386" t="n">
        <v>-0.1497664428833674</v>
      </c>
      <c r="L386" t="n">
        <v>0.1316982601018331</v>
      </c>
      <c r="M386" t="n">
        <v>-0.1079746375497218</v>
      </c>
      <c r="N386" t="n">
        <v>-0.180160192575284</v>
      </c>
      <c r="O386" t="n">
        <v>-0.3191853322512164</v>
      </c>
      <c r="P386" t="n">
        <v>-0.3351766071331188</v>
      </c>
      <c r="Q386" t="n">
        <v>-0.3009448500247113</v>
      </c>
      <c r="R386" t="n">
        <v>-0.2488136175062554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</row>
    <row r="387">
      <c r="A387" t="inlineStr">
        <is>
          <t>2023-03-08</t>
        </is>
      </c>
      <c r="B387" t="n">
        <v>1</v>
      </c>
      <c r="C387" t="n">
        <v>-0.8336012808560082</v>
      </c>
      <c r="D387" t="n">
        <v>-0.03009630166857329</v>
      </c>
      <c r="E387" t="n">
        <v>-0.5959128898048069</v>
      </c>
      <c r="F387" t="n">
        <v>-0.9633258858286353</v>
      </c>
      <c r="G387" t="n">
        <v>-0.3409061800914136</v>
      </c>
      <c r="H387" t="n">
        <v>-0.2065516265985013</v>
      </c>
      <c r="I387" t="n">
        <v>1.121569652143582</v>
      </c>
      <c r="J387" t="n">
        <v>-0.4716871392532042</v>
      </c>
      <c r="K387" t="n">
        <v>-1.05139726481724</v>
      </c>
      <c r="L387" t="n">
        <v>-1.557870956239695</v>
      </c>
      <c r="M387" t="n">
        <v>0.7843492735324092</v>
      </c>
      <c r="N387" t="n">
        <v>-0.6288289975115011</v>
      </c>
      <c r="O387" t="n">
        <v>-0.6466026095415891</v>
      </c>
      <c r="P387" t="n">
        <v>-0.5756004668337728</v>
      </c>
      <c r="Q387" t="n">
        <v>-0.6138133411187501</v>
      </c>
      <c r="R387" t="n">
        <v>-0.5453749109261297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inlineStr">
        <is>
          <t>2023-03-09</t>
        </is>
      </c>
      <c r="B388" t="n">
        <v>1</v>
      </c>
      <c r="C388" t="n">
        <v>-0.8669498180737382</v>
      </c>
      <c r="D388" t="n">
        <v>-0.01805066087122524</v>
      </c>
      <c r="E388" t="n">
        <v>-0.5925661603964751</v>
      </c>
      <c r="F388" t="n">
        <v>-1.002251044332878</v>
      </c>
      <c r="G388" t="n">
        <v>-0.3875218785097621</v>
      </c>
      <c r="H388" t="n">
        <v>-0.2445230381346011</v>
      </c>
      <c r="I388" t="n">
        <v>0.6926235224344964</v>
      </c>
      <c r="J388" t="n">
        <v>-0.06765948474604597</v>
      </c>
      <c r="K388" t="n">
        <v>-0.1497664428833674</v>
      </c>
      <c r="L388" t="n">
        <v>0.1316982601018331</v>
      </c>
      <c r="M388" t="n">
        <v>-0.1079746375497218</v>
      </c>
      <c r="N388" t="n">
        <v>-0.180160192575284</v>
      </c>
      <c r="O388" t="n">
        <v>-0.3191853322512164</v>
      </c>
      <c r="P388" t="n">
        <v>-0.3351766071331188</v>
      </c>
      <c r="Q388" t="n">
        <v>-0.3009448500247113</v>
      </c>
      <c r="R388" t="n">
        <v>-0.2488136175062554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</row>
    <row r="389">
      <c r="A389" t="inlineStr">
        <is>
          <t>2023-03-10</t>
        </is>
      </c>
      <c r="B389" t="n">
        <v>1</v>
      </c>
      <c r="C389" t="n">
        <v>-0.6739260790975669</v>
      </c>
      <c r="D389" t="n">
        <v>-0.295017806705676</v>
      </c>
      <c r="E389" t="n">
        <v>-0.5988588537024911</v>
      </c>
      <c r="F389" t="n">
        <v>-0.5269587881607493</v>
      </c>
      <c r="G389" t="n">
        <v>-0.1365493144409766</v>
      </c>
      <c r="H389" t="n">
        <v>-0.03903332560305126</v>
      </c>
      <c r="I389" t="n">
        <v>1.25615721597176</v>
      </c>
      <c r="J389" t="n">
        <v>1.174395897744064</v>
      </c>
      <c r="K389" t="n">
        <v>-1.273534156978996</v>
      </c>
      <c r="L389" t="n">
        <v>-3</v>
      </c>
      <c r="M389" t="n">
        <v>0.2826193255853902</v>
      </c>
      <c r="N389" t="n">
        <v>-1.09547743168148</v>
      </c>
      <c r="O389" t="n">
        <v>3</v>
      </c>
      <c r="P389" t="n">
        <v>0.2587698615913146</v>
      </c>
      <c r="Q389" t="n">
        <v>-0.3009448500247113</v>
      </c>
      <c r="R389" t="n">
        <v>0.4638103397602121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0.1473683881717443</v>
      </c>
      <c r="AJ389" t="n">
        <v>0.3333333333333333</v>
      </c>
    </row>
    <row r="390">
      <c r="A390" t="inlineStr">
        <is>
          <t>2023-03-16</t>
        </is>
      </c>
      <c r="B390" t="n">
        <v>1</v>
      </c>
      <c r="C390" t="n">
        <v>-0.1690127904420649</v>
      </c>
      <c r="D390" t="n">
        <v>0.1624937931424202</v>
      </c>
      <c r="E390" t="n">
        <v>-0.4482465098820493</v>
      </c>
      <c r="F390" t="n">
        <v>-0.6194008993506535</v>
      </c>
      <c r="G390" t="n">
        <v>0.2269535235516963</v>
      </c>
      <c r="H390" t="n">
        <v>0.3159182654214702</v>
      </c>
      <c r="I390" t="n">
        <v>-1.060485887231896</v>
      </c>
      <c r="J390" t="n">
        <v>-1.242237488919691</v>
      </c>
      <c r="K390" t="n">
        <v>0.5400731704886981</v>
      </c>
      <c r="L390" t="n">
        <v>-0.204544948677942</v>
      </c>
      <c r="M390" t="n">
        <v>-0.4359079500034625</v>
      </c>
      <c r="N390" t="n">
        <v>0.6190600120500503</v>
      </c>
      <c r="O390" t="n">
        <v>-0.3163780282894785</v>
      </c>
      <c r="P390" t="n">
        <v>0.104770348857614</v>
      </c>
      <c r="Q390" t="n">
        <v>-0.4301227730557637</v>
      </c>
      <c r="R390" t="n">
        <v>-1.0274365908712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2023-03-22</t>
        </is>
      </c>
      <c r="B391" t="n">
        <v>1</v>
      </c>
      <c r="C391" t="n">
        <v>-0.1436416001580245</v>
      </c>
      <c r="D391" t="n">
        <v>-0.2751142585899092</v>
      </c>
      <c r="E391" t="n">
        <v>-0.2952009310410573</v>
      </c>
      <c r="F391" t="n">
        <v>-0.05080681786442991</v>
      </c>
      <c r="G391" t="n">
        <v>0.01792768234188263</v>
      </c>
      <c r="H391" t="n">
        <v>0.1747822488003503</v>
      </c>
      <c r="I391" t="n">
        <v>-0.09737966804531994</v>
      </c>
      <c r="J391" t="n">
        <v>-0.1833154217643152</v>
      </c>
      <c r="K391" t="n">
        <v>0.5541388792240338</v>
      </c>
      <c r="L391" t="n">
        <v>0.8816382495865223</v>
      </c>
      <c r="M391" t="n">
        <v>-0.2748951970503163</v>
      </c>
      <c r="N391" t="n">
        <v>-0.0742344912038066</v>
      </c>
      <c r="O391" t="n">
        <v>-0.5617560851338397</v>
      </c>
      <c r="P391" t="n">
        <v>-0.5809876845880166</v>
      </c>
      <c r="Q391" t="n">
        <v>-0.4390813783266571</v>
      </c>
      <c r="R391" t="n">
        <v>-0.5274212994589059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0.597745335499191</v>
      </c>
      <c r="AJ391" t="n">
        <v>0.3333333333333333</v>
      </c>
    </row>
    <row r="392">
      <c r="A392" t="inlineStr">
        <is>
          <t>2023-03-23</t>
        </is>
      </c>
      <c r="B392" t="n">
        <v>1</v>
      </c>
      <c r="C392" t="n">
        <v>-0.3165911714853579</v>
      </c>
      <c r="D392" t="n">
        <v>-0.2755154653817619</v>
      </c>
      <c r="E392" t="n">
        <v>-0.2803970141220264</v>
      </c>
      <c r="F392" t="n">
        <v>-0.2139161758699773</v>
      </c>
      <c r="G392" t="n">
        <v>-0.189807963688079</v>
      </c>
      <c r="H392" t="n">
        <v>-0.01935270337308392</v>
      </c>
      <c r="I392" t="n">
        <v>-0.3370008281323595</v>
      </c>
      <c r="J392" t="n">
        <v>-0.3720413795584839</v>
      </c>
      <c r="K392" t="n">
        <v>2.092980819266335</v>
      </c>
      <c r="L392" t="n">
        <v>-0.5911317280046388</v>
      </c>
      <c r="M392" t="n">
        <v>1.798537985923428</v>
      </c>
      <c r="N392" t="n">
        <v>-0.1440981933692815</v>
      </c>
      <c r="O392" t="n">
        <v>-0.701643410265624</v>
      </c>
      <c r="P392" t="n">
        <v>-0.1988121191984129</v>
      </c>
      <c r="Q392" t="n">
        <v>0.1742898460899575</v>
      </c>
      <c r="R392" t="n">
        <v>0.1253304610047935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0.5735747616836913</v>
      </c>
      <c r="AJ392" t="n">
        <v>0</v>
      </c>
    </row>
    <row r="393">
      <c r="A393" t="inlineStr">
        <is>
          <t>2023-03-27</t>
        </is>
      </c>
      <c r="B393" t="n">
        <v>1</v>
      </c>
      <c r="C393" t="n">
        <v>-0.06418196661266312</v>
      </c>
      <c r="D393" t="n">
        <v>-0.3864383675655771</v>
      </c>
      <c r="E393" t="n">
        <v>-0.4103363923981354</v>
      </c>
      <c r="F393" t="n">
        <v>0.2128992302391927</v>
      </c>
      <c r="G393" t="n">
        <v>0.2850041308641513</v>
      </c>
      <c r="H393" t="n">
        <v>0.3823581630561223</v>
      </c>
      <c r="I393" t="n">
        <v>-0.099141115841496</v>
      </c>
      <c r="J393" t="n">
        <v>-0.3341888115816614</v>
      </c>
      <c r="K393" t="n">
        <v>0.1739762372986816</v>
      </c>
      <c r="L393" t="n">
        <v>0.7730463508834853</v>
      </c>
      <c r="M393" t="n">
        <v>0.3643948093142229</v>
      </c>
      <c r="N393" t="n">
        <v>0.0924109866085457</v>
      </c>
      <c r="O393" t="n">
        <v>-0.5718737959204131</v>
      </c>
      <c r="P393" t="n">
        <v>-0.468075212298338</v>
      </c>
      <c r="Q393" t="n">
        <v>-0.3200936401522375</v>
      </c>
      <c r="R393" t="n">
        <v>-1.108527775392787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inlineStr">
        <is>
          <t>2023-03-28</t>
        </is>
      </c>
      <c r="B394" t="n">
        <v>1</v>
      </c>
      <c r="C394" t="n">
        <v>-0.3829446291102238</v>
      </c>
      <c r="D394" t="n">
        <v>-0.6379966167616591</v>
      </c>
      <c r="E394" t="n">
        <v>-0.3792242490427397</v>
      </c>
      <c r="F394" t="n">
        <v>0.3673616474593324</v>
      </c>
      <c r="G394" t="n">
        <v>-0.1247805513458898</v>
      </c>
      <c r="H394" t="n">
        <v>0.0203667090177</v>
      </c>
      <c r="I394" t="n">
        <v>-0.2746201208814646</v>
      </c>
      <c r="J394" t="n">
        <v>-0.06765948474604597</v>
      </c>
      <c r="K394" t="n">
        <v>-0.1497664428833674</v>
      </c>
      <c r="L394" t="n">
        <v>0.1316982601018331</v>
      </c>
      <c r="M394" t="n">
        <v>-0.1079746375497218</v>
      </c>
      <c r="N394" t="n">
        <v>-0.180160192575284</v>
      </c>
      <c r="O394" t="n">
        <v>-0.3191853322512164</v>
      </c>
      <c r="P394" t="n">
        <v>-0.3351766071331188</v>
      </c>
      <c r="Q394" t="n">
        <v>-0.3009448500247113</v>
      </c>
      <c r="R394" t="n">
        <v>-0.2488136175062554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</row>
    <row r="395">
      <c r="A395" t="inlineStr">
        <is>
          <t>2023-03-29</t>
        </is>
      </c>
      <c r="B395" t="n">
        <v>1</v>
      </c>
      <c r="C395" t="n">
        <v>-0.7386681373038368</v>
      </c>
      <c r="D395" t="n">
        <v>-0.6672280699158577</v>
      </c>
      <c r="E395" t="n">
        <v>-0.3811915197762539</v>
      </c>
      <c r="F395" t="n">
        <v>0.006249806178710565</v>
      </c>
      <c r="G395" t="n">
        <v>-0.5229490074526071</v>
      </c>
      <c r="H395" t="n">
        <v>-0.3435080808016748</v>
      </c>
      <c r="I395" t="n">
        <v>-0.7810691323073355</v>
      </c>
      <c r="J395" t="n">
        <v>-0.7557509602795409</v>
      </c>
      <c r="K395" t="n">
        <v>1.657727541338527</v>
      </c>
      <c r="L395" t="n">
        <v>0.6315344918765406</v>
      </c>
      <c r="M395" t="n">
        <v>0.1992315205087059</v>
      </c>
      <c r="N395" t="n">
        <v>-0.3808128548240656</v>
      </c>
      <c r="O395" t="n">
        <v>-0.06192317870697232</v>
      </c>
      <c r="P395" t="n">
        <v>2.42731905305003</v>
      </c>
      <c r="Q395" t="n">
        <v>2.173771290822113</v>
      </c>
      <c r="R395" t="n">
        <v>0.5472338906537153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2023-04-05</t>
        </is>
      </c>
      <c r="B396" t="n">
        <v>1</v>
      </c>
      <c r="C396" t="n">
        <v>-0.8814325374561196</v>
      </c>
      <c r="D396" t="n">
        <v>-0.346816172261476</v>
      </c>
      <c r="E396" t="n">
        <v>-0.2404040798401186</v>
      </c>
      <c r="F396" t="n">
        <v>-0.6615234779577361</v>
      </c>
      <c r="G396" t="n">
        <v>-0.8411417608745149</v>
      </c>
      <c r="H396" t="n">
        <v>-0.6442533655025797</v>
      </c>
      <c r="I396" t="n">
        <v>-0.4301785831377506</v>
      </c>
      <c r="J396" t="n">
        <v>0.06851282651485134</v>
      </c>
      <c r="K396" t="n">
        <v>0.181032451713218</v>
      </c>
      <c r="L396" t="n">
        <v>0.4177945442653727</v>
      </c>
      <c r="M396" t="n">
        <v>-0.2725239235571417</v>
      </c>
      <c r="N396" t="n">
        <v>-0.9066399543577415</v>
      </c>
      <c r="O396" t="n">
        <v>-0.1797972344534836</v>
      </c>
      <c r="P396" t="n">
        <v>-0.6156076966441478</v>
      </c>
      <c r="Q396" t="n">
        <v>-0.4448014243018005</v>
      </c>
      <c r="R396" t="n">
        <v>0.1363712292303345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inlineStr">
        <is>
          <t>2023-04-17</t>
        </is>
      </c>
      <c r="B397" t="n">
        <v>1</v>
      </c>
      <c r="C397" t="n">
        <v>-0.8250846722453687</v>
      </c>
      <c r="D397" t="n">
        <v>-0.9769550784142546</v>
      </c>
      <c r="E397" t="n">
        <v>-0.8614746107333129</v>
      </c>
      <c r="F397" t="n">
        <v>0.6628802864015091</v>
      </c>
      <c r="G397" t="n">
        <v>0.1298169966885058</v>
      </c>
      <c r="H397" t="n">
        <v>0.09240651715373033</v>
      </c>
      <c r="I397" t="n">
        <v>-1.734993452142852</v>
      </c>
      <c r="J397" t="n">
        <v>0.8287518922936182</v>
      </c>
      <c r="K397" t="n">
        <v>-1.322283357039759</v>
      </c>
      <c r="L397" t="n">
        <v>-1.516152384658739</v>
      </c>
      <c r="M397" t="n">
        <v>-1.376359783604093</v>
      </c>
      <c r="N397" t="n">
        <v>-1.115614616423293</v>
      </c>
      <c r="O397" t="n">
        <v>0.413604216511684</v>
      </c>
      <c r="P397" t="n">
        <v>0.1561602820808169</v>
      </c>
      <c r="Q397" t="n">
        <v>0.3663523550587399</v>
      </c>
      <c r="R397" t="n">
        <v>-0.1394421922384019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inlineStr">
        <is>
          <t>2023-05-10</t>
        </is>
      </c>
      <c r="B398" t="n">
        <v>1</v>
      </c>
      <c r="C398" t="n">
        <v>-0.8398196337024603</v>
      </c>
      <c r="D398" t="n">
        <v>-0.6975944492366707</v>
      </c>
      <c r="E398" t="n">
        <v>-1.131930915388491</v>
      </c>
      <c r="F398" t="n">
        <v>-0.05552994061974775</v>
      </c>
      <c r="G398" t="n">
        <v>0.7485395763460686</v>
      </c>
      <c r="H398" t="n">
        <v>0.3727883718597998</v>
      </c>
      <c r="I398" t="n">
        <v>1.786387172037267</v>
      </c>
      <c r="J398" t="n">
        <v>1.190646916719202</v>
      </c>
      <c r="K398" t="n">
        <v>0.2800210254969839</v>
      </c>
      <c r="L398" t="n">
        <v>0.6502983928377628</v>
      </c>
      <c r="M398" t="n">
        <v>0.372347800824455</v>
      </c>
      <c r="N398" t="n">
        <v>-1.231711650904155</v>
      </c>
      <c r="O398" t="n">
        <v>-0.8879481511102891</v>
      </c>
      <c r="P398" t="n">
        <v>-0.4346082374704054</v>
      </c>
      <c r="Q398" t="n">
        <v>-0.2509773909965691</v>
      </c>
      <c r="R398" t="n">
        <v>-0.9943823945843243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inlineStr">
        <is>
          <t>2023-05-15</t>
        </is>
      </c>
      <c r="B399" t="n">
        <v>1</v>
      </c>
      <c r="C399" t="n">
        <v>-1.078039668732723</v>
      </c>
      <c r="D399" t="n">
        <v>-0.6883372960448636</v>
      </c>
      <c r="E399" t="n">
        <v>-1.161601881677803</v>
      </c>
      <c r="F399" t="n">
        <v>-0.3640912266856247</v>
      </c>
      <c r="G399" t="n">
        <v>0.4156998574278655</v>
      </c>
      <c r="H399" t="n">
        <v>0.1600931758871557</v>
      </c>
      <c r="I399" t="n">
        <v>-0.1153387699484941</v>
      </c>
      <c r="J399" t="n">
        <v>-0.7319125545110313</v>
      </c>
      <c r="K399" t="n">
        <v>-0.1841968403410937</v>
      </c>
      <c r="L399" t="n">
        <v>0.1397781256160042</v>
      </c>
      <c r="M399" t="n">
        <v>-0.3437943521082661</v>
      </c>
      <c r="N399" t="n">
        <v>-0.7681454388885357</v>
      </c>
      <c r="O399" t="n">
        <v>-0.6140758293779618</v>
      </c>
      <c r="P399" t="n">
        <v>-0.5187741107815352</v>
      </c>
      <c r="Q399" t="n">
        <v>-0.4050898544016591</v>
      </c>
      <c r="R399" t="n">
        <v>-0.4409171365541343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</row>
    <row r="400">
      <c r="A400" t="inlineStr">
        <is>
          <t>2023-05-16</t>
        </is>
      </c>
      <c r="B400" t="n">
        <v>1</v>
      </c>
      <c r="C400" t="n">
        <v>-1.182926272041501</v>
      </c>
      <c r="D400" t="n">
        <v>-0.7275067597712767</v>
      </c>
      <c r="E400" t="n">
        <v>-1.142326553254978</v>
      </c>
      <c r="F400" t="n">
        <v>-0.4237928221812597</v>
      </c>
      <c r="G400" t="n">
        <v>0.1839991135808935</v>
      </c>
      <c r="H400" t="n">
        <v>0.03110598343089944</v>
      </c>
      <c r="I400" t="n">
        <v>-1.319133015033338</v>
      </c>
      <c r="J400" t="n">
        <v>0.350405413205441</v>
      </c>
      <c r="K400" t="n">
        <v>-0.2842147605033076</v>
      </c>
      <c r="L400" t="n">
        <v>0.2092074073785197</v>
      </c>
      <c r="M400" t="n">
        <v>-0.5025344754332992</v>
      </c>
      <c r="N400" t="n">
        <v>-1.281643649804774</v>
      </c>
      <c r="O400" t="n">
        <v>-0.4348974182577286</v>
      </c>
      <c r="P400" t="n">
        <v>-0.3834321346554205</v>
      </c>
      <c r="Q400" t="n">
        <v>-0.4478092178532346</v>
      </c>
      <c r="R400" t="n">
        <v>0.4789526231414479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2023-05-23</t>
        </is>
      </c>
      <c r="B401" t="n">
        <v>1</v>
      </c>
      <c r="C401" t="n">
        <v>-1.33088593053876</v>
      </c>
      <c r="D401" t="n">
        <v>-1.147673085864769</v>
      </c>
      <c r="E401" t="n">
        <v>-1.103459133792697</v>
      </c>
      <c r="F401" t="n">
        <v>0.3828985236355388</v>
      </c>
      <c r="G401" t="n">
        <v>-0.1575290704292457</v>
      </c>
      <c r="H401" t="n">
        <v>-0.1636110030430348</v>
      </c>
      <c r="I401" t="n">
        <v>0.2391994930910222</v>
      </c>
      <c r="J401" t="n">
        <v>-1.036714629068593</v>
      </c>
      <c r="K401" t="n">
        <v>-0.09531085396872689</v>
      </c>
      <c r="L401" t="n">
        <v>1.056065432091416</v>
      </c>
      <c r="M401" t="n">
        <v>-0.380042869816333</v>
      </c>
      <c r="N401" t="n">
        <v>-0.9119824727586304</v>
      </c>
      <c r="O401" t="n">
        <v>-0.7601665617550465</v>
      </c>
      <c r="P401" t="n">
        <v>-0.5458688841275938</v>
      </c>
      <c r="Q401" t="n">
        <v>-0.5592546571811422</v>
      </c>
      <c r="R401" t="n">
        <v>0.6701304738973145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0.03100868540822072</v>
      </c>
      <c r="AJ401" t="n">
        <v>0.3333333333333333</v>
      </c>
    </row>
    <row r="402">
      <c r="A402" t="inlineStr">
        <is>
          <t>2023-05-29</t>
        </is>
      </c>
      <c r="B402" t="n">
        <v>1</v>
      </c>
      <c r="C402" t="n">
        <v>-1.185974373465157</v>
      </c>
      <c r="D402" t="n">
        <v>-0.9062961514842458</v>
      </c>
      <c r="E402" t="n">
        <v>-1.042328799733186</v>
      </c>
      <c r="F402" t="n">
        <v>-0.06229321333188159</v>
      </c>
      <c r="G402" t="n">
        <v>-0.04859133214579406</v>
      </c>
      <c r="H402" t="n">
        <v>-0.08130381145207945</v>
      </c>
      <c r="I402" t="n">
        <v>-0.1645318941550682</v>
      </c>
      <c r="J402" t="n">
        <v>0.4409615556073609</v>
      </c>
      <c r="K402" t="n">
        <v>0.06656640743117752</v>
      </c>
      <c r="L402" t="n">
        <v>2.349759978824893</v>
      </c>
      <c r="M402" t="n">
        <v>-0.2565056674133444</v>
      </c>
      <c r="N402" t="n">
        <v>-1.311232982486622</v>
      </c>
      <c r="O402" t="n">
        <v>-0.6667799956162305</v>
      </c>
      <c r="P402" t="n">
        <v>-0.5755018280420694</v>
      </c>
      <c r="Q402" t="n">
        <v>-0.4444170038803817</v>
      </c>
      <c r="R402" t="n">
        <v>-0.1408348673774765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inlineStr">
        <is>
          <t>2023-05-31</t>
        </is>
      </c>
      <c r="B403" t="n">
        <v>1</v>
      </c>
      <c r="C403" t="n">
        <v>-0.8708669155650897</v>
      </c>
      <c r="D403" t="n">
        <v>-1.006404775458778</v>
      </c>
      <c r="E403" t="n">
        <v>-1.087919179422045</v>
      </c>
      <c r="F403" t="n">
        <v>0.6854630896590564</v>
      </c>
      <c r="G403" t="n">
        <v>0.5766316432009652</v>
      </c>
      <c r="H403" t="n">
        <v>0.2927478110222206</v>
      </c>
      <c r="I403" t="n">
        <v>-0.1344097255020985</v>
      </c>
      <c r="J403" t="n">
        <v>1.616031460416412</v>
      </c>
      <c r="K403" t="n">
        <v>-0.8033853129932641</v>
      </c>
      <c r="L403" t="n">
        <v>-0.6066878321192605</v>
      </c>
      <c r="M403" t="n">
        <v>-0.6340265540451956</v>
      </c>
      <c r="N403" t="n">
        <v>-1.363630759110728</v>
      </c>
      <c r="O403" t="n">
        <v>-0.8394702394107141</v>
      </c>
      <c r="P403" t="n">
        <v>-0.09201375981908345</v>
      </c>
      <c r="Q403" t="n">
        <v>0.1407755939377227</v>
      </c>
      <c r="R403" t="n">
        <v>-0.3956864260248412</v>
      </c>
      <c r="S403" t="n">
        <v>0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inlineStr">
        <is>
          <t>2023-06-06</t>
        </is>
      </c>
      <c r="B404" t="n">
        <v>1</v>
      </c>
      <c r="C404" t="n">
        <v>-1.369108289229554</v>
      </c>
      <c r="D404" t="n">
        <v>-1.105612129258863</v>
      </c>
      <c r="E404" t="n">
        <v>-1.415587273131251</v>
      </c>
      <c r="F404" t="n">
        <v>0.1814231032973829</v>
      </c>
      <c r="G404" t="n">
        <v>0.6093997840772792</v>
      </c>
      <c r="H404" t="n">
        <v>0.1381405715322171</v>
      </c>
      <c r="I404" t="n">
        <v>-0.1050976953193691</v>
      </c>
      <c r="J404" t="n">
        <v>-0.2369920166365109</v>
      </c>
      <c r="K404" t="n">
        <v>0.02907156945468608</v>
      </c>
      <c r="L404" t="n">
        <v>-0.1837103986960962</v>
      </c>
      <c r="M404" t="n">
        <v>-0.5724045898040715</v>
      </c>
      <c r="N404" t="n">
        <v>-1.271986020387782</v>
      </c>
      <c r="O404" t="n">
        <v>-0.8456264556393389</v>
      </c>
      <c r="P404" t="n">
        <v>-0.7027249378218819</v>
      </c>
      <c r="Q404" t="n">
        <v>-0.4793185114869946</v>
      </c>
      <c r="R404" t="n">
        <v>-0.5338587560937356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inlineStr">
        <is>
          <t>2023-06-12</t>
        </is>
      </c>
      <c r="B405" t="n">
        <v>1</v>
      </c>
      <c r="C405" t="n">
        <v>-1.256147782798352</v>
      </c>
      <c r="D405" t="n">
        <v>-1.095309477807204</v>
      </c>
      <c r="E405" t="n">
        <v>-1.280062567181214</v>
      </c>
      <c r="F405" t="n">
        <v>0.34215515028864</v>
      </c>
      <c r="G405" t="n">
        <v>0.4153072806316343</v>
      </c>
      <c r="H405" t="n">
        <v>0.1062763689713108</v>
      </c>
      <c r="I405" t="n">
        <v>0.2240458202620129</v>
      </c>
      <c r="J405" t="n">
        <v>-0.4013834383860581</v>
      </c>
      <c r="K405" t="n">
        <v>-0.08206410356427921</v>
      </c>
      <c r="L405" t="n">
        <v>0.5723567158034322</v>
      </c>
      <c r="M405" t="n">
        <v>-0.3104997493098885</v>
      </c>
      <c r="N405" t="n">
        <v>-1.098354172358882</v>
      </c>
      <c r="O405" t="n">
        <v>-0.8233178745762285</v>
      </c>
      <c r="P405" t="n">
        <v>-0.6673632204468715</v>
      </c>
      <c r="Q405" t="n">
        <v>-0.5095682136533042</v>
      </c>
      <c r="R405" t="n">
        <v>-0.314578313344329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2023-06-13</t>
        </is>
      </c>
      <c r="B406" t="n">
        <v>1</v>
      </c>
      <c r="C406" t="n">
        <v>-1.426480308045821</v>
      </c>
      <c r="D406" t="n">
        <v>-1.179454915815769</v>
      </c>
      <c r="E406" t="n">
        <v>-1.305621649906709</v>
      </c>
      <c r="F406" t="n">
        <v>0.3170231810559277</v>
      </c>
      <c r="G406" t="n">
        <v>0.1571983804145464</v>
      </c>
      <c r="H406" t="n">
        <v>-0.04105872911040816</v>
      </c>
      <c r="I406" t="n">
        <v>0.2489636737378581</v>
      </c>
      <c r="J406" t="n">
        <v>0.0270080451781155</v>
      </c>
      <c r="K406" t="n">
        <v>0.2983945231157067</v>
      </c>
      <c r="L406" t="n">
        <v>1.160156303723544</v>
      </c>
      <c r="M406" t="n">
        <v>-0.41395823387871</v>
      </c>
      <c r="N406" t="n">
        <v>-1.411302461764817</v>
      </c>
      <c r="O406" t="n">
        <v>-0.8893819656943395</v>
      </c>
      <c r="P406" t="n">
        <v>-0.6906076344835654</v>
      </c>
      <c r="Q406" t="n">
        <v>-0.4195888589630513</v>
      </c>
      <c r="R406" t="n">
        <v>-0.4931418551003435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inlineStr">
        <is>
          <t>2023-06-20</t>
        </is>
      </c>
      <c r="B407" t="n">
        <v>1</v>
      </c>
      <c r="C407" t="n">
        <v>-1.393359653509908</v>
      </c>
      <c r="D407" t="n">
        <v>-1.007280311538143</v>
      </c>
      <c r="E407" t="n">
        <v>-1.345405010349517</v>
      </c>
      <c r="F407" t="n">
        <v>-0.1288565648778889</v>
      </c>
      <c r="G407" t="n">
        <v>0.3363428500057574</v>
      </c>
      <c r="H407" t="n">
        <v>0.03649465045896002</v>
      </c>
      <c r="I407" t="n">
        <v>0.6135405865007827</v>
      </c>
      <c r="J407" t="n">
        <v>-0.3584089419527481</v>
      </c>
      <c r="K407" t="n">
        <v>-0.318501223101946</v>
      </c>
      <c r="L407" t="n">
        <v>-0.6748520842294894</v>
      </c>
      <c r="M407" t="n">
        <v>-0.2152916005111532</v>
      </c>
      <c r="N407" t="n">
        <v>-1.255136539277285</v>
      </c>
      <c r="O407" t="n">
        <v>-0.6698060132130129</v>
      </c>
      <c r="P407" t="n">
        <v>-0.6182893158948795</v>
      </c>
      <c r="Q407" t="n">
        <v>-0.4226837690945645</v>
      </c>
      <c r="R407" t="n">
        <v>-1.153401872414173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inlineStr">
        <is>
          <t>2023-06-27</t>
        </is>
      </c>
      <c r="B408" t="n">
        <v>1</v>
      </c>
      <c r="C408" t="n">
        <v>-1.561613863598579</v>
      </c>
      <c r="D408" t="n">
        <v>-1.060091790939448</v>
      </c>
      <c r="E408" t="n">
        <v>-1.418923322790081</v>
      </c>
      <c r="F408" t="n">
        <v>-0.2668100542279334</v>
      </c>
      <c r="G408" t="n">
        <v>0.2068893066148452</v>
      </c>
      <c r="H408" t="n">
        <v>-0.05629407764379481</v>
      </c>
      <c r="I408" t="n">
        <v>-0.09866755226658595</v>
      </c>
      <c r="J408" t="n">
        <v>-0.5641183143035904</v>
      </c>
      <c r="K408" t="n">
        <v>0.5369996383557633</v>
      </c>
      <c r="L408" t="n">
        <v>0.8093808423913618</v>
      </c>
      <c r="M408" t="n">
        <v>-0.3932679951022146</v>
      </c>
      <c r="N408" t="n">
        <v>-1.360343055479412</v>
      </c>
      <c r="O408" t="n">
        <v>-0.9325363374914198</v>
      </c>
      <c r="P408" t="n">
        <v>-0.6206829014126147</v>
      </c>
      <c r="Q408" t="n">
        <v>-0.4821815453965247</v>
      </c>
      <c r="R408" t="n">
        <v>-0.3625334849667281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0.1319619262649818</v>
      </c>
      <c r="AJ408" t="n">
        <v>0.3333333333333333</v>
      </c>
    </row>
    <row r="409">
      <c r="A409" t="inlineStr">
        <is>
          <t>2023-06-30</t>
        </is>
      </c>
      <c r="B409" t="n">
        <v>1</v>
      </c>
      <c r="C409" t="n">
        <v>-1.36933925728047</v>
      </c>
      <c r="D409" t="n">
        <v>-0.8989542078886742</v>
      </c>
      <c r="E409" t="n">
        <v>-1.334243528702502</v>
      </c>
      <c r="F409" t="n">
        <v>-0.3409120741014783</v>
      </c>
      <c r="G409" t="n">
        <v>0.3515919067934215</v>
      </c>
      <c r="H409" t="n">
        <v>0.04901382137643532</v>
      </c>
      <c r="I409" t="n">
        <v>1.161129396362334</v>
      </c>
      <c r="J409" t="n">
        <v>1.124168709436036</v>
      </c>
      <c r="K409" t="n">
        <v>-0.317644328855379</v>
      </c>
      <c r="L409" t="n">
        <v>1.560136527040916</v>
      </c>
      <c r="M409" t="n">
        <v>0.2172829617040233</v>
      </c>
      <c r="N409" t="n">
        <v>-1.637332086417823</v>
      </c>
      <c r="O409" t="n">
        <v>-0.1713629089502782</v>
      </c>
      <c r="P409" t="n">
        <v>-0.6194759809231641</v>
      </c>
      <c r="Q409" t="n">
        <v>-0.5592588073929077</v>
      </c>
      <c r="R409" t="n">
        <v>-1.241626286703822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inlineStr">
        <is>
          <t>2023-07-04</t>
        </is>
      </c>
      <c r="B410" t="n">
        <v>1</v>
      </c>
      <c r="C410" t="n">
        <v>-1.245858940096128</v>
      </c>
      <c r="D410" t="n">
        <v>-0.8058060279761311</v>
      </c>
      <c r="E410" t="n">
        <v>-1.193968968135501</v>
      </c>
      <c r="F410" t="n">
        <v>-0.3591677759145373</v>
      </c>
      <c r="G410" t="n">
        <v>0.201531263812175</v>
      </c>
      <c r="H410" t="n">
        <v>0.02278361653214065</v>
      </c>
      <c r="I410" t="n">
        <v>-0.5353562923935958</v>
      </c>
      <c r="J410" t="n">
        <v>-0.4743108676574294</v>
      </c>
      <c r="K410" t="n">
        <v>-0.1435682175514339</v>
      </c>
      <c r="L410" t="n">
        <v>1.172903803738626</v>
      </c>
      <c r="M410" t="n">
        <v>0.588364506686517</v>
      </c>
      <c r="N410" t="n">
        <v>-1.059518173213956</v>
      </c>
      <c r="O410" t="n">
        <v>-0.3010627114121429</v>
      </c>
      <c r="P410" t="n">
        <v>-0.04972698792887537</v>
      </c>
      <c r="Q410" t="n">
        <v>0.1964750564537392</v>
      </c>
      <c r="R410" t="n">
        <v>-0.4123849997329607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2023-07-07</t>
        </is>
      </c>
      <c r="B411" t="n">
        <v>1</v>
      </c>
      <c r="C411" t="n">
        <v>-1.169495269777107</v>
      </c>
      <c r="D411" t="n">
        <v>-0.8741971184018835</v>
      </c>
      <c r="E411" t="n">
        <v>-1.228555602083955</v>
      </c>
      <c r="F411" t="n">
        <v>-0.1125033551680269</v>
      </c>
      <c r="G411" t="n">
        <v>0.4324629724430213</v>
      </c>
      <c r="H411" t="n">
        <v>0.1391534735657428</v>
      </c>
      <c r="I411" t="n">
        <v>-0.4626231165119775</v>
      </c>
      <c r="J411" t="n">
        <v>0.8935104779973639</v>
      </c>
      <c r="K411" t="n">
        <v>-0.4532931675539977</v>
      </c>
      <c r="L411" t="n">
        <v>-0.4221210791202648</v>
      </c>
      <c r="M411" t="n">
        <v>-0.438653884599186</v>
      </c>
      <c r="N411" t="n">
        <v>-1.420549128227894</v>
      </c>
      <c r="O411" t="n">
        <v>-0.6678580191086075</v>
      </c>
      <c r="P411" t="n">
        <v>-0.4603575096606633</v>
      </c>
      <c r="Q411" t="n">
        <v>-0.5076689985043449</v>
      </c>
      <c r="R411" t="n">
        <v>-0.7654439458408778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inlineStr">
        <is>
          <t>2023-07-18</t>
        </is>
      </c>
      <c r="B412" t="n">
        <v>1</v>
      </c>
      <c r="C412" t="n">
        <v>-1.003306816512508</v>
      </c>
      <c r="D412" t="n">
        <v>-1.125026832212328</v>
      </c>
      <c r="E412" t="n">
        <v>-1.233941573695566</v>
      </c>
      <c r="F412" t="n">
        <v>0.8806332203934486</v>
      </c>
      <c r="G412" t="n">
        <v>0.7550457254386825</v>
      </c>
      <c r="H412" t="n">
        <v>0.3160399766080672</v>
      </c>
      <c r="I412" t="n">
        <v>-0.2836029965926766</v>
      </c>
      <c r="J412" t="n">
        <v>1.117681907805075</v>
      </c>
      <c r="K412" t="n">
        <v>-1.028198255403078</v>
      </c>
      <c r="L412" t="n">
        <v>1.363990192037151</v>
      </c>
      <c r="M412" t="n">
        <v>0.8740200782348501</v>
      </c>
      <c r="N412" t="n">
        <v>-1.342671648461086</v>
      </c>
      <c r="O412" t="n">
        <v>-0.7031175798928063</v>
      </c>
      <c r="P412" t="n">
        <v>-0.1525617158912834</v>
      </c>
      <c r="Q412" t="n">
        <v>0.1510521736942206</v>
      </c>
      <c r="R412" t="n">
        <v>-0.8825577999195814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inlineStr">
        <is>
          <t>2023-07-25</t>
        </is>
      </c>
      <c r="B413" t="n">
        <v>1</v>
      </c>
      <c r="C413" t="n">
        <v>-0.9574444343205191</v>
      </c>
      <c r="D413" t="n">
        <v>-0.8059762892088851</v>
      </c>
      <c r="E413" t="n">
        <v>-1.132790315740875</v>
      </c>
      <c r="F413" t="n">
        <v>0.02362481406556634</v>
      </c>
      <c r="G413" t="n">
        <v>0.548678567943808</v>
      </c>
      <c r="H413" t="n">
        <v>0.2526965119862374</v>
      </c>
      <c r="I413" t="n">
        <v>1.006102444489997</v>
      </c>
      <c r="J413" t="n">
        <v>-0.5348774989956656</v>
      </c>
      <c r="K413" t="n">
        <v>0.01515348705569433</v>
      </c>
      <c r="L413" t="n">
        <v>0.6232401704408199</v>
      </c>
      <c r="M413" t="n">
        <v>-0.5183493663221874</v>
      </c>
      <c r="N413" t="n">
        <v>-0.7297204026975247</v>
      </c>
      <c r="O413" t="n">
        <v>-0.8560919964849909</v>
      </c>
      <c r="P413" t="n">
        <v>-0.543847003178091</v>
      </c>
      <c r="Q413" t="n">
        <v>-0.2902434932274099</v>
      </c>
      <c r="R413" t="n">
        <v>-0.1713674928980978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inlineStr">
        <is>
          <t>2023-07-28</t>
        </is>
      </c>
      <c r="B414" t="n">
        <v>1</v>
      </c>
      <c r="C414" t="n">
        <v>-1.108576117257045</v>
      </c>
      <c r="D414" t="n">
        <v>-0.775320580534799</v>
      </c>
      <c r="E414" t="n">
        <v>-1.134118021570554</v>
      </c>
      <c r="F414" t="n">
        <v>-0.2390464288099308</v>
      </c>
      <c r="G414" t="n">
        <v>0.2920901737911286</v>
      </c>
      <c r="H414" t="n">
        <v>0.09863922312091633</v>
      </c>
      <c r="I414" t="n">
        <v>0.2731780265657989</v>
      </c>
      <c r="J414" t="n">
        <v>-1.106839303967888</v>
      </c>
      <c r="K414" t="n">
        <v>-0.2054798750679214</v>
      </c>
      <c r="L414" t="n">
        <v>-0.9160949003007431</v>
      </c>
      <c r="M414" t="n">
        <v>-0.0229744457762081</v>
      </c>
      <c r="N414" t="n">
        <v>-0.6130069237857908</v>
      </c>
      <c r="O414" t="n">
        <v>-0.6857976845141803</v>
      </c>
      <c r="P414" t="n">
        <v>-0.6733997537211753</v>
      </c>
      <c r="Q414" t="n">
        <v>-0.5952192550321547</v>
      </c>
      <c r="R414" t="n">
        <v>-0.08558982808013697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inlineStr">
        <is>
          <t>2023-08-01</t>
        </is>
      </c>
      <c r="B415" t="n">
        <v>1</v>
      </c>
      <c r="C415" t="n">
        <v>-1.273016485858938</v>
      </c>
      <c r="D415" t="n">
        <v>-0.8674308901397414</v>
      </c>
      <c r="E415" t="n">
        <v>-1.251285484233956</v>
      </c>
      <c r="F415" t="n">
        <v>-0.2715536271631725</v>
      </c>
      <c r="G415" t="n">
        <v>0.3026515384685238</v>
      </c>
      <c r="H415" t="n">
        <v>0.05747277130419948</v>
      </c>
      <c r="I415" t="n">
        <v>-0.1807910284553444</v>
      </c>
      <c r="J415" t="n">
        <v>0.3545443580099013</v>
      </c>
      <c r="K415" t="n">
        <v>-0.06309997336304153</v>
      </c>
      <c r="L415" t="n">
        <v>0.4180139593604206</v>
      </c>
      <c r="M415" t="n">
        <v>-0.7727478858731535</v>
      </c>
      <c r="N415" t="n">
        <v>-1.3642472035416</v>
      </c>
      <c r="O415" t="n">
        <v>-0.7641372173428362</v>
      </c>
      <c r="P415" t="n">
        <v>-0.7182142625645086</v>
      </c>
      <c r="Q415" t="n">
        <v>-0.4658916016151585</v>
      </c>
      <c r="R415" t="n">
        <v>-0.4252781555012184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2023-08-02</t>
        </is>
      </c>
      <c r="B416" t="n">
        <v>1</v>
      </c>
      <c r="C416" t="n">
        <v>-0.8585488295245314</v>
      </c>
      <c r="D416" t="n">
        <v>-0.8874992343950071</v>
      </c>
      <c r="E416" t="n">
        <v>-1.255073456856602</v>
      </c>
      <c r="F416" t="n">
        <v>0.3570427442613422</v>
      </c>
      <c r="G416" t="n">
        <v>1.09242192570961</v>
      </c>
      <c r="H416" t="n">
        <v>0.488081914009989</v>
      </c>
      <c r="I416" t="n">
        <v>-0.1375500189974882</v>
      </c>
      <c r="J416" t="n">
        <v>1.68881877200342</v>
      </c>
      <c r="K416" t="n">
        <v>-0.8714690527629031</v>
      </c>
      <c r="L416" t="n">
        <v>-1.222479600160473</v>
      </c>
      <c r="M416" t="n">
        <v>0.1704600823717222</v>
      </c>
      <c r="N416" t="n">
        <v>-1.371644536712062</v>
      </c>
      <c r="O416" t="n">
        <v>-0.7022947203173118</v>
      </c>
      <c r="P416" t="n">
        <v>-0.2510308780902267</v>
      </c>
      <c r="Q416" t="n">
        <v>0.08997245022199062</v>
      </c>
      <c r="R416" t="n">
        <v>-0.2534690259435994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inlineStr">
        <is>
          <t>2023-08-03</t>
        </is>
      </c>
      <c r="B417" t="n">
        <v>1</v>
      </c>
      <c r="C417" t="n">
        <v>-0.8869151838191468</v>
      </c>
      <c r="D417" t="n">
        <v>-0.6920590185829973</v>
      </c>
      <c r="E417" t="n">
        <v>-1.051979904592061</v>
      </c>
      <c r="F417" t="n">
        <v>-0.12409143191602</v>
      </c>
      <c r="G417" t="n">
        <v>0.4588269675117321</v>
      </c>
      <c r="H417" t="n">
        <v>0.2369618579842737</v>
      </c>
      <c r="I417" t="n">
        <v>0.3889725574474698</v>
      </c>
      <c r="J417" t="n">
        <v>-0.06765948474604597</v>
      </c>
      <c r="K417" t="n">
        <v>-0.1497664428833674</v>
      </c>
      <c r="L417" t="n">
        <v>0.1316982601018331</v>
      </c>
      <c r="M417" t="n">
        <v>-0.1079746375497218</v>
      </c>
      <c r="N417" t="n">
        <v>-0.180160192575284</v>
      </c>
      <c r="O417" t="n">
        <v>-0.3191853322512164</v>
      </c>
      <c r="P417" t="n">
        <v>-0.3351766071331188</v>
      </c>
      <c r="Q417" t="n">
        <v>-0.3009448500247113</v>
      </c>
      <c r="R417" t="n">
        <v>-0.2488136175062554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</row>
    <row r="418">
      <c r="A418" t="inlineStr">
        <is>
          <t>2023-08-08</t>
        </is>
      </c>
      <c r="B418" t="n">
        <v>1</v>
      </c>
      <c r="C418" t="n">
        <v>-1.275371227171862</v>
      </c>
      <c r="D418" t="n">
        <v>-0.7601491310343521</v>
      </c>
      <c r="E418" t="n">
        <v>-1.007108150929036</v>
      </c>
      <c r="F418" t="n">
        <v>-0.4826099114565605</v>
      </c>
      <c r="G418" t="n">
        <v>-0.2630151403452716</v>
      </c>
      <c r="H418" t="n">
        <v>-0.2117770918529664</v>
      </c>
      <c r="I418" t="n">
        <v>1.000097371624606</v>
      </c>
      <c r="J418" t="n">
        <v>-0.2974136958497813</v>
      </c>
      <c r="K418" t="n">
        <v>-0.1514760181832566</v>
      </c>
      <c r="L418" t="n">
        <v>0.2695276115622918</v>
      </c>
      <c r="M418" t="n">
        <v>-0.2736000406309658</v>
      </c>
      <c r="N418" t="n">
        <v>-1.156505430337792</v>
      </c>
      <c r="O418" t="n">
        <v>-0.9035888053443605</v>
      </c>
      <c r="P418" t="n">
        <v>-0.7041646124580847</v>
      </c>
      <c r="Q418" t="n">
        <v>-0.5210953190941994</v>
      </c>
      <c r="R418" t="n">
        <v>-0.6915126693131016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inlineStr">
        <is>
          <t>2023-08-10</t>
        </is>
      </c>
      <c r="B419" t="n">
        <v>1</v>
      </c>
      <c r="C419" t="n">
        <v>-0.8774107663861309</v>
      </c>
      <c r="D419" t="n">
        <v>-0.7682347559150504</v>
      </c>
      <c r="E419" t="n">
        <v>-1.020102677646702</v>
      </c>
      <c r="F419" t="n">
        <v>0.04500913892001547</v>
      </c>
      <c r="G419" t="n">
        <v>0.3967721451396827</v>
      </c>
      <c r="H419" t="n">
        <v>0.2119073834131174</v>
      </c>
      <c r="I419" t="n">
        <v>0.05534238324636229</v>
      </c>
      <c r="J419" t="n">
        <v>1.501792440163514</v>
      </c>
      <c r="K419" t="n">
        <v>-1.134918598867006</v>
      </c>
      <c r="L419" t="n">
        <v>-0.5629145133162066</v>
      </c>
      <c r="M419" t="n">
        <v>0.3085292877461072</v>
      </c>
      <c r="N419" t="n">
        <v>-1.341027796645428</v>
      </c>
      <c r="O419" t="n">
        <v>0.7460052957301481</v>
      </c>
      <c r="P419" t="n">
        <v>1.760116627805652</v>
      </c>
      <c r="Q419" t="n">
        <v>1.560475785369275</v>
      </c>
      <c r="R419" t="n">
        <v>0.3314395887854008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inlineStr">
        <is>
          <t>2023-09-11</t>
        </is>
      </c>
      <c r="B420" t="n">
        <v>1</v>
      </c>
      <c r="C420" t="n">
        <v>-1.299854182202033</v>
      </c>
      <c r="D420" t="n">
        <v>-1.536214841957416</v>
      </c>
      <c r="E420" t="n">
        <v>-1.533402390682061</v>
      </c>
      <c r="F420" t="n">
        <v>2.641894549029625</v>
      </c>
      <c r="G420" t="n">
        <v>1.21965776236406</v>
      </c>
      <c r="H420" t="n">
        <v>0.3381436457681725</v>
      </c>
      <c r="I420" t="n">
        <v>-0.9189945842401408</v>
      </c>
      <c r="J420" t="n">
        <v>-0.3817787482434471</v>
      </c>
      <c r="K420" t="n">
        <v>-0.0660935515028951</v>
      </c>
      <c r="L420" t="n">
        <v>1.098283223576204</v>
      </c>
      <c r="M420" t="n">
        <v>0.1806549604538348</v>
      </c>
      <c r="N420" t="n">
        <v>-1.150751948982988</v>
      </c>
      <c r="O420" t="n">
        <v>-0.8440305684589764</v>
      </c>
      <c r="P420" t="n">
        <v>-0.7093026023810901</v>
      </c>
      <c r="Q420" t="n">
        <v>-0.5328717193391894</v>
      </c>
      <c r="R420" t="n">
        <v>-0.1473738408596154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2023-09-12</t>
        </is>
      </c>
      <c r="B421" t="n">
        <v>1</v>
      </c>
      <c r="C421" t="n">
        <v>-1.123400388645003</v>
      </c>
      <c r="D421" t="n">
        <v>-1.394534324751051</v>
      </c>
      <c r="E421" t="n">
        <v>-1.486090556498575</v>
      </c>
      <c r="F421" t="n">
        <v>1.989895008583996</v>
      </c>
      <c r="G421" t="n">
        <v>1.425061316046572</v>
      </c>
      <c r="H421" t="n">
        <v>0.4680067608242782</v>
      </c>
      <c r="I421" t="n">
        <v>-0.4189954582320192</v>
      </c>
      <c r="J421" t="n">
        <v>0.472589644859132</v>
      </c>
      <c r="K421" t="n">
        <v>-0.7694668361641972</v>
      </c>
      <c r="L421" t="n">
        <v>1.541510319848048</v>
      </c>
      <c r="M421" t="n">
        <v>0.2404942994102417</v>
      </c>
      <c r="N421" t="n">
        <v>-1.264999650171235</v>
      </c>
      <c r="O421" t="n">
        <v>-0.7741105868409779</v>
      </c>
      <c r="P421" t="n">
        <v>-0.3032124910352844</v>
      </c>
      <c r="Q421" t="n">
        <v>-0.2589394235943684</v>
      </c>
      <c r="R421" t="n">
        <v>-1.085408814747919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0.1091287618804563</v>
      </c>
      <c r="AJ421" t="n">
        <v>0.3333333333333333</v>
      </c>
    </row>
    <row r="422">
      <c r="A422" t="inlineStr">
        <is>
          <t>2023-09-18</t>
        </is>
      </c>
      <c r="B422" t="n">
        <v>1</v>
      </c>
      <c r="C422" t="n">
        <v>-1.357722567777816</v>
      </c>
      <c r="D422" t="n">
        <v>-1.556035328616505</v>
      </c>
      <c r="E422" t="n">
        <v>-1.617230847254676</v>
      </c>
      <c r="F422" t="n">
        <v>2.657245162235159</v>
      </c>
      <c r="G422" t="n">
        <v>1.467811577267667</v>
      </c>
      <c r="H422" t="n">
        <v>0.3702037935024941</v>
      </c>
      <c r="I422" t="n">
        <v>-0.282136680123229</v>
      </c>
      <c r="J422" t="n">
        <v>-0.08279721053124106</v>
      </c>
      <c r="K422" t="n">
        <v>0.1448357966706315</v>
      </c>
      <c r="L422" t="n">
        <v>-0.9087392093050782</v>
      </c>
      <c r="M422" t="n">
        <v>-0.5448060836180803</v>
      </c>
      <c r="N422" t="n">
        <v>-1.311232982486622</v>
      </c>
      <c r="O422" t="n">
        <v>-0.8046785520602519</v>
      </c>
      <c r="P422" t="n">
        <v>-0.7489767121570661</v>
      </c>
      <c r="Q422" t="n">
        <v>-0.5185964132961329</v>
      </c>
      <c r="R422" t="n">
        <v>0.1387407558061051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0.5978391602774596</v>
      </c>
      <c r="AJ422" t="n">
        <v>0.6666666666666666</v>
      </c>
    </row>
    <row r="423">
      <c r="A423" t="inlineStr">
        <is>
          <t>2023-09-25</t>
        </is>
      </c>
      <c r="B423" t="n">
        <v>1</v>
      </c>
      <c r="C423" t="n">
        <v>-1.107225751764508</v>
      </c>
      <c r="D423" t="n">
        <v>-0.5448011274809722</v>
      </c>
      <c r="E423" t="n">
        <v>-1.074033717471687</v>
      </c>
      <c r="F423" t="n">
        <v>-0.6285572446406098</v>
      </c>
      <c r="G423" t="n">
        <v>0.1502552888551377</v>
      </c>
      <c r="H423" t="n">
        <v>0.03437103954679539</v>
      </c>
      <c r="I423" t="n">
        <v>0.5337456910459746</v>
      </c>
      <c r="J423" t="n">
        <v>-0.5825488656727608</v>
      </c>
      <c r="K423" t="n">
        <v>-0.4365522964443871</v>
      </c>
      <c r="L423" t="n">
        <v>-0.3996860398738695</v>
      </c>
      <c r="M423" t="n">
        <v>-0.4821934305628575</v>
      </c>
      <c r="N423" t="n">
        <v>-0.8678039552128158</v>
      </c>
      <c r="O423" t="n">
        <v>-0.442350204511548</v>
      </c>
      <c r="P423" t="n">
        <v>-0.5757799240387785</v>
      </c>
      <c r="Q423" t="n">
        <v>-0.3848671638290694</v>
      </c>
      <c r="R423" t="n">
        <v>-1.211578473812097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0.3443006690181089</v>
      </c>
      <c r="AJ423" t="n">
        <v>0</v>
      </c>
    </row>
    <row r="424">
      <c r="A424" t="inlineStr">
        <is>
          <t>2023-09-26</t>
        </is>
      </c>
      <c r="B424" t="n">
        <v>1</v>
      </c>
      <c r="C424" t="n">
        <v>-1.230024981681445</v>
      </c>
      <c r="D424" t="n">
        <v>-0.6232046612169894</v>
      </c>
      <c r="E424" t="n">
        <v>-1.162980624503841</v>
      </c>
      <c r="F424" t="n">
        <v>-0.6520055370941777</v>
      </c>
      <c r="G424" t="n">
        <v>0.1523307946648947</v>
      </c>
      <c r="H424" t="n">
        <v>0.005213308736879246</v>
      </c>
      <c r="I424" t="n">
        <v>0.03591593541544085</v>
      </c>
      <c r="J424" t="n">
        <v>-0.8636773225125369</v>
      </c>
      <c r="K424" t="n">
        <v>-0.3906258744764822</v>
      </c>
      <c r="L424" t="n">
        <v>-0.1648396043091269</v>
      </c>
      <c r="M424" t="n">
        <v>-0.4790885861510332</v>
      </c>
      <c r="N424" t="n">
        <v>-0.8764341772450214</v>
      </c>
      <c r="O424" t="n">
        <v>-0.5697421083268436</v>
      </c>
      <c r="P424" t="n">
        <v>-0.5965635554215242</v>
      </c>
      <c r="Q424" t="n">
        <v>-0.3391393080433289</v>
      </c>
      <c r="R424" t="n">
        <v>-0.7318404316454167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0.3278757141923658</v>
      </c>
      <c r="AJ424" t="n">
        <v>0</v>
      </c>
    </row>
    <row r="425">
      <c r="A425" t="inlineStr">
        <is>
          <t>2023-10-17</t>
        </is>
      </c>
      <c r="B425" t="n">
        <v>1</v>
      </c>
      <c r="C425" t="n">
        <v>-1.288023284019321</v>
      </c>
      <c r="D425" t="n">
        <v>-0.6887282806880325</v>
      </c>
      <c r="E425" t="n">
        <v>-0.9005331353875315</v>
      </c>
      <c r="F425" t="n">
        <v>-0.6191942962830006</v>
      </c>
      <c r="G425" t="n">
        <v>-0.4750183268286461</v>
      </c>
      <c r="H425" t="n">
        <v>-0.3412563143520495</v>
      </c>
      <c r="I425" t="n">
        <v>-0.05945277315558405</v>
      </c>
      <c r="J425" t="n">
        <v>-0.1865480508237772</v>
      </c>
      <c r="K425" t="n">
        <v>0.806602989158873</v>
      </c>
      <c r="L425" t="n">
        <v>1.325464263128896</v>
      </c>
      <c r="M425" t="n">
        <v>0.2347207743185049</v>
      </c>
      <c r="N425" t="n">
        <v>-1.208286762531026</v>
      </c>
      <c r="O425" t="n">
        <v>-0.9229804180869833</v>
      </c>
      <c r="P425" t="n">
        <v>-0.7545034383250077</v>
      </c>
      <c r="Q425" t="n">
        <v>-0.52893650494025</v>
      </c>
      <c r="R425" t="n">
        <v>-0.1433027194460075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0.01933686785961375</v>
      </c>
      <c r="AJ425" t="n">
        <v>0</v>
      </c>
    </row>
    <row r="426">
      <c r="A426" t="inlineStr">
        <is>
          <t>2023-10-18</t>
        </is>
      </c>
      <c r="B426" t="n">
        <v>1</v>
      </c>
      <c r="C426" t="n">
        <v>-0.8976382413884194</v>
      </c>
      <c r="D426" t="n">
        <v>-0.7883979183208916</v>
      </c>
      <c r="E426" t="n">
        <v>-0.9010171211187257</v>
      </c>
      <c r="F426" t="n">
        <v>0.06321955139885586</v>
      </c>
      <c r="G426" t="n">
        <v>0.1035267718850875</v>
      </c>
      <c r="H426" t="n">
        <v>0.06096237001718315</v>
      </c>
      <c r="I426" t="n">
        <v>-0.7802077467386713</v>
      </c>
      <c r="J426" t="n">
        <v>1.019661473712945</v>
      </c>
      <c r="K426" t="n">
        <v>-0.03364732370184496</v>
      </c>
      <c r="L426" t="n">
        <v>-0.2402616913640847</v>
      </c>
      <c r="M426" t="n">
        <v>-0.3185745701209757</v>
      </c>
      <c r="N426" t="n">
        <v>-1.231095206473284</v>
      </c>
      <c r="O426" t="n">
        <v>-0.7356510347640209</v>
      </c>
      <c r="P426" t="n">
        <v>-0.4858071562028298</v>
      </c>
      <c r="Q426" t="n">
        <v>-0.5891554796657714</v>
      </c>
      <c r="R426" t="n">
        <v>-0.1614906500883607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0.04984017888261102</v>
      </c>
      <c r="AJ426" t="n">
        <v>0.3333333333333333</v>
      </c>
    </row>
    <row r="427">
      <c r="A427" t="inlineStr">
        <is>
          <t>2023-10-25</t>
        </is>
      </c>
      <c r="B427" t="n">
        <v>1</v>
      </c>
      <c r="C427" t="n">
        <v>0.002542293900852965</v>
      </c>
      <c r="D427" t="n">
        <v>-0.5306948050381282</v>
      </c>
      <c r="E427" t="n">
        <v>-0.8974008235504811</v>
      </c>
      <c r="F427" t="n">
        <v>0.5694504025793392</v>
      </c>
      <c r="G427" t="n">
        <v>1.425465058040944</v>
      </c>
      <c r="H427" t="n">
        <v>0.9832585737562571</v>
      </c>
      <c r="I427" t="n">
        <v>0.2581535492584407</v>
      </c>
      <c r="J427" t="n">
        <v>1.28457937706868</v>
      </c>
      <c r="K427" t="n">
        <v>0.2808531702312796</v>
      </c>
      <c r="L427" t="n">
        <v>1.065628542427152</v>
      </c>
      <c r="M427" t="n">
        <v>3</v>
      </c>
      <c r="N427" t="n">
        <v>-0.5982122574448663</v>
      </c>
      <c r="O427" t="n">
        <v>-0.3392861322267718</v>
      </c>
      <c r="P427" t="n">
        <v>-0.4370933644173871</v>
      </c>
      <c r="Q427" t="n">
        <v>-0.5815445492015431</v>
      </c>
      <c r="R427" t="n">
        <v>-0.07104244806552602</v>
      </c>
      <c r="S427" t="n">
        <v>0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inlineStr">
        <is>
          <t>2023-10-26</t>
        </is>
      </c>
      <c r="B428" t="n">
        <v>1</v>
      </c>
      <c r="C428" t="n">
        <v>-0.7330647708692452</v>
      </c>
      <c r="D428" t="n">
        <v>-0.7707128433532271</v>
      </c>
      <c r="E428" t="n">
        <v>-0.854422152237577</v>
      </c>
      <c r="F428" t="n">
        <v>0.2368773178476304</v>
      </c>
      <c r="G428" t="n">
        <v>0.2482164946299918</v>
      </c>
      <c r="H428" t="n">
        <v>0.1793844927623704</v>
      </c>
      <c r="I428" t="n">
        <v>-0.7897007314395309</v>
      </c>
      <c r="J428" t="n">
        <v>-1.510867620394339</v>
      </c>
      <c r="K428" t="n">
        <v>0.8971248880708763</v>
      </c>
      <c r="L428" t="n">
        <v>-1.105567243732019</v>
      </c>
      <c r="M428" t="n">
        <v>-0.2248228002240109</v>
      </c>
      <c r="N428" t="n">
        <v>0.1207674304286505</v>
      </c>
      <c r="O428" t="n">
        <v>-0.1016096847295282</v>
      </c>
      <c r="P428" t="n">
        <v>0.204405718204066</v>
      </c>
      <c r="Q428" t="n">
        <v>-0.2471808444848755</v>
      </c>
      <c r="R428" t="n">
        <v>-0.5258807883053568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inlineStr">
        <is>
          <t>2023-11-13</t>
        </is>
      </c>
      <c r="B429" t="n">
        <v>1</v>
      </c>
      <c r="C429" t="n">
        <v>-1.564766463287395</v>
      </c>
      <c r="D429" t="n">
        <v>-0.9307685641309649</v>
      </c>
      <c r="E429" t="n">
        <v>-0.6681668056770544</v>
      </c>
      <c r="F429" t="n">
        <v>-0.558407187870879</v>
      </c>
      <c r="G429" t="n">
        <v>-1.177987559938692</v>
      </c>
      <c r="H429" t="n">
        <v>-0.8799337719406339</v>
      </c>
      <c r="I429" t="n">
        <v>-1.865346524136289</v>
      </c>
      <c r="J429" t="n">
        <v>2.176633094594927</v>
      </c>
      <c r="K429" t="n">
        <v>0.2045676533187872</v>
      </c>
      <c r="L429" t="n">
        <v>-0.4555928293274163</v>
      </c>
      <c r="M429" t="n">
        <v>0.4244296644115112</v>
      </c>
      <c r="N429" t="n">
        <v>-1.967951782842084</v>
      </c>
      <c r="O429" t="n">
        <v>-0.985347551515741</v>
      </c>
      <c r="P429" t="n">
        <v>-0.4863801980433921</v>
      </c>
      <c r="Q429" t="n">
        <v>-0.421482021785504</v>
      </c>
      <c r="R429" t="n">
        <v>-0.08086259852296147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0.05802169760787365</v>
      </c>
      <c r="AJ429" t="n">
        <v>0.3333333333333333</v>
      </c>
    </row>
    <row r="430">
      <c r="A430" t="inlineStr">
        <is>
          <t>2023-11-20</t>
        </is>
      </c>
      <c r="B430" t="n">
        <v>1</v>
      </c>
      <c r="C430" t="n">
        <v>-1.124287211760154</v>
      </c>
      <c r="D430" t="n">
        <v>-0.9860191503059395</v>
      </c>
      <c r="E430" t="n">
        <v>-0.544976000963701</v>
      </c>
      <c r="F430" t="n">
        <v>0.2321040432522064</v>
      </c>
      <c r="G430" t="n">
        <v>-0.7693327852305409</v>
      </c>
      <c r="H430" t="n">
        <v>-0.5613169690020342</v>
      </c>
      <c r="I430" t="n">
        <v>-0.406050453926674</v>
      </c>
      <c r="J430" t="n">
        <v>-0.1277545315478305</v>
      </c>
      <c r="K430" t="n">
        <v>0.145880280707031</v>
      </c>
      <c r="L430" t="n">
        <v>0.01652764845901812</v>
      </c>
      <c r="M430" t="n">
        <v>0.8715703799295949</v>
      </c>
      <c r="N430" t="n">
        <v>-1.06753195081529</v>
      </c>
      <c r="O430" t="n">
        <v>-0.7851007226810184</v>
      </c>
      <c r="P430" t="n">
        <v>-0.6165651790439739</v>
      </c>
      <c r="Q430" t="n">
        <v>-0.3541517951403423</v>
      </c>
      <c r="R430" t="n">
        <v>-0.5258807883053406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2023-11-21</t>
        </is>
      </c>
      <c r="B431" t="n">
        <v>1</v>
      </c>
      <c r="C431" t="n">
        <v>-1.250095709285992</v>
      </c>
      <c r="D431" t="n">
        <v>-1.059802989270621</v>
      </c>
      <c r="E431" t="n">
        <v>-0.5592801593225183</v>
      </c>
      <c r="F431" t="n">
        <v>0.2435792153889053</v>
      </c>
      <c r="G431" t="n">
        <v>-0.9058536365457933</v>
      </c>
      <c r="H431" t="n">
        <v>-0.6751376312890809</v>
      </c>
      <c r="I431" t="n">
        <v>-0.1337998314445475</v>
      </c>
      <c r="J431" t="n">
        <v>0.0112133808183192</v>
      </c>
      <c r="K431" t="n">
        <v>0.4670321970988237</v>
      </c>
      <c r="L431" t="n">
        <v>1.012119853985075</v>
      </c>
      <c r="M431" t="n">
        <v>-0.1005106235197328</v>
      </c>
      <c r="N431" t="n">
        <v>-1.237670613735917</v>
      </c>
      <c r="O431" t="n">
        <v>-0.6948080513532464</v>
      </c>
      <c r="P431" t="n">
        <v>-0.4522030023406064</v>
      </c>
      <c r="Q431" t="n">
        <v>-0.338308361388647</v>
      </c>
      <c r="R431" t="n">
        <v>-0.7276300130422132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inlineStr">
        <is>
          <t>2023-12-05</t>
        </is>
      </c>
      <c r="B432" t="n">
        <v>1</v>
      </c>
      <c r="C432" t="n">
        <v>-0.3809628088940287</v>
      </c>
      <c r="D432" t="n">
        <v>-0.4868482268622281</v>
      </c>
      <c r="E432" t="n">
        <v>-0.9459737174688688</v>
      </c>
      <c r="F432" t="n">
        <v>0.06635316412627047</v>
      </c>
      <c r="G432" t="n">
        <v>0.9834242674942402</v>
      </c>
      <c r="H432" t="n">
        <v>0.6417263960334942</v>
      </c>
      <c r="I432" t="n">
        <v>0.8441899343549902</v>
      </c>
      <c r="J432" t="n">
        <v>-1.669200416573744</v>
      </c>
      <c r="K432" t="n">
        <v>-0.9780290272275474</v>
      </c>
      <c r="L432" t="n">
        <v>0.6741921203982539</v>
      </c>
      <c r="M432" t="n">
        <v>-0.3900265559535379</v>
      </c>
      <c r="N432" t="n">
        <v>0.7281706763143654</v>
      </c>
      <c r="O432" t="n">
        <v>-0.7678243348259229</v>
      </c>
      <c r="P432" t="n">
        <v>-0.4494204769412639</v>
      </c>
      <c r="Q432" t="n">
        <v>-0.1775319457867441</v>
      </c>
      <c r="R432" t="n">
        <v>-0.6067156942660874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inlineStr">
        <is>
          <t>2023-12-06</t>
        </is>
      </c>
      <c r="B433" t="n">
        <v>1</v>
      </c>
      <c r="C433" t="n">
        <v>-0.8100806983624231</v>
      </c>
      <c r="D433" t="n">
        <v>-0.5917980198796532</v>
      </c>
      <c r="E433" t="n">
        <v>-0.9620126073320294</v>
      </c>
      <c r="F433" t="n">
        <v>-0.2191461965931621</v>
      </c>
      <c r="G433" t="n">
        <v>0.3668729669455496</v>
      </c>
      <c r="H433" t="n">
        <v>0.2177087577900004</v>
      </c>
      <c r="I433" t="n">
        <v>0.8083658806370614</v>
      </c>
      <c r="J433" t="n">
        <v>-0.03541097223756275</v>
      </c>
      <c r="K433" t="n">
        <v>0.05100399192864113</v>
      </c>
      <c r="L433" t="n">
        <v>1.355414967686645</v>
      </c>
      <c r="M433" t="n">
        <v>-0.0891827144968344</v>
      </c>
      <c r="N433" t="n">
        <v>-0.7973238086164693</v>
      </c>
      <c r="O433" t="n">
        <v>-0.6145632266432803</v>
      </c>
      <c r="P433" t="n">
        <v>0.2674133840879054</v>
      </c>
      <c r="Q433" t="n">
        <v>0.6186153368127303</v>
      </c>
      <c r="R433" t="n">
        <v>-0.01450975400083309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inlineStr">
        <is>
          <t>2023-12-07</t>
        </is>
      </c>
      <c r="B434" t="n">
        <v>1</v>
      </c>
      <c r="C434" t="n">
        <v>-0.781162245225241</v>
      </c>
      <c r="D434" t="n">
        <v>-0.5912874149773649</v>
      </c>
      <c r="E434" t="n">
        <v>-0.9804551968248211</v>
      </c>
      <c r="F434" t="n">
        <v>-0.1870484048656897</v>
      </c>
      <c r="G434" t="n">
        <v>0.4542943381555961</v>
      </c>
      <c r="H434" t="n">
        <v>0.2676179331327377</v>
      </c>
      <c r="I434" t="n">
        <v>0.9524710601829306</v>
      </c>
      <c r="J434" t="n">
        <v>-0.06765948474604597</v>
      </c>
      <c r="K434" t="n">
        <v>-0.1497664428833674</v>
      </c>
      <c r="L434" t="n">
        <v>0.1316982601018331</v>
      </c>
      <c r="M434" t="n">
        <v>-0.1079746375497218</v>
      </c>
      <c r="N434" t="n">
        <v>-0.180160192575284</v>
      </c>
      <c r="O434" t="n">
        <v>-0.3191853322512164</v>
      </c>
      <c r="P434" t="n">
        <v>-0.3351766071331188</v>
      </c>
      <c r="Q434" t="n">
        <v>-0.3009448500247113</v>
      </c>
      <c r="R434" t="n">
        <v>-0.2488136175062554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</row>
    <row r="435">
      <c r="A435" t="inlineStr">
        <is>
          <t>2023-12-12</t>
        </is>
      </c>
      <c r="B435" t="n">
        <v>1</v>
      </c>
      <c r="C435" t="n">
        <v>-1.078730910635377</v>
      </c>
      <c r="D435" t="n">
        <v>-0.6609069130927792</v>
      </c>
      <c r="E435" t="n">
        <v>-0.9875151812047237</v>
      </c>
      <c r="F435" t="n">
        <v>-0.41278733839997</v>
      </c>
      <c r="G435" t="n">
        <v>0.006472625109753306</v>
      </c>
      <c r="H435" t="n">
        <v>-0.03085285943028475</v>
      </c>
      <c r="I435" t="n">
        <v>-0.880224528170464</v>
      </c>
      <c r="J435" t="n">
        <v>-0.2063921312345761</v>
      </c>
      <c r="K435" t="n">
        <v>0.09098599819145334</v>
      </c>
      <c r="L435" t="n">
        <v>0.6220907193820271</v>
      </c>
      <c r="M435" t="n">
        <v>0.2236649066667495</v>
      </c>
      <c r="N435" t="n">
        <v>-0.9929421746797981</v>
      </c>
      <c r="O435" t="n">
        <v>-0.7219459366184116</v>
      </c>
      <c r="P435" t="n">
        <v>-0.5992550302150542</v>
      </c>
      <c r="Q435" t="n">
        <v>-0.4992054593168374</v>
      </c>
      <c r="R435" t="n">
        <v>-0.9082495202768398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2023-12-18</t>
        </is>
      </c>
      <c r="B436" t="n">
        <v>1</v>
      </c>
      <c r="C436" t="n">
        <v>-0.8846098495725081</v>
      </c>
      <c r="D436" t="n">
        <v>-0.3076633429850675</v>
      </c>
      <c r="E436" t="n">
        <v>-0.8386148105611602</v>
      </c>
      <c r="F436" t="n">
        <v>-0.7132734201909267</v>
      </c>
      <c r="G436" t="n">
        <v>-0.000263789513838425</v>
      </c>
      <c r="H436" t="n">
        <v>0.00617736282335932</v>
      </c>
      <c r="I436" t="n">
        <v>0.8133824805105572</v>
      </c>
      <c r="J436" t="n">
        <v>-0.07119348012103319</v>
      </c>
      <c r="K436" t="n">
        <v>0.3326576593817745</v>
      </c>
      <c r="L436" t="n">
        <v>-1.034290694410107</v>
      </c>
      <c r="M436" t="n">
        <v>0.9971914810387456</v>
      </c>
      <c r="N436" t="n">
        <v>-0.8550641036414643</v>
      </c>
      <c r="O436" t="n">
        <v>-0.1365872431550313</v>
      </c>
      <c r="P436" t="n">
        <v>-0.6580391886793663</v>
      </c>
      <c r="Q436" t="n">
        <v>-0.576129326649922</v>
      </c>
      <c r="R436" t="n">
        <v>-0.6153418402029951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0.08488401136176739</v>
      </c>
      <c r="AJ436" t="n">
        <v>0.3333333333333333</v>
      </c>
    </row>
    <row r="437">
      <c r="A437" t="inlineStr">
        <is>
          <t>2023-12-19</t>
        </is>
      </c>
      <c r="B437" t="n">
        <v>1</v>
      </c>
      <c r="C437" t="n">
        <v>-0.9020278745945493</v>
      </c>
      <c r="D437" t="n">
        <v>-0.667684891315711</v>
      </c>
      <c r="E437" t="n">
        <v>-0.7962075469695217</v>
      </c>
      <c r="F437" t="n">
        <v>-0.1889713205956425</v>
      </c>
      <c r="G437" t="n">
        <v>-0.1031867775393754</v>
      </c>
      <c r="H437" t="n">
        <v>-0.05808596410299577</v>
      </c>
      <c r="I437" t="n">
        <v>1.067608962384281</v>
      </c>
      <c r="J437" t="n">
        <v>-0.6228938168853326</v>
      </c>
      <c r="K437" t="n">
        <v>0.3032365002984908</v>
      </c>
      <c r="L437" t="n">
        <v>0.3671201397755645</v>
      </c>
      <c r="M437" t="n">
        <v>-0.04692923850657816</v>
      </c>
      <c r="N437" t="n">
        <v>-0.6286235160345436</v>
      </c>
      <c r="O437" t="n">
        <v>-0.6904940310152663</v>
      </c>
      <c r="P437" t="n">
        <v>-0.4921802315682899</v>
      </c>
      <c r="Q437" t="n">
        <v>-0.3977720781207405</v>
      </c>
      <c r="R437" t="n">
        <v>-0.3746527070442637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inlineStr">
        <is>
          <t>2023-12-21</t>
        </is>
      </c>
      <c r="B438" t="n">
        <v>1</v>
      </c>
      <c r="C438" t="n">
        <v>-0.4706556895648695</v>
      </c>
      <c r="D438" t="n">
        <v>-0.2055511661982843</v>
      </c>
      <c r="E438" t="n">
        <v>-0.4744124100824398</v>
      </c>
      <c r="F438" t="n">
        <v>-0.4531292245800941</v>
      </c>
      <c r="G438" t="n">
        <v>-0.08435821437928552</v>
      </c>
      <c r="H438" t="n">
        <v>0.03413341549319195</v>
      </c>
      <c r="I438" t="n">
        <v>1.701150015534908</v>
      </c>
      <c r="J438" t="n">
        <v>-0.06765948474604597</v>
      </c>
      <c r="K438" t="n">
        <v>-0.1497664428833674</v>
      </c>
      <c r="L438" t="n">
        <v>0.1316982601018331</v>
      </c>
      <c r="M438" t="n">
        <v>-0.1079746375497218</v>
      </c>
      <c r="N438" t="n">
        <v>-0.180160192575284</v>
      </c>
      <c r="O438" t="n">
        <v>-0.3191853322512164</v>
      </c>
      <c r="P438" t="n">
        <v>-0.3351766071331188</v>
      </c>
      <c r="Q438" t="n">
        <v>-0.3009448500247113</v>
      </c>
      <c r="R438" t="n">
        <v>-0.2488136175062554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</row>
    <row r="439">
      <c r="A439" t="inlineStr">
        <is>
          <t>2023-12-28</t>
        </is>
      </c>
      <c r="B439" t="n">
        <v>1</v>
      </c>
      <c r="C439" t="n">
        <v>-0.870113539558826</v>
      </c>
      <c r="D439" t="n">
        <v>-0.1138754219668028</v>
      </c>
      <c r="E439" t="n">
        <v>-0.4777747969473155</v>
      </c>
      <c r="F439" t="n">
        <v>-0.913495002974877</v>
      </c>
      <c r="G439" t="n">
        <v>-0.5503793841753497</v>
      </c>
      <c r="H439" t="n">
        <v>-0.3732176488502116</v>
      </c>
      <c r="I439" t="n">
        <v>0.9680531683336443</v>
      </c>
      <c r="J439" t="n">
        <v>-0.2452572976573567</v>
      </c>
      <c r="K439" t="n">
        <v>0.1992632434183756</v>
      </c>
      <c r="L439" t="n">
        <v>0.7389139798399404</v>
      </c>
      <c r="M439" t="n">
        <v>-0.5623346370147781</v>
      </c>
      <c r="N439" t="n">
        <v>-0.7685564018424504</v>
      </c>
      <c r="O439" t="n">
        <v>0.28963673127266</v>
      </c>
      <c r="P439" t="n">
        <v>1.402514990083439</v>
      </c>
      <c r="Q439" t="n">
        <v>-0.51296434266609</v>
      </c>
      <c r="R439" t="n">
        <v>0.4397093861066121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0.1868435128174436</v>
      </c>
      <c r="AJ439" t="n">
        <v>0.3333333333333333</v>
      </c>
    </row>
    <row r="440">
      <c r="A440" t="inlineStr">
        <is>
          <t>2023-12-29</t>
        </is>
      </c>
      <c r="B440" t="n">
        <v>1</v>
      </c>
      <c r="C440" t="n">
        <v>-0.5301489545997391</v>
      </c>
      <c r="D440" t="n">
        <v>-0.1370863704367484</v>
      </c>
      <c r="E440" t="n">
        <v>-0.5179056300792581</v>
      </c>
      <c r="F440" t="n">
        <v>-0.5905507973207609</v>
      </c>
      <c r="G440" t="n">
        <v>-0.0879877110492739</v>
      </c>
      <c r="H440" t="n">
        <v>0.02044494523532196</v>
      </c>
      <c r="I440" t="n">
        <v>-1.448439485181407</v>
      </c>
      <c r="J440" t="n">
        <v>0.564418149735903</v>
      </c>
      <c r="K440" t="n">
        <v>-0.3343580211615882</v>
      </c>
      <c r="L440" t="n">
        <v>-0.7258259342536163</v>
      </c>
      <c r="M440" t="n">
        <v>-0.05389720976392414</v>
      </c>
      <c r="N440" t="n">
        <v>-0.7743098831972539</v>
      </c>
      <c r="O440" t="n">
        <v>-0.4867758570885547</v>
      </c>
      <c r="P440" t="n">
        <v>-0.5405624470971562</v>
      </c>
      <c r="Q440" t="n">
        <v>-0.3001144398971042</v>
      </c>
      <c r="R440" t="n">
        <v>-0.4203425642697661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2024-01-02</t>
        </is>
      </c>
      <c r="B441" t="n">
        <v>1</v>
      </c>
      <c r="C441" t="n">
        <v>-0.5176228864013707</v>
      </c>
      <c r="D441" t="n">
        <v>-0.4836720645875984</v>
      </c>
      <c r="E441" t="n">
        <v>-0.4867614608269026</v>
      </c>
      <c r="F441" t="n">
        <v>-0.08516107923702809</v>
      </c>
      <c r="G441" t="n">
        <v>-0.1210013631753697</v>
      </c>
      <c r="H441" t="n">
        <v>-0.0006993224139040757</v>
      </c>
      <c r="I441" t="n">
        <v>-0.8960759288475031</v>
      </c>
      <c r="J441" t="n">
        <v>0.7140673411689643</v>
      </c>
      <c r="K441" t="n">
        <v>-0.6632945205535457</v>
      </c>
      <c r="L441" t="n">
        <v>-0.5991609323992858</v>
      </c>
      <c r="M441" t="n">
        <v>-0.9825332527774803</v>
      </c>
      <c r="N441" t="n">
        <v>-0.8180774377891544</v>
      </c>
      <c r="O441" t="n">
        <v>0.03502856982132944</v>
      </c>
      <c r="P441" t="n">
        <v>-0.06773742435619197</v>
      </c>
      <c r="Q441" t="n">
        <v>0.285432603260415</v>
      </c>
      <c r="R441" t="n">
        <v>-0.5773463770284933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inlineStr">
        <is>
          <t>2024-01-03</t>
        </is>
      </c>
      <c r="B442" t="n">
        <v>1</v>
      </c>
      <c r="C442" t="n">
        <v>-0.7583628829746102</v>
      </c>
      <c r="D442" t="n">
        <v>-0.4208546121793104</v>
      </c>
      <c r="E442" t="n">
        <v>-0.728091189494112</v>
      </c>
      <c r="F442" t="n">
        <v>-0.4369336532923289</v>
      </c>
      <c r="G442" t="n">
        <v>-0.02847360346194657</v>
      </c>
      <c r="H442" t="n">
        <v>0.01530452535073512</v>
      </c>
      <c r="I442" t="n">
        <v>0.06860351473884575</v>
      </c>
      <c r="J442" t="n">
        <v>-0.5697444441089305</v>
      </c>
      <c r="K442" t="n">
        <v>0.06347689694210971</v>
      </c>
      <c r="L442" t="n">
        <v>-0.4605812474867784</v>
      </c>
      <c r="M442" t="n">
        <v>0.4491425386007783</v>
      </c>
      <c r="N442" t="n">
        <v>-0.5010195188440739</v>
      </c>
      <c r="O442" t="n">
        <v>-0.9703948889101145</v>
      </c>
      <c r="P442" t="n">
        <v>-0.4281007021641252</v>
      </c>
      <c r="Q442" t="n">
        <v>-0.3293922753669069</v>
      </c>
      <c r="R442" t="n">
        <v>-0.6205835700451822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inlineStr">
        <is>
          <t>2024-01-04</t>
        </is>
      </c>
      <c r="B443" t="n">
        <v>1</v>
      </c>
      <c r="C443" t="n">
        <v>-0.6524971888682227</v>
      </c>
      <c r="D443" t="n">
        <v>-0.3311839959967246</v>
      </c>
      <c r="E443" t="n">
        <v>-0.6920035925322968</v>
      </c>
      <c r="F443" t="n">
        <v>-0.457775069359816</v>
      </c>
      <c r="G443" t="n">
        <v>0.04801701917857334</v>
      </c>
      <c r="H443" t="n">
        <v>0.08480083637995239</v>
      </c>
      <c r="I443" t="n">
        <v>-0.5624625533562723</v>
      </c>
      <c r="J443" t="n">
        <v>-0.06765948474604597</v>
      </c>
      <c r="K443" t="n">
        <v>-0.1497664428833674</v>
      </c>
      <c r="L443" t="n">
        <v>0.1316982601018331</v>
      </c>
      <c r="M443" t="n">
        <v>-0.1079746375497218</v>
      </c>
      <c r="N443" t="n">
        <v>-0.180160192575284</v>
      </c>
      <c r="O443" t="n">
        <v>-0.3191853322512164</v>
      </c>
      <c r="P443" t="n">
        <v>-0.3351766071331188</v>
      </c>
      <c r="Q443" t="n">
        <v>-0.3009448500247113</v>
      </c>
      <c r="R443" t="n">
        <v>-0.2488136175062554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</row>
    <row r="444">
      <c r="A444" t="inlineStr">
        <is>
          <t>2024-01-08</t>
        </is>
      </c>
      <c r="B444" t="n">
        <v>1</v>
      </c>
      <c r="C444" t="n">
        <v>-1.077468105586452</v>
      </c>
      <c r="D444" t="n">
        <v>-0.7695948871919223</v>
      </c>
      <c r="E444" t="n">
        <v>-0.6533632165048568</v>
      </c>
      <c r="F444" t="n">
        <v>-0.2102151010723215</v>
      </c>
      <c r="G444" t="n">
        <v>-0.5666379794492072</v>
      </c>
      <c r="H444" t="n">
        <v>-0.3947009909390657</v>
      </c>
      <c r="I444" t="n">
        <v>0.027414614330292</v>
      </c>
      <c r="J444" t="n">
        <v>-0.3267735276887979</v>
      </c>
      <c r="K444" t="n">
        <v>0.1310532390453582</v>
      </c>
      <c r="L444" t="n">
        <v>0.0198418618828665</v>
      </c>
      <c r="M444" t="n">
        <v>-0.6269297129871664</v>
      </c>
      <c r="N444" t="n">
        <v>-0.9442430646409234</v>
      </c>
      <c r="O444" t="n">
        <v>-0.8676938987552589</v>
      </c>
      <c r="P444" t="n">
        <v>-0.7225876330426939</v>
      </c>
      <c r="Q444" t="n">
        <v>-0.5986012528727046</v>
      </c>
      <c r="R444" t="n">
        <v>-0.305660833359194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inlineStr">
        <is>
          <t>2024-01-10</t>
        </is>
      </c>
      <c r="B445" t="n">
        <v>1</v>
      </c>
      <c r="C445" t="n">
        <v>-0.8196045149139575</v>
      </c>
      <c r="D445" t="n">
        <v>-0.5576310094219226</v>
      </c>
      <c r="E445" t="n">
        <v>-0.5356345976181599</v>
      </c>
      <c r="F445" t="n">
        <v>-0.288639924447042</v>
      </c>
      <c r="G445" t="n">
        <v>-0.4112549030417112</v>
      </c>
      <c r="H445" t="n">
        <v>-0.2580191777109002</v>
      </c>
      <c r="I445" t="n">
        <v>0.1666893004547737</v>
      </c>
      <c r="J445" t="n">
        <v>-1.085345736907078</v>
      </c>
      <c r="K445" t="n">
        <v>0.05063124285056766</v>
      </c>
      <c r="L445" t="n">
        <v>-0.08277311402438553</v>
      </c>
      <c r="M445" t="n">
        <v>0.3851265998956269</v>
      </c>
      <c r="N445" t="n">
        <v>-0.2813598199767433</v>
      </c>
      <c r="O445" t="n">
        <v>-0.9079036735885203</v>
      </c>
      <c r="P445" t="n">
        <v>-0.6346582015728535</v>
      </c>
      <c r="Q445" t="n">
        <v>-0.3962358216020438</v>
      </c>
      <c r="R445" t="n">
        <v>-0.5737299983742908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0.4970072396863786</v>
      </c>
      <c r="AJ445" t="n">
        <v>0.3333333333333333</v>
      </c>
    </row>
    <row r="446">
      <c r="A446" t="inlineStr">
        <is>
          <t>2024-01-11</t>
        </is>
      </c>
      <c r="B446" t="n">
        <v>1</v>
      </c>
      <c r="C446" t="n">
        <v>-0.7867305060918929</v>
      </c>
      <c r="D446" t="n">
        <v>-0.7228272974212024</v>
      </c>
      <c r="E446" t="n">
        <v>-0.5388786749371265</v>
      </c>
      <c r="F446" t="n">
        <v>0.06221727528790469</v>
      </c>
      <c r="G446" t="n">
        <v>-0.3667139138265437</v>
      </c>
      <c r="H446" t="n">
        <v>-0.2206482099295136</v>
      </c>
      <c r="I446" t="n">
        <v>-0.02567923208306445</v>
      </c>
      <c r="J446" t="n">
        <v>-0.06765948474604597</v>
      </c>
      <c r="K446" t="n">
        <v>-0.1497664428833674</v>
      </c>
      <c r="L446" t="n">
        <v>0.1316982601018331</v>
      </c>
      <c r="M446" t="n">
        <v>-0.1079746375497218</v>
      </c>
      <c r="N446" t="n">
        <v>-0.180160192575284</v>
      </c>
      <c r="O446" t="n">
        <v>-0.3191853322512164</v>
      </c>
      <c r="P446" t="n">
        <v>-0.3351766071331188</v>
      </c>
      <c r="Q446" t="n">
        <v>-0.3009448500247113</v>
      </c>
      <c r="R446" t="n">
        <v>-0.2488136175062554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0.5053258704069109</v>
      </c>
      <c r="AJ446" t="n">
        <v>0.6666666666666666</v>
      </c>
    </row>
    <row r="447">
      <c r="A447" t="inlineStr">
        <is>
          <t>2024-01-15</t>
        </is>
      </c>
      <c r="B447" t="n">
        <v>1</v>
      </c>
      <c r="C447" t="n">
        <v>-0.6849090753985821</v>
      </c>
      <c r="D447" t="n">
        <v>-0.4384553595519051</v>
      </c>
      <c r="E447" t="n">
        <v>-0.5724870679393561</v>
      </c>
      <c r="F447" t="n">
        <v>-0.3347774322400668</v>
      </c>
      <c r="G447" t="n">
        <v>-0.1917418425193895</v>
      </c>
      <c r="H447" t="n">
        <v>-0.07915236863518886</v>
      </c>
      <c r="I447" t="n">
        <v>0.5459427485323153</v>
      </c>
      <c r="J447" t="n">
        <v>-0.1394230144434943</v>
      </c>
      <c r="K447" t="n">
        <v>0.2623750565639876</v>
      </c>
      <c r="L447" t="n">
        <v>1.468534215391881</v>
      </c>
      <c r="M447" t="n">
        <v>0.4602174279544183</v>
      </c>
      <c r="N447" t="n">
        <v>-0.6308838122810737</v>
      </c>
      <c r="O447" t="n">
        <v>-0.7769483600733875</v>
      </c>
      <c r="P447" t="n">
        <v>-0.6408843869245068</v>
      </c>
      <c r="Q447" t="n">
        <v>-0.4882576862938333</v>
      </c>
      <c r="R447" t="n">
        <v>-0.4434574264481036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0.5529613349961073</v>
      </c>
      <c r="AJ447" t="n">
        <v>1</v>
      </c>
    </row>
    <row r="448">
      <c r="A448" t="inlineStr">
        <is>
          <t>2024-01-16</t>
        </is>
      </c>
      <c r="B448" t="n">
        <v>1</v>
      </c>
      <c r="C448" t="n">
        <v>-0.740022025300098</v>
      </c>
      <c r="D448" t="n">
        <v>-0.3188173946331525</v>
      </c>
      <c r="E448" t="n">
        <v>-0.6055463492482107</v>
      </c>
      <c r="F448" t="n">
        <v>-0.5594811909000852</v>
      </c>
      <c r="G448" t="n">
        <v>-0.2088671507533056</v>
      </c>
      <c r="H448" t="n">
        <v>-0.09973545715606735</v>
      </c>
      <c r="I448" t="n">
        <v>-0.4078371786173278</v>
      </c>
      <c r="J448" t="n">
        <v>-0.4128463490455833</v>
      </c>
      <c r="K448" t="n">
        <v>0.1649496303969593</v>
      </c>
      <c r="L448" t="n">
        <v>-0.4633446897264647</v>
      </c>
      <c r="M448" t="n">
        <v>-0.3536497466861356</v>
      </c>
      <c r="N448" t="n">
        <v>-0.5595817397768981</v>
      </c>
      <c r="O448" t="n">
        <v>-0.8812915919831577</v>
      </c>
      <c r="P448" t="n">
        <v>-0.5590039501370198</v>
      </c>
      <c r="Q448" t="n">
        <v>-0.2899663417772395</v>
      </c>
      <c r="R448" t="n">
        <v>-0.3345538008911911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0.3750556712271282</v>
      </c>
      <c r="AJ448" t="n">
        <v>0</v>
      </c>
    </row>
    <row r="449">
      <c r="A449" t="inlineStr">
        <is>
          <t>2024-01-17</t>
        </is>
      </c>
      <c r="B449" t="n">
        <v>1</v>
      </c>
      <c r="C449" t="n">
        <v>0.02084361169125148</v>
      </c>
      <c r="D449" t="n">
        <v>-0.3931662410264584</v>
      </c>
      <c r="E449" t="n">
        <v>-0.609377630726716</v>
      </c>
      <c r="F449" t="n">
        <v>0.311013029440447</v>
      </c>
      <c r="G449" t="n">
        <v>0.7550671741416337</v>
      </c>
      <c r="H449" t="n">
        <v>0.6873499779658604</v>
      </c>
      <c r="I449" t="n">
        <v>0.07275122125908491</v>
      </c>
      <c r="J449" t="n">
        <v>1.222381327862987</v>
      </c>
      <c r="K449" t="n">
        <v>-2.05528259745939</v>
      </c>
      <c r="L449" t="n">
        <v>-1.799044922247969</v>
      </c>
      <c r="M449" t="n">
        <v>-0.1079495498709101</v>
      </c>
      <c r="N449" t="n">
        <v>-0.5612255915925562</v>
      </c>
      <c r="O449" t="n">
        <v>3</v>
      </c>
      <c r="P449" t="n">
        <v>2.935862188838324</v>
      </c>
      <c r="Q449" t="n">
        <v>3</v>
      </c>
      <c r="R449" t="n">
        <v>0.6694955996821347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0.2321018042843449</v>
      </c>
      <c r="AJ449" t="n">
        <v>0</v>
      </c>
    </row>
    <row r="450">
      <c r="A450" t="inlineStr">
        <is>
          <t>2024-01-18</t>
        </is>
      </c>
      <c r="B450" t="n">
        <v>1</v>
      </c>
      <c r="C450" t="n">
        <v>0.3411105023686518</v>
      </c>
      <c r="D450" t="n">
        <v>0.2628286900525642</v>
      </c>
      <c r="E450" t="n">
        <v>-0.1686692049834693</v>
      </c>
      <c r="F450" t="n">
        <v>-0.3419195524883204</v>
      </c>
      <c r="G450" t="n">
        <v>0.3417083436673812</v>
      </c>
      <c r="H450" t="n">
        <v>0.5353031338025679</v>
      </c>
      <c r="I450" t="n">
        <v>1.627606207137408</v>
      </c>
      <c r="J450" t="n">
        <v>-0.06765948474604597</v>
      </c>
      <c r="K450" t="n">
        <v>-0.1497664428833674</v>
      </c>
      <c r="L450" t="n">
        <v>0.1316982601018331</v>
      </c>
      <c r="M450" t="n">
        <v>-0.1079746375497218</v>
      </c>
      <c r="N450" t="n">
        <v>-0.180160192575284</v>
      </c>
      <c r="O450" t="n">
        <v>-0.3191853322512164</v>
      </c>
      <c r="P450" t="n">
        <v>-0.3351766071331188</v>
      </c>
      <c r="Q450" t="n">
        <v>-0.3009448500247113</v>
      </c>
      <c r="R450" t="n">
        <v>-0.2488136175062554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</row>
    <row r="451">
      <c r="A451" t="inlineStr">
        <is>
          <t>2024-01-23</t>
        </is>
      </c>
      <c r="B451" t="n">
        <v>1</v>
      </c>
      <c r="C451" t="n">
        <v>0.3508802001221882</v>
      </c>
      <c r="D451" t="n">
        <v>0.1229733330692813</v>
      </c>
      <c r="E451" t="n">
        <v>-0.3594711894945186</v>
      </c>
      <c r="F451" t="n">
        <v>-0.1737934147043816</v>
      </c>
      <c r="G451" t="n">
        <v>0.6660484030114113</v>
      </c>
      <c r="H451" t="n">
        <v>0.753856292680349</v>
      </c>
      <c r="I451" t="n">
        <v>0.9391146982087181</v>
      </c>
      <c r="J451" t="n">
        <v>1.243849334644604</v>
      </c>
      <c r="K451" t="n">
        <v>-0.5322619811266359</v>
      </c>
      <c r="L451" t="n">
        <v>1.907713225515805</v>
      </c>
      <c r="M451" t="n">
        <v>0.09942543229690334</v>
      </c>
      <c r="N451" t="n">
        <v>-0.3095107823198906</v>
      </c>
      <c r="O451" t="n">
        <v>-0.07956051150298837</v>
      </c>
      <c r="P451" t="n">
        <v>-0.2369687059192226</v>
      </c>
      <c r="Q451" t="n">
        <v>-0.2727593121411178</v>
      </c>
      <c r="R451" t="n">
        <v>-0.7356645474670958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inlineStr">
        <is>
          <t>2024-01-24</t>
        </is>
      </c>
      <c r="B452" t="n">
        <v>1</v>
      </c>
      <c r="C452" t="n">
        <v>0.6040414910972643</v>
      </c>
      <c r="D452" t="n">
        <v>0.5740908565658354</v>
      </c>
      <c r="E452" t="n">
        <v>-0.0498546200715862</v>
      </c>
      <c r="F452" t="n">
        <v>-0.4688536122114402</v>
      </c>
      <c r="G452" t="n">
        <v>0.4279019103138398</v>
      </c>
      <c r="H452" t="n">
        <v>0.6760123877495413</v>
      </c>
      <c r="I452" t="n">
        <v>1.073689246478161</v>
      </c>
      <c r="J452" t="n">
        <v>-0.06765948474604597</v>
      </c>
      <c r="K452" t="n">
        <v>-0.1497664428833674</v>
      </c>
      <c r="L452" t="n">
        <v>0.1316982601018331</v>
      </c>
      <c r="M452" t="n">
        <v>-0.1079746375497218</v>
      </c>
      <c r="N452" t="n">
        <v>-0.180160192575284</v>
      </c>
      <c r="O452" t="n">
        <v>-0.3191853322512164</v>
      </c>
      <c r="P452" t="n">
        <v>-0.3351766071331188</v>
      </c>
      <c r="Q452" t="n">
        <v>-0.3009448500247113</v>
      </c>
      <c r="R452" t="n">
        <v>-0.2488136175062554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</row>
    <row r="453">
      <c r="A453" t="inlineStr">
        <is>
          <t>2024-01-25</t>
        </is>
      </c>
      <c r="B453" t="n">
        <v>1</v>
      </c>
      <c r="C453" t="n">
        <v>-0.2153238797118248</v>
      </c>
      <c r="D453" t="n">
        <v>0.7887706063996744</v>
      </c>
      <c r="E453" t="n">
        <v>0.02746601480422844</v>
      </c>
      <c r="F453" t="n">
        <v>-1.142514316228163</v>
      </c>
      <c r="G453" t="n">
        <v>-0.4606849634030332</v>
      </c>
      <c r="H453" t="n">
        <v>-0.2515729539870866</v>
      </c>
      <c r="I453" t="n">
        <v>1.113484881512353</v>
      </c>
      <c r="J453" t="n">
        <v>-1.843226282657328</v>
      </c>
      <c r="K453" t="n">
        <v>0.2438834062444362</v>
      </c>
      <c r="L453" t="n">
        <v>-0.136905933495211</v>
      </c>
      <c r="M453" t="n">
        <v>-0.901666257617723</v>
      </c>
      <c r="N453" t="n">
        <v>1.138722667275007</v>
      </c>
      <c r="O453" t="n">
        <v>-0.5425860248111578</v>
      </c>
      <c r="P453" t="n">
        <v>-0.3084769827963307</v>
      </c>
      <c r="Q453" t="n">
        <v>-0.08895680522759365</v>
      </c>
      <c r="R453" t="n">
        <v>0.192673264001012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0.4957725854249657</v>
      </c>
      <c r="AJ453" t="n">
        <v>0.3333333333333333</v>
      </c>
    </row>
    <row r="454">
      <c r="A454" t="inlineStr">
        <is>
          <t>2024-01-29</t>
        </is>
      </c>
      <c r="B454" t="n">
        <v>1</v>
      </c>
      <c r="C454" t="n">
        <v>0.5811438925783347</v>
      </c>
      <c r="D454" t="n">
        <v>0.8116666027418662</v>
      </c>
      <c r="E454" t="n">
        <v>0.02675437939485531</v>
      </c>
      <c r="F454" t="n">
        <v>-0.681090538640037</v>
      </c>
      <c r="G454" t="n">
        <v>0.2965259509251945</v>
      </c>
      <c r="H454" t="n">
        <v>0.5687365615975827</v>
      </c>
      <c r="I454" t="n">
        <v>1.166813452903487</v>
      </c>
      <c r="J454" t="n">
        <v>0.1807544873251215</v>
      </c>
      <c r="K454" t="n">
        <v>-0.4713822607815523</v>
      </c>
      <c r="L454" t="n">
        <v>1.264833856602437</v>
      </c>
      <c r="M454" t="n">
        <v>-0.4294374468345662</v>
      </c>
      <c r="N454" t="n">
        <v>0.4115237203231993</v>
      </c>
      <c r="O454" t="n">
        <v>-0.6000892101010242</v>
      </c>
      <c r="P454" t="n">
        <v>-0.5615965750857266</v>
      </c>
      <c r="Q454" t="n">
        <v>-0.3788217918816599</v>
      </c>
      <c r="R454" t="n">
        <v>-1.086407760904152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0.3075207991075877</v>
      </c>
      <c r="AJ454" t="n">
        <v>0</v>
      </c>
    </row>
    <row r="455">
      <c r="A455" t="inlineStr">
        <is>
          <t>2024-01-30</t>
        </is>
      </c>
      <c r="B455" t="n">
        <v>1</v>
      </c>
      <c r="C455" t="n">
        <v>0.9095498138242061</v>
      </c>
      <c r="D455" t="n">
        <v>0.9476924444877345</v>
      </c>
      <c r="E455" t="n">
        <v>0.2518372699759252</v>
      </c>
      <c r="F455" t="n">
        <v>-0.5930542562852266</v>
      </c>
      <c r="G455" t="n">
        <v>0.2976477407435558</v>
      </c>
      <c r="H455" t="n">
        <v>0.6606911420836739</v>
      </c>
      <c r="I455" t="n">
        <v>1.455008502016637</v>
      </c>
      <c r="J455" t="n">
        <v>0.5606888056909413</v>
      </c>
      <c r="K455" t="n">
        <v>-0.2946101778987136</v>
      </c>
      <c r="L455" t="n">
        <v>0.7467425884952282</v>
      </c>
      <c r="M455" t="n">
        <v>1.181008883478521</v>
      </c>
      <c r="N455" t="n">
        <v>0.4840586816891181</v>
      </c>
      <c r="O455" t="n">
        <v>-0.6627894254302403</v>
      </c>
      <c r="P455" t="n">
        <v>-0.5865579374182422</v>
      </c>
      <c r="Q455" t="n">
        <v>-0.4288301155877462</v>
      </c>
      <c r="R455" t="n">
        <v>-0.2076673997832783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0.8074869864675445</v>
      </c>
      <c r="AJ455" t="n">
        <v>0.3333333333333333</v>
      </c>
    </row>
    <row r="456">
      <c r="A456" t="inlineStr">
        <is>
          <t>2024-01-31</t>
        </is>
      </c>
      <c r="B456" t="n">
        <v>1</v>
      </c>
      <c r="C456" t="n">
        <v>1.321840658324207</v>
      </c>
      <c r="D456" t="n">
        <v>0.8972036923884625</v>
      </c>
      <c r="E456" t="n">
        <v>0.319838430152224</v>
      </c>
      <c r="F456" t="n">
        <v>-0.3150243408229434</v>
      </c>
      <c r="G456" t="n">
        <v>0.5650626407042877</v>
      </c>
      <c r="H456" t="n">
        <v>1.010612229224298</v>
      </c>
      <c r="I456" t="n">
        <v>1.560964810632128</v>
      </c>
      <c r="J456" t="n">
        <v>1.041948922575592</v>
      </c>
      <c r="K456" t="n">
        <v>-0.4818431944268277</v>
      </c>
      <c r="L456" t="n">
        <v>-0.09853144575506509</v>
      </c>
      <c r="M456" t="n">
        <v>0.7845195361725432</v>
      </c>
      <c r="N456" t="n">
        <v>0.5611142355480981</v>
      </c>
      <c r="O456" t="n">
        <v>0.9831011264312862</v>
      </c>
      <c r="P456" t="n">
        <v>-0.005334032537204859</v>
      </c>
      <c r="Q456" t="n">
        <v>-0.2038607167789176</v>
      </c>
      <c r="R456" t="n">
        <v>0.5827955896739745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0.5208183487687226</v>
      </c>
      <c r="AJ456" t="n">
        <v>0</v>
      </c>
    </row>
    <row r="457">
      <c r="A457" t="inlineStr">
        <is>
          <t>2024-02-01</t>
        </is>
      </c>
      <c r="B457" t="n">
        <v>1</v>
      </c>
      <c r="C457" t="n">
        <v>2.038569546637446</v>
      </c>
      <c r="D457" t="n">
        <v>1.026179964384254</v>
      </c>
      <c r="E457" t="n">
        <v>0.3534752982402387</v>
      </c>
      <c r="F457" t="n">
        <v>-0.02312920701293193</v>
      </c>
      <c r="G457" t="n">
        <v>1.125188329034758</v>
      </c>
      <c r="H457" t="n">
        <v>1.711339153898954</v>
      </c>
      <c r="I457" t="n">
        <v>0.5736510382870438</v>
      </c>
      <c r="J457" t="n">
        <v>1.893311073497611</v>
      </c>
      <c r="K457" t="n">
        <v>-0.2949388529856791</v>
      </c>
      <c r="L457" t="n">
        <v>0.1513026591464433</v>
      </c>
      <c r="M457" t="n">
        <v>2.012605127379553</v>
      </c>
      <c r="N457" t="n">
        <v>0.6642659369806517</v>
      </c>
      <c r="O457" t="n">
        <v>-0.5298395675121989</v>
      </c>
      <c r="P457" t="n">
        <v>-0.4194841084319936</v>
      </c>
      <c r="Q457" t="n">
        <v>-0.4964230204637969</v>
      </c>
      <c r="R457" t="n">
        <v>-0.3379540377724792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0.2008564306375411</v>
      </c>
      <c r="AJ457" t="n">
        <v>0</v>
      </c>
    </row>
    <row r="458">
      <c r="A458" t="inlineStr">
        <is>
          <t>2024-02-05</t>
        </is>
      </c>
      <c r="B458" t="n">
        <v>1</v>
      </c>
      <c r="C458" t="n">
        <v>0.03413360220474483</v>
      </c>
      <c r="D458" t="n">
        <v>0.6230874567884365</v>
      </c>
      <c r="E458" t="n">
        <v>0.3224451722489338</v>
      </c>
      <c r="F458" t="n">
        <v>-0.8760214205922915</v>
      </c>
      <c r="G458" t="n">
        <v>-0.5360703272458339</v>
      </c>
      <c r="H458" t="n">
        <v>-0.3172327618411314</v>
      </c>
      <c r="I458" t="n">
        <v>0.2304802804921427</v>
      </c>
      <c r="J458" t="n">
        <v>-1.191012036182653</v>
      </c>
      <c r="K458" t="n">
        <v>-0.5394132217658117</v>
      </c>
      <c r="L458" t="n">
        <v>-0.09099638763630834</v>
      </c>
      <c r="M458" t="n">
        <v>0.06898371931922372</v>
      </c>
      <c r="N458" t="n">
        <v>0.823514081622542</v>
      </c>
      <c r="O458" t="n">
        <v>-0.488023694284962</v>
      </c>
      <c r="P458" t="n">
        <v>-0.371043003109516</v>
      </c>
      <c r="Q458" t="n">
        <v>-0.3288013882908585</v>
      </c>
      <c r="R458" t="n">
        <v>-0.9305757535168445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inlineStr">
        <is>
          <t>2024-02-06</t>
        </is>
      </c>
      <c r="B459" t="n">
        <v>1</v>
      </c>
      <c r="C459" t="n">
        <v>0.2010332182277954</v>
      </c>
      <c r="D459" t="n">
        <v>0.6421459438673762</v>
      </c>
      <c r="E459" t="n">
        <v>0.3515995984363773</v>
      </c>
      <c r="F459" t="n">
        <v>-0.7844315379530387</v>
      </c>
      <c r="G459" t="n">
        <v>-0.4226540958245558</v>
      </c>
      <c r="H459" t="n">
        <v>-0.1773588263583473</v>
      </c>
      <c r="I459" t="n">
        <v>-0.2603424792080612</v>
      </c>
      <c r="J459" t="n">
        <v>-0.3412481440202063</v>
      </c>
      <c r="K459" t="n">
        <v>-0.2925455895248955</v>
      </c>
      <c r="L459" t="n">
        <v>0.5445863739123552</v>
      </c>
      <c r="M459" t="n">
        <v>0.896727371285151</v>
      </c>
      <c r="N459" t="n">
        <v>0.3675506842543417</v>
      </c>
      <c r="O459" t="n">
        <v>-0.5248876389052077</v>
      </c>
      <c r="P459" t="n">
        <v>-0.4732224452946723</v>
      </c>
      <c r="Q459" t="n">
        <v>-0.4286788735778536</v>
      </c>
      <c r="R459" t="n">
        <v>-0.6570890806719549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0.1147364383944174</v>
      </c>
      <c r="AJ459" t="n">
        <v>0.3333333333333333</v>
      </c>
    </row>
    <row r="460">
      <c r="A460" t="inlineStr">
        <is>
          <t>2024-02-07</t>
        </is>
      </c>
      <c r="B460" t="n">
        <v>1</v>
      </c>
      <c r="C460" t="n">
        <v>-0.1086505678895977</v>
      </c>
      <c r="D460" t="n">
        <v>0.7012321936956917</v>
      </c>
      <c r="E460" t="n">
        <v>0.3320462970249445</v>
      </c>
      <c r="F460" t="n">
        <v>-1.02118030665849</v>
      </c>
      <c r="G460" t="n">
        <v>-0.6664718230987811</v>
      </c>
      <c r="H460" t="n">
        <v>-0.4746433867360452</v>
      </c>
      <c r="I460" t="n">
        <v>-0.6219370601571861</v>
      </c>
      <c r="J460" t="n">
        <v>0.179518973973135</v>
      </c>
      <c r="K460" t="n">
        <v>0.5247354943638216</v>
      </c>
      <c r="L460" t="n">
        <v>1.239056563005186</v>
      </c>
      <c r="M460" t="n">
        <v>0.1063038485945745</v>
      </c>
      <c r="N460" t="n">
        <v>-0.2293730063065518</v>
      </c>
      <c r="O460" t="n">
        <v>-0.5938769143597443</v>
      </c>
      <c r="P460" t="n">
        <v>-0.6053112656136447</v>
      </c>
      <c r="Q460" t="n">
        <v>-0.589564012281559</v>
      </c>
      <c r="R460" t="n">
        <v>-0.5722786479266672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0.001273581749276976</v>
      </c>
      <c r="AJ460" t="n">
        <v>0</v>
      </c>
    </row>
    <row r="461">
      <c r="A461" t="inlineStr">
        <is>
          <t>2024-02-08</t>
        </is>
      </c>
      <c r="B461" t="n">
        <v>1</v>
      </c>
      <c r="C461" t="n">
        <v>-0.8015690322372994</v>
      </c>
      <c r="D461" t="n">
        <v>0.1001943731472491</v>
      </c>
      <c r="E461" t="n">
        <v>0.3319417772605384</v>
      </c>
      <c r="F461" t="n">
        <v>-1.052865075490177</v>
      </c>
      <c r="G461" t="n">
        <v>-1.255094182873082</v>
      </c>
      <c r="H461" t="n">
        <v>-1.187513154880647</v>
      </c>
      <c r="I461" t="n">
        <v>-0.7882670552756406</v>
      </c>
      <c r="J461" t="n">
        <v>-1.598569115634376</v>
      </c>
      <c r="K461" t="n">
        <v>2.30806254081236</v>
      </c>
      <c r="L461" t="n">
        <v>0.6332084228886691</v>
      </c>
      <c r="M461" t="n">
        <v>-0.735019759828888</v>
      </c>
      <c r="N461" t="n">
        <v>0.09857543091726451</v>
      </c>
      <c r="O461" t="n">
        <v>-0.837049206378524</v>
      </c>
      <c r="P461" t="n">
        <v>-0.5496150635485709</v>
      </c>
      <c r="Q461" t="n">
        <v>-0.5251090862814063</v>
      </c>
      <c r="R461" t="n">
        <v>0.3556264851899933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inlineStr">
        <is>
          <t>2024-02-09</t>
        </is>
      </c>
      <c r="B462" t="n">
        <v>1</v>
      </c>
      <c r="C462" t="n">
        <v>-0.140575487186798</v>
      </c>
      <c r="D462" t="n">
        <v>0.07533781563481416</v>
      </c>
      <c r="E462" t="n">
        <v>0.3745912658959627</v>
      </c>
      <c r="F462" t="n">
        <v>-0.5055400382450259</v>
      </c>
      <c r="G462" t="n">
        <v>-0.7310265068169818</v>
      </c>
      <c r="H462" t="n">
        <v>-0.5539841769425516</v>
      </c>
      <c r="I462" t="n">
        <v>-0.436574038667662</v>
      </c>
      <c r="J462" t="n">
        <v>0.06195883448307983</v>
      </c>
      <c r="K462" t="n">
        <v>-0.4549704790485857</v>
      </c>
      <c r="L462" t="n">
        <v>-0.1679394056840912</v>
      </c>
      <c r="M462" t="n">
        <v>0.3515791351981822</v>
      </c>
      <c r="N462" t="n">
        <v>-0.20081108100949</v>
      </c>
      <c r="O462" t="n">
        <v>-0.4432352569850104</v>
      </c>
      <c r="P462" t="n">
        <v>-0.5929119206352685</v>
      </c>
      <c r="Q462" t="n">
        <v>-0.419437615206591</v>
      </c>
      <c r="R462" t="n">
        <v>-0.5174652329860696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0.5505107488996873</v>
      </c>
      <c r="AJ462" t="n">
        <v>0.3333333333333333</v>
      </c>
    </row>
    <row r="463">
      <c r="A463" t="inlineStr">
        <is>
          <t>2024-02-13</t>
        </is>
      </c>
      <c r="B463" t="n">
        <v>1</v>
      </c>
      <c r="C463" t="n">
        <v>0.1125133026652137</v>
      </c>
      <c r="D463" t="n">
        <v>-0.3164871063548005</v>
      </c>
      <c r="E463" t="n">
        <v>0.2925114510666286</v>
      </c>
      <c r="F463" t="n">
        <v>0.2628105328781091</v>
      </c>
      <c r="G463" t="n">
        <v>-0.4398135622264113</v>
      </c>
      <c r="H463" t="n">
        <v>-0.2038730059453158</v>
      </c>
      <c r="I463" t="n">
        <v>-0.6534978650655155</v>
      </c>
      <c r="J463" t="n">
        <v>-0.07270880755235344</v>
      </c>
      <c r="K463" t="n">
        <v>-0.2351922692496209</v>
      </c>
      <c r="L463" t="n">
        <v>0.419194451069562</v>
      </c>
      <c r="M463" t="n">
        <v>0.7029667557515329</v>
      </c>
      <c r="N463" t="n">
        <v>0.1150139490738467</v>
      </c>
      <c r="O463" t="n">
        <v>-0.548946539128211</v>
      </c>
      <c r="P463" t="n">
        <v>-0.5479984601183846</v>
      </c>
      <c r="Q463" t="n">
        <v>-0.473101524842806</v>
      </c>
      <c r="R463" t="n">
        <v>-0.7636803371841391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0.1137609047995284</v>
      </c>
      <c r="AJ463" t="n">
        <v>0</v>
      </c>
    </row>
    <row r="464">
      <c r="A464" t="inlineStr">
        <is>
          <t>2024-02-15</t>
        </is>
      </c>
      <c r="B464" t="n">
        <v>1</v>
      </c>
      <c r="C464" t="n">
        <v>-0.6753273611595927</v>
      </c>
      <c r="D464" t="n">
        <v>-0.5400471203603997</v>
      </c>
      <c r="E464" t="n">
        <v>0.2810480341073249</v>
      </c>
      <c r="F464" t="n">
        <v>-0.1585106669376612</v>
      </c>
      <c r="G464" t="n">
        <v>-1.109715542364546</v>
      </c>
      <c r="H464" t="n">
        <v>-1.002001193640443</v>
      </c>
      <c r="I464" t="n">
        <v>-0.6690805487887871</v>
      </c>
      <c r="J464" t="n">
        <v>-1.977589303181718</v>
      </c>
      <c r="K464" t="n">
        <v>1.541345642527634</v>
      </c>
      <c r="L464" t="n">
        <v>0.4615155910758431</v>
      </c>
      <c r="M464" t="n">
        <v>-0.3284234045951049</v>
      </c>
      <c r="N464" t="n">
        <v>0.6141284566030759</v>
      </c>
      <c r="O464" t="n">
        <v>-0.4704792828951161</v>
      </c>
      <c r="P464" t="n">
        <v>0.408224467933484</v>
      </c>
      <c r="Q464" t="n">
        <v>-0.2089953105306688</v>
      </c>
      <c r="R464" t="n">
        <v>-0.4386634730025965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0.02534989760618676</v>
      </c>
      <c r="AJ464" t="n">
        <v>0</v>
      </c>
    </row>
    <row r="465">
      <c r="A465" t="inlineStr">
        <is>
          <t>2024-02-16</t>
        </is>
      </c>
      <c r="B465" t="n">
        <v>1</v>
      </c>
      <c r="C465" t="n">
        <v>-0.5391187104355971</v>
      </c>
      <c r="D465" t="n">
        <v>-0.5388235085376739</v>
      </c>
      <c r="E465" t="n">
        <v>-0.05678188445418883</v>
      </c>
      <c r="F465" t="n">
        <v>-0.01034836931895891</v>
      </c>
      <c r="G465" t="n">
        <v>-0.6837461354683277</v>
      </c>
      <c r="H465" t="n">
        <v>-0.4926815942576489</v>
      </c>
      <c r="I465" t="n">
        <v>-0.8579836596358786</v>
      </c>
      <c r="J465" t="n">
        <v>-0.2916647022998981</v>
      </c>
      <c r="K465" t="n">
        <v>-0.5563409605123664</v>
      </c>
      <c r="L465" t="n">
        <v>0.8120760126894658</v>
      </c>
      <c r="M465" t="n">
        <v>-0.5713754931198435</v>
      </c>
      <c r="N465" t="n">
        <v>-0.4134844096602736</v>
      </c>
      <c r="O465" t="n">
        <v>-0.2051804268231666</v>
      </c>
      <c r="P465" t="n">
        <v>-0.1176990356707228</v>
      </c>
      <c r="Q465" t="n">
        <v>0.2121781704708857</v>
      </c>
      <c r="R465" t="n">
        <v>-0.3074704587817733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2024-02-19</t>
        </is>
      </c>
      <c r="B466" t="n">
        <v>1</v>
      </c>
      <c r="C466" t="n">
        <v>-0.2124812444716959</v>
      </c>
      <c r="D466" t="n">
        <v>-0.6442783683093649</v>
      </c>
      <c r="E466" t="n">
        <v>-0.0612337352164981</v>
      </c>
      <c r="F466" t="n">
        <v>0.5827364738755737</v>
      </c>
      <c r="G466" t="n">
        <v>-0.3579987502209057</v>
      </c>
      <c r="H466" t="n">
        <v>-0.1517205680862947</v>
      </c>
      <c r="I466" t="n">
        <v>-0.8506956479527772</v>
      </c>
      <c r="J466" t="n">
        <v>1.232690595101516</v>
      </c>
      <c r="K466" t="n">
        <v>-0.07786404958897175</v>
      </c>
      <c r="L466" t="n">
        <v>0.4106190243725052</v>
      </c>
      <c r="M466" t="n">
        <v>0.568996912280445</v>
      </c>
      <c r="N466" t="n">
        <v>-0.7488301800545516</v>
      </c>
      <c r="O466" t="n">
        <v>-0.6739286506720932</v>
      </c>
      <c r="P466" t="n">
        <v>-0.6000418490104283</v>
      </c>
      <c r="Q466" t="n">
        <v>-0.5784296718605493</v>
      </c>
      <c r="R466" t="n">
        <v>-0.4267308683235013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inlineStr">
        <is>
          <t>2024-02-20</t>
        </is>
      </c>
      <c r="B467" t="n">
        <v>1</v>
      </c>
      <c r="C467" t="n">
        <v>-0.07988424309185488</v>
      </c>
      <c r="D467" t="n">
        <v>-0.7730120828577468</v>
      </c>
      <c r="E467" t="n">
        <v>-0.08387581810173352</v>
      </c>
      <c r="F467" t="n">
        <v>1.0873667634322</v>
      </c>
      <c r="G467" t="n">
        <v>-0.1997769387650601</v>
      </c>
      <c r="H467" t="n">
        <v>0.009458510195882308</v>
      </c>
      <c r="I467" t="n">
        <v>-2.150501064241168</v>
      </c>
      <c r="J467" t="n">
        <v>1.149479990652597</v>
      </c>
      <c r="K467" t="n">
        <v>-0.3036914560983834</v>
      </c>
      <c r="L467" t="n">
        <v>-0.3804447526616538</v>
      </c>
      <c r="M467" t="n">
        <v>0.2077908099291272</v>
      </c>
      <c r="N467" t="n">
        <v>-0.6144452941244914</v>
      </c>
      <c r="O467" t="n">
        <v>0.1465579006393077</v>
      </c>
      <c r="P467" t="n">
        <v>0.06564862026005561</v>
      </c>
      <c r="Q467" t="n">
        <v>-0.5435194033231164</v>
      </c>
      <c r="R467" t="n">
        <v>0.05964749715615746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0.06506664091405885</v>
      </c>
      <c r="AJ467" t="n">
        <v>0.3333333333333333</v>
      </c>
    </row>
    <row r="468">
      <c r="A468" t="inlineStr">
        <is>
          <t>2024-02-21</t>
        </is>
      </c>
      <c r="B468" t="n">
        <v>1</v>
      </c>
      <c r="C468" t="n">
        <v>-0.1285098277210642</v>
      </c>
      <c r="D468" t="n">
        <v>-0.8961236198730799</v>
      </c>
      <c r="E468" t="n">
        <v>-0.09461728881005016</v>
      </c>
      <c r="F468" t="n">
        <v>1.418847212883754</v>
      </c>
      <c r="G468" t="n">
        <v>-0.2348335581506804</v>
      </c>
      <c r="H468" t="n">
        <v>-0.02883733631830574</v>
      </c>
      <c r="I468" t="n">
        <v>-2.189918598923517</v>
      </c>
      <c r="J468" t="n">
        <v>0.6624786750295271</v>
      </c>
      <c r="K468" t="n">
        <v>-0.3596252498809357</v>
      </c>
      <c r="L468" t="n">
        <v>0.289190700571538</v>
      </c>
      <c r="M468" t="n">
        <v>-0.06929060578219674</v>
      </c>
      <c r="N468" t="n">
        <v>-0.4652657418535077</v>
      </c>
      <c r="O468" t="n">
        <v>0.1218695989802068</v>
      </c>
      <c r="P468" t="n">
        <v>0.3855286645776939</v>
      </c>
      <c r="Q468" t="n">
        <v>0.153366752624243</v>
      </c>
      <c r="R468" t="n">
        <v>0.7538656235656067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0.01326558855648424</v>
      </c>
      <c r="AJ468" t="n">
        <v>0</v>
      </c>
    </row>
    <row r="469">
      <c r="A469" t="inlineStr">
        <is>
          <t>2024-02-22</t>
        </is>
      </c>
      <c r="B469" t="n">
        <v>1</v>
      </c>
      <c r="C469" t="n">
        <v>-0.6630671728064899</v>
      </c>
      <c r="D469" t="n">
        <v>-0.7199820033749214</v>
      </c>
      <c r="E469" t="n">
        <v>-0.4115908584403491</v>
      </c>
      <c r="F469" t="n">
        <v>0.2101677969782359</v>
      </c>
      <c r="G469" t="n">
        <v>-0.3975886087352232</v>
      </c>
      <c r="H469" t="n">
        <v>-0.2324987198406009</v>
      </c>
      <c r="I469" t="n">
        <v>-0.7546790575092458</v>
      </c>
      <c r="J469" t="n">
        <v>-0.9059596146485059</v>
      </c>
      <c r="K469" t="n">
        <v>1.738622054278323</v>
      </c>
      <c r="L469" t="n">
        <v>0.3819964842241236</v>
      </c>
      <c r="M469" t="n">
        <v>0.2952089313595908</v>
      </c>
      <c r="N469" t="n">
        <v>-0.2086193771338664</v>
      </c>
      <c r="O469" t="n">
        <v>-0.4595203082661338</v>
      </c>
      <c r="P469" t="n">
        <v>-0.002580824365357105</v>
      </c>
      <c r="Q469" t="n">
        <v>-0.5886713989501278</v>
      </c>
      <c r="R469" t="n">
        <v>-0.4495806965739403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inlineStr">
        <is>
          <t>2024-02-26</t>
        </is>
      </c>
      <c r="B470" t="n">
        <v>1</v>
      </c>
      <c r="C470" t="n">
        <v>-0.2492102664677877</v>
      </c>
      <c r="D470" t="n">
        <v>-0.8181356889004198</v>
      </c>
      <c r="E470" t="n">
        <v>-0.563427113523655</v>
      </c>
      <c r="F470" t="n">
        <v>0.9988693516756255</v>
      </c>
      <c r="G470" t="n">
        <v>0.3302054412692177</v>
      </c>
      <c r="H470" t="n">
        <v>0.3592630524283454</v>
      </c>
      <c r="I470" t="n">
        <v>-0.2996372475277679</v>
      </c>
      <c r="J470" t="n">
        <v>0.4909767198379474</v>
      </c>
      <c r="K470" t="n">
        <v>-0.2742540867206421</v>
      </c>
      <c r="L470" t="n">
        <v>-0.3873284672232846</v>
      </c>
      <c r="M470" t="n">
        <v>-0.1477831919916886</v>
      </c>
      <c r="N470" t="n">
        <v>-0.4985537411205864</v>
      </c>
      <c r="O470" t="n">
        <v>-0.3287121053894145</v>
      </c>
      <c r="P470" t="n">
        <v>-0.5605757420332461</v>
      </c>
      <c r="Q470" t="n">
        <v>-0.6030889781385873</v>
      </c>
      <c r="R470" t="n">
        <v>-0.6937330443282618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0.6168612130389374</v>
      </c>
      <c r="AJ470" t="n">
        <v>0.3333333333333333</v>
      </c>
    </row>
    <row r="471">
      <c r="A471" t="inlineStr">
        <is>
          <t>2024-02-27</t>
        </is>
      </c>
      <c r="B471" t="n">
        <v>1</v>
      </c>
      <c r="C471" t="n">
        <v>-0.1140488211753413</v>
      </c>
      <c r="D471" t="n">
        <v>-0.9524351450341663</v>
      </c>
      <c r="E471" t="n">
        <v>-0.7875700877699483</v>
      </c>
      <c r="F471" t="n">
        <v>1.648301261877414</v>
      </c>
      <c r="G471" t="n">
        <v>0.9729825250653698</v>
      </c>
      <c r="H471" t="n">
        <v>0.7432727109211937</v>
      </c>
      <c r="I471" t="n">
        <v>0.0928907668973894</v>
      </c>
      <c r="J471" t="n">
        <v>0.7743523509524651</v>
      </c>
      <c r="K471" t="n">
        <v>-0.3104575335123529</v>
      </c>
      <c r="L471" t="n">
        <v>-0.09438974290430062</v>
      </c>
      <c r="M471" t="n">
        <v>0.4900450958064201</v>
      </c>
      <c r="N471" t="n">
        <v>-0.4987592225975438</v>
      </c>
      <c r="O471" t="n">
        <v>-0.8574807242093814</v>
      </c>
      <c r="P471" t="n">
        <v>-0.6013996128695395</v>
      </c>
      <c r="Q471" t="n">
        <v>-0.4255314066575475</v>
      </c>
      <c r="R471" t="n">
        <v>-0.8519636073297536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0.3365122772957208</v>
      </c>
      <c r="AJ471" t="n">
        <v>0</v>
      </c>
    </row>
    <row r="472">
      <c r="A472" t="inlineStr">
        <is>
          <t>2024-02-28</t>
        </is>
      </c>
      <c r="B472" t="n">
        <v>1</v>
      </c>
      <c r="C472" t="n">
        <v>-0.281386553235774</v>
      </c>
      <c r="D472" t="n">
        <v>-0.9921963506799129</v>
      </c>
      <c r="E472" t="n">
        <v>-0.9433169052976257</v>
      </c>
      <c r="F472" t="n">
        <v>1.550011453602389</v>
      </c>
      <c r="G472" t="n">
        <v>1.127644870203667</v>
      </c>
      <c r="H472" t="n">
        <v>0.7412829239436538</v>
      </c>
      <c r="I472" t="n">
        <v>0.323667930848531</v>
      </c>
      <c r="J472" t="n">
        <v>0.8587870403667747</v>
      </c>
      <c r="K472" t="n">
        <v>0.07315747408555362</v>
      </c>
      <c r="L472" t="n">
        <v>0.2509780312267058</v>
      </c>
      <c r="M472" t="n">
        <v>0.02800035395320095</v>
      </c>
      <c r="N472" t="n">
        <v>-0.6717746261955722</v>
      </c>
      <c r="O472" t="n">
        <v>-0.7234243474035574</v>
      </c>
      <c r="P472" t="n">
        <v>-0.6429239332948568</v>
      </c>
      <c r="Q472" t="n">
        <v>-0.5370500436633564</v>
      </c>
      <c r="R472" t="n">
        <v>-1.501426054250966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inlineStr">
        <is>
          <t>2024-02-29</t>
        </is>
      </c>
      <c r="B473" t="n">
        <v>1</v>
      </c>
      <c r="C473" t="n">
        <v>-0.04041637805143672</v>
      </c>
      <c r="D473" t="n">
        <v>-0.5922268034922241</v>
      </c>
      <c r="E473" t="n">
        <v>-0.7926926320817331</v>
      </c>
      <c r="F473" t="n">
        <v>0.6603512801343473</v>
      </c>
      <c r="G473" t="n">
        <v>1.087584003231244</v>
      </c>
      <c r="H473" t="n">
        <v>0.8246351062740095</v>
      </c>
      <c r="I473" t="n">
        <v>0.8247614009203821</v>
      </c>
      <c r="J473" t="n">
        <v>-0.405443634650653</v>
      </c>
      <c r="K473" t="n">
        <v>0.6730724136452254</v>
      </c>
      <c r="L473" t="n">
        <v>0.1293958157534188</v>
      </c>
      <c r="M473" t="n">
        <v>1.681262353346379</v>
      </c>
      <c r="N473" t="n">
        <v>0.1602198740044475</v>
      </c>
      <c r="O473" t="n">
        <v>-0.3017142718721718</v>
      </c>
      <c r="P473" t="n">
        <v>-0.249930106494595</v>
      </c>
      <c r="Q473" t="n">
        <v>-0.2181129960767207</v>
      </c>
      <c r="R473" t="n">
        <v>0.2830645212709823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0.6163241362145587</v>
      </c>
      <c r="AJ473" t="n">
        <v>0.3333333333333333</v>
      </c>
    </row>
    <row r="474">
      <c r="A474" t="inlineStr">
        <is>
          <t>2024-03-02</t>
        </is>
      </c>
      <c r="B474" t="n">
        <v>1</v>
      </c>
      <c r="C474" t="n">
        <v>-0.4325550639066941</v>
      </c>
      <c r="D474" t="n">
        <v>-0.3299265068887356</v>
      </c>
      <c r="E474" t="n">
        <v>-0.6976169854058514</v>
      </c>
      <c r="F474" t="n">
        <v>-0.2449857690538033</v>
      </c>
      <c r="G474" t="n">
        <v>0.3480270427018679</v>
      </c>
      <c r="H474" t="n">
        <v>0.3172461254312595</v>
      </c>
      <c r="I474" t="n">
        <v>1.316571828618695</v>
      </c>
      <c r="J474" t="n">
        <v>0.6242651531764618</v>
      </c>
      <c r="K474" t="n">
        <v>-0.2224693811828706</v>
      </c>
      <c r="L474" t="n">
        <v>0.4231822534560973</v>
      </c>
      <c r="M474" t="n">
        <v>0.3749929922858481</v>
      </c>
      <c r="N474" t="n">
        <v>-0.7120489956791988</v>
      </c>
      <c r="O474" t="n">
        <v>-1.013667663280292</v>
      </c>
      <c r="P474" t="n">
        <v>-0.7097956274680541</v>
      </c>
      <c r="Q474" t="n">
        <v>-0.5154960341770953</v>
      </c>
      <c r="R474" t="n">
        <v>-0.3742965708649682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1.433381669482599</v>
      </c>
      <c r="AJ474" t="n">
        <v>0.6666666666666666</v>
      </c>
    </row>
    <row r="475">
      <c r="A475" t="inlineStr">
        <is>
          <t>2024-03-04</t>
        </is>
      </c>
      <c r="B475" t="n">
        <v>1</v>
      </c>
      <c r="C475" t="n">
        <v>-0.347786021844059</v>
      </c>
      <c r="D475" t="n">
        <v>-0.3355815368774224</v>
      </c>
      <c r="E475" t="n">
        <v>-0.7599048220106656</v>
      </c>
      <c r="F475" t="n">
        <v>-0.1535931719406615</v>
      </c>
      <c r="G475" t="n">
        <v>0.5889218606924644</v>
      </c>
      <c r="H475" t="n">
        <v>0.4725354901688326</v>
      </c>
      <c r="I475" t="n">
        <v>1.310539525068921</v>
      </c>
      <c r="J475" t="n">
        <v>3</v>
      </c>
      <c r="K475" t="n">
        <v>-0.3348333354439804</v>
      </c>
      <c r="L475" t="n">
        <v>0.2284470152629002</v>
      </c>
      <c r="M475" t="n">
        <v>0.03166491423085675</v>
      </c>
      <c r="N475" t="n">
        <v>-1.697332677689348</v>
      </c>
      <c r="O475" t="n">
        <v>-0.5599891856048871</v>
      </c>
      <c r="P475" t="n">
        <v>-0.2117097466365938</v>
      </c>
      <c r="Q475" t="n">
        <v>-0.473894931601734</v>
      </c>
      <c r="R475" t="n">
        <v>-0.8062892860052607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1.072425486474652</v>
      </c>
      <c r="AJ475" t="n">
        <v>0</v>
      </c>
    </row>
    <row r="476">
      <c r="A476" t="inlineStr">
        <is>
          <t>2024-03-05</t>
        </is>
      </c>
      <c r="B476" t="n">
        <v>1</v>
      </c>
      <c r="C476" t="n">
        <v>-0.4031062031024992</v>
      </c>
      <c r="D476" t="n">
        <v>-0.3443035135682675</v>
      </c>
      <c r="E476" t="n">
        <v>-0.8249007166753298</v>
      </c>
      <c r="F476" t="n">
        <v>-0.1944324782978814</v>
      </c>
      <c r="G476" t="n">
        <v>0.6552435345176351</v>
      </c>
      <c r="H476" t="n">
        <v>0.4866381850425561</v>
      </c>
      <c r="I476" t="n">
        <v>1.469906725690396</v>
      </c>
      <c r="J476" t="n">
        <v>1.241186188045371</v>
      </c>
      <c r="K476" t="n">
        <v>-0.1528725790099019</v>
      </c>
      <c r="L476" t="n">
        <v>-0.3582590247281616</v>
      </c>
      <c r="M476" t="n">
        <v>0.07042768091243193</v>
      </c>
      <c r="N476" t="n">
        <v>-0.9017083989107665</v>
      </c>
      <c r="O476" t="n">
        <v>0.05023108865554902</v>
      </c>
      <c r="P476" t="n">
        <v>0.3096301229293524</v>
      </c>
      <c r="Q476" t="n">
        <v>0.7085575484901775</v>
      </c>
      <c r="R476" t="n">
        <v>-1.422659781065037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0.565509797009848</v>
      </c>
      <c r="AJ476" t="n">
        <v>0</v>
      </c>
    </row>
    <row r="477">
      <c r="A477" t="inlineStr">
        <is>
          <t>2024-03-06</t>
        </is>
      </c>
      <c r="B477" t="n">
        <v>1</v>
      </c>
      <c r="C477" t="n">
        <v>-0.5427430690282187</v>
      </c>
      <c r="D477" t="n">
        <v>-0.4664535489427213</v>
      </c>
      <c r="E477" t="n">
        <v>-0.8172101477446593</v>
      </c>
      <c r="F477" t="n">
        <v>-0.1410958395255811</v>
      </c>
      <c r="G477" t="n">
        <v>0.4411885235291867</v>
      </c>
      <c r="H477" t="n">
        <v>0.3345537806266572</v>
      </c>
      <c r="I477" t="n">
        <v>-0.0927088875615327</v>
      </c>
      <c r="J477" t="n">
        <v>0.3009435545187455</v>
      </c>
      <c r="K477" t="n">
        <v>-0.25895475722607</v>
      </c>
      <c r="L477" t="n">
        <v>-0.3973679756379238</v>
      </c>
      <c r="M477" t="n">
        <v>-0.5468855485950205</v>
      </c>
      <c r="N477" t="n">
        <v>-0.6832815889051795</v>
      </c>
      <c r="O477" t="n">
        <v>-0.7160858909078726</v>
      </c>
      <c r="P477" t="n">
        <v>-0.3936707729421113</v>
      </c>
      <c r="Q477" t="n">
        <v>-0.4311573350071687</v>
      </c>
      <c r="R477" t="n">
        <v>-1.223508968794749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0.1201429755533536</v>
      </c>
      <c r="AJ477" t="n">
        <v>0</v>
      </c>
    </row>
    <row r="478">
      <c r="A478" t="inlineStr">
        <is>
          <t>2024-03-07</t>
        </is>
      </c>
      <c r="B478" t="n">
        <v>1</v>
      </c>
      <c r="C478" t="n">
        <v>-0.8565944295382727</v>
      </c>
      <c r="D478" t="n">
        <v>-0.4926719168021405</v>
      </c>
      <c r="E478" t="n">
        <v>-0.885938918409121</v>
      </c>
      <c r="F478" t="n">
        <v>-0.433010488144381</v>
      </c>
      <c r="G478" t="n">
        <v>0.1333178694286935</v>
      </c>
      <c r="H478" t="n">
        <v>0.08671788881059514</v>
      </c>
      <c r="I478" t="n">
        <v>0.1222344580055861</v>
      </c>
      <c r="J478" t="n">
        <v>-0.853566467766949</v>
      </c>
      <c r="K478" t="n">
        <v>0.3850140633007726</v>
      </c>
      <c r="L478" t="n">
        <v>0.006900118087389526</v>
      </c>
      <c r="M478" t="n">
        <v>-0.4452396405055882</v>
      </c>
      <c r="N478" t="n">
        <v>-0.4588958160678319</v>
      </c>
      <c r="O478" t="n">
        <v>-0.06514833619120887</v>
      </c>
      <c r="P478" t="n">
        <v>0.5143553583009629</v>
      </c>
      <c r="Q478" t="n">
        <v>0.02329192450711383</v>
      </c>
      <c r="R478" t="n">
        <v>0.3492244091992676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0.2269018263021644</v>
      </c>
      <c r="AJ478" t="n">
        <v>0.3333333333333333</v>
      </c>
    </row>
    <row r="479">
      <c r="A479" t="inlineStr">
        <is>
          <t>2024-03-11</t>
        </is>
      </c>
      <c r="B479" t="n">
        <v>1</v>
      </c>
      <c r="C479" t="n">
        <v>-0.5599556278667324</v>
      </c>
      <c r="D479" t="n">
        <v>-0.4846922506272113</v>
      </c>
      <c r="E479" t="n">
        <v>-0.8751073598070894</v>
      </c>
      <c r="F479" t="n">
        <v>-0.1285710961936902</v>
      </c>
      <c r="G479" t="n">
        <v>0.5436821025338037</v>
      </c>
      <c r="H479" t="n">
        <v>0.3801104696837999</v>
      </c>
      <c r="I479" t="n">
        <v>-0.836688975026544</v>
      </c>
      <c r="J479" t="n">
        <v>1.490961835320206</v>
      </c>
      <c r="K479" t="n">
        <v>-0.6936815712281107</v>
      </c>
      <c r="L479" t="n">
        <v>0.257630805546516</v>
      </c>
      <c r="M479" t="n">
        <v>-1.418602501122812</v>
      </c>
      <c r="N479" t="n">
        <v>-1.097326764974095</v>
      </c>
      <c r="O479" t="n">
        <v>0.2864505078627276</v>
      </c>
      <c r="P479" t="n">
        <v>0.4454509805215943</v>
      </c>
      <c r="Q479" t="n">
        <v>-0.08408043821413465</v>
      </c>
      <c r="R479" t="n">
        <v>-0.7056465898257077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inlineStr">
        <is>
          <t>2024-03-12</t>
        </is>
      </c>
      <c r="B480" t="n">
        <v>1</v>
      </c>
      <c r="C480" t="n">
        <v>-0.5966945348338535</v>
      </c>
      <c r="D480" t="n">
        <v>-0.4416302381585912</v>
      </c>
      <c r="E480" t="n">
        <v>-0.9031509628058847</v>
      </c>
      <c r="F480" t="n">
        <v>-0.238170254076087</v>
      </c>
      <c r="G480" t="n">
        <v>0.5538115864387764</v>
      </c>
      <c r="H480" t="n">
        <v>0.3729525725715786</v>
      </c>
      <c r="I480" t="n">
        <v>-0.3617882612460264</v>
      </c>
      <c r="J480" t="n">
        <v>0.6501183482219901</v>
      </c>
      <c r="K480" t="n">
        <v>-0.002577281603029098</v>
      </c>
      <c r="L480" t="n">
        <v>0.3695813128595353</v>
      </c>
      <c r="M480" t="n">
        <v>0.8247708296994548</v>
      </c>
      <c r="N480" t="n">
        <v>-0.8630778812427981</v>
      </c>
      <c r="O480" t="n">
        <v>-0.8478331572515574</v>
      </c>
      <c r="P480" t="n">
        <v>-0.6626392385696592</v>
      </c>
      <c r="Q480" t="n">
        <v>-0.6045499221009241</v>
      </c>
      <c r="R480" t="n">
        <v>-0.4609502967388142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inlineStr">
        <is>
          <t>2024-03-13</t>
        </is>
      </c>
      <c r="B481" t="n">
        <v>1</v>
      </c>
      <c r="C481" t="n">
        <v>-0.5094610776437293</v>
      </c>
      <c r="D481" t="n">
        <v>-0.450746832147074</v>
      </c>
      <c r="E481" t="n">
        <v>-0.929485138316941</v>
      </c>
      <c r="F481" t="n">
        <v>-0.1323647165443748</v>
      </c>
      <c r="G481" t="n">
        <v>0.7469316270425065</v>
      </c>
      <c r="H481" t="n">
        <v>0.4914890368421899</v>
      </c>
      <c r="I481" t="n">
        <v>-0.3009519256176125</v>
      </c>
      <c r="J481" t="n">
        <v>-0.3159385911104679</v>
      </c>
      <c r="K481" t="n">
        <v>0.008128756509263559</v>
      </c>
      <c r="L481" t="n">
        <v>0.511464832697559</v>
      </c>
      <c r="M481" t="n">
        <v>0.394283541168815</v>
      </c>
      <c r="N481" t="n">
        <v>-0.3711552254070742</v>
      </c>
      <c r="O481" t="n">
        <v>-0.825908003779759</v>
      </c>
      <c r="P481" t="n">
        <v>-0.482011923106932</v>
      </c>
      <c r="Q481" t="n">
        <v>-0.3054794120154523</v>
      </c>
      <c r="R481" t="n">
        <v>-0.804781021853649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0.4678584230284468</v>
      </c>
      <c r="AJ481" t="n">
        <v>0.3333333333333333</v>
      </c>
    </row>
    <row r="482">
      <c r="A482" t="inlineStr">
        <is>
          <t>2024-03-14</t>
        </is>
      </c>
      <c r="B482" t="n">
        <v>1</v>
      </c>
      <c r="C482" t="n">
        <v>-0.1673507031705136</v>
      </c>
      <c r="D482" t="n">
        <v>-0.1447843111698168</v>
      </c>
      <c r="E482" t="n">
        <v>-0.5560661992773838</v>
      </c>
      <c r="F482" t="n">
        <v>-0.2606477420751568</v>
      </c>
      <c r="G482" t="n">
        <v>0.4172932700884031</v>
      </c>
      <c r="H482" t="n">
        <v>0.4354493993559518</v>
      </c>
      <c r="I482" t="n">
        <v>1.061794612203193</v>
      </c>
      <c r="J482" t="n">
        <v>-0.9948187791295928</v>
      </c>
      <c r="K482" t="n">
        <v>0.9767449647780218</v>
      </c>
      <c r="L482" t="n">
        <v>-0.1272007406324544</v>
      </c>
      <c r="M482" t="n">
        <v>2.581885253378417</v>
      </c>
      <c r="N482" t="n">
        <v>0.4238526089406358</v>
      </c>
      <c r="O482" t="n">
        <v>-0.6138193266909507</v>
      </c>
      <c r="P482" t="n">
        <v>0.2681220196412927</v>
      </c>
      <c r="Q482" t="n">
        <v>-0.2266555822520524</v>
      </c>
      <c r="R482" t="n">
        <v>-0.4391212315870633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1.003431908725579</v>
      </c>
      <c r="AJ482" t="n">
        <v>0.6666666666666666</v>
      </c>
    </row>
    <row r="483">
      <c r="A483" t="inlineStr">
        <is>
          <t>2024-03-18</t>
        </is>
      </c>
      <c r="B483" t="n">
        <v>1</v>
      </c>
      <c r="C483" t="n">
        <v>-0.2859685903422857</v>
      </c>
      <c r="D483" t="n">
        <v>-0.3085540655754191</v>
      </c>
      <c r="E483" t="n">
        <v>-0.4835187344109753</v>
      </c>
      <c r="F483" t="n">
        <v>-0.1351737274483583</v>
      </c>
      <c r="G483" t="n">
        <v>0.148072538287643</v>
      </c>
      <c r="H483" t="n">
        <v>0.2341196961288905</v>
      </c>
      <c r="I483" t="n">
        <v>0.9994742096352685</v>
      </c>
      <c r="J483" t="n">
        <v>-0.5473833634879846</v>
      </c>
      <c r="K483" t="n">
        <v>-0.3885044460277947</v>
      </c>
      <c r="L483" t="n">
        <v>-0.6017614361582799</v>
      </c>
      <c r="M483" t="n">
        <v>0.2739848677167341</v>
      </c>
      <c r="N483" t="n">
        <v>-0.010329751870093</v>
      </c>
      <c r="O483" t="n">
        <v>-0.3786260783368098</v>
      </c>
      <c r="P483" t="n">
        <v>-0.4912728359803649</v>
      </c>
      <c r="Q483" t="n">
        <v>-0.5589373827164256</v>
      </c>
      <c r="R483" t="n">
        <v>-0.8092953402519594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0.9072184453302543</v>
      </c>
      <c r="AJ483" t="n">
        <v>0</v>
      </c>
    </row>
    <row r="484">
      <c r="A484" t="inlineStr">
        <is>
          <t>2024-03-19</t>
        </is>
      </c>
      <c r="B484" t="n">
        <v>1</v>
      </c>
      <c r="C484" t="n">
        <v>-0.2798783890845282</v>
      </c>
      <c r="D484" t="n">
        <v>-0.3361482134991734</v>
      </c>
      <c r="E484" t="n">
        <v>-0.4974939985666013</v>
      </c>
      <c r="F484" t="n">
        <v>-0.08625511854777727</v>
      </c>
      <c r="G484" t="n">
        <v>0.1785061121457608</v>
      </c>
      <c r="H484" t="n">
        <v>0.2556578504022361</v>
      </c>
      <c r="I484" t="n">
        <v>1.076978568620898</v>
      </c>
      <c r="J484" t="n">
        <v>-0.319701808619438</v>
      </c>
      <c r="K484" t="n">
        <v>-0.5396408901821593</v>
      </c>
      <c r="L484" t="n">
        <v>-0.579956639881699</v>
      </c>
      <c r="M484" t="n">
        <v>-0.08186018020939638</v>
      </c>
      <c r="N484" t="n">
        <v>-0.1356734528140327</v>
      </c>
      <c r="O484" t="n">
        <v>-0.6035239629632612</v>
      </c>
      <c r="P484" t="n">
        <v>-0.5729347504524418</v>
      </c>
      <c r="Q484" t="n">
        <v>-0.4613402978720895</v>
      </c>
      <c r="R484" t="n">
        <v>-0.9438005405895536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0.6086530645112604</v>
      </c>
      <c r="AJ484" t="n">
        <v>0</v>
      </c>
    </row>
    <row r="485">
      <c r="A485" t="inlineStr">
        <is>
          <t>2024-03-20</t>
        </is>
      </c>
      <c r="B485" t="n">
        <v>1</v>
      </c>
      <c r="C485" t="n">
        <v>-0.369003053053263</v>
      </c>
      <c r="D485" t="n">
        <v>-0.2137714725427062</v>
      </c>
      <c r="E485" t="n">
        <v>-0.4132711577862218</v>
      </c>
      <c r="F485" t="n">
        <v>-0.3493801864732648</v>
      </c>
      <c r="G485" t="n">
        <v>-0.05888807219909196</v>
      </c>
      <c r="H485" t="n">
        <v>0.07191706458761084</v>
      </c>
      <c r="I485" t="n">
        <v>0.9881285732151401</v>
      </c>
      <c r="J485" t="n">
        <v>0.06884108504163414</v>
      </c>
      <c r="K485" t="n">
        <v>0.1782007166648844</v>
      </c>
      <c r="L485" t="n">
        <v>0.6674885543799576</v>
      </c>
      <c r="M485" t="n">
        <v>0.6765966935329776</v>
      </c>
      <c r="N485" t="n">
        <v>-0.420881742830735</v>
      </c>
      <c r="O485" t="n">
        <v>-0.6885713653997313</v>
      </c>
      <c r="P485" t="n">
        <v>-0.2707248975927705</v>
      </c>
      <c r="Q485" t="n">
        <v>-0.07909321561965339</v>
      </c>
      <c r="R485" t="n">
        <v>-0.6326826151501331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0.4291280519393695</v>
      </c>
      <c r="AJ485" t="n">
        <v>0</v>
      </c>
    </row>
    <row r="486">
      <c r="A486" t="inlineStr">
        <is>
          <t>2024-03-21</t>
        </is>
      </c>
      <c r="B486" t="n">
        <v>1</v>
      </c>
      <c r="C486" t="n">
        <v>-0.6886650036227372</v>
      </c>
      <c r="D486" t="n">
        <v>-0.1883900331513434</v>
      </c>
      <c r="E486" t="n">
        <v>-0.4518784794184314</v>
      </c>
      <c r="F486" t="n">
        <v>-0.6721282628766299</v>
      </c>
      <c r="G486" t="n">
        <v>-0.3724412932985294</v>
      </c>
      <c r="H486" t="n">
        <v>-0.2148131591741422</v>
      </c>
      <c r="I486" t="n">
        <v>0.07343946879971919</v>
      </c>
      <c r="J486" t="n">
        <v>-0.06765948474604597</v>
      </c>
      <c r="K486" t="n">
        <v>-0.1497664428833674</v>
      </c>
      <c r="L486" t="n">
        <v>0.1316982601018331</v>
      </c>
      <c r="M486" t="n">
        <v>-0.1079746375497218</v>
      </c>
      <c r="N486" t="n">
        <v>-0.180160192575284</v>
      </c>
      <c r="O486" t="n">
        <v>-0.3191853322512164</v>
      </c>
      <c r="P486" t="n">
        <v>-0.3351766071331188</v>
      </c>
      <c r="Q486" t="n">
        <v>-0.3009448500247113</v>
      </c>
      <c r="R486" t="n">
        <v>-0.2488136175062554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0.4360549363527146</v>
      </c>
      <c r="AJ486" t="n">
        <v>0.3333333333333333</v>
      </c>
    </row>
    <row r="487">
      <c r="A487" t="inlineStr">
        <is>
          <t>2024-03-26</t>
        </is>
      </c>
      <c r="B487" t="n">
        <v>1</v>
      </c>
      <c r="C487" t="n">
        <v>-0.4364277343711039</v>
      </c>
      <c r="D487" t="n">
        <v>-0.08164626175986581</v>
      </c>
      <c r="E487" t="n">
        <v>-0.4238077479235828</v>
      </c>
      <c r="F487" t="n">
        <v>-0.5734795185822531</v>
      </c>
      <c r="G487" t="n">
        <v>-0.1205547815076861</v>
      </c>
      <c r="H487" t="n">
        <v>0.01405385247827621</v>
      </c>
      <c r="I487" t="n">
        <v>0.03721745408041159</v>
      </c>
      <c r="J487" t="n">
        <v>0.04228868101260189</v>
      </c>
      <c r="K487" t="n">
        <v>-0.3931817942841337</v>
      </c>
      <c r="L487" t="n">
        <v>-0.4458720304338577</v>
      </c>
      <c r="M487" t="n">
        <v>-0.2422590785794573</v>
      </c>
      <c r="N487" t="n">
        <v>-0.4726630750239696</v>
      </c>
      <c r="O487" t="n">
        <v>-0.7536998694351964</v>
      </c>
      <c r="P487" t="n">
        <v>-0.358212851801967</v>
      </c>
      <c r="Q487" t="n">
        <v>-0.4381538223238386</v>
      </c>
      <c r="R487" t="n">
        <v>-0.5320248502986512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inlineStr">
        <is>
          <t>2024-03-27</t>
        </is>
      </c>
      <c r="B488" t="n">
        <v>1</v>
      </c>
      <c r="C488" t="n">
        <v>-0.6349310149118306</v>
      </c>
      <c r="D488" t="n">
        <v>-0.1039438631251045</v>
      </c>
      <c r="E488" t="n">
        <v>-0.427265499710332</v>
      </c>
      <c r="F488" t="n">
        <v>-0.7195776634714794</v>
      </c>
      <c r="G488" t="n">
        <v>-0.3440453902638271</v>
      </c>
      <c r="H488" t="n">
        <v>-0.1864191932488083</v>
      </c>
      <c r="I488" t="n">
        <v>0.115105158557008</v>
      </c>
      <c r="J488" t="n">
        <v>0.2910576584111353</v>
      </c>
      <c r="K488" t="n">
        <v>0.0182577357874177</v>
      </c>
      <c r="L488" t="n">
        <v>0.2678466608900028</v>
      </c>
      <c r="M488" t="n">
        <v>-0.1402739958360842</v>
      </c>
      <c r="N488" t="n">
        <v>-0.7634193649185185</v>
      </c>
      <c r="O488" t="n">
        <v>-0.6739906252252584</v>
      </c>
      <c r="P488" t="n">
        <v>-0.5505148146170113</v>
      </c>
      <c r="Q488" t="n">
        <v>-0.3885775373336212</v>
      </c>
      <c r="R488" t="n">
        <v>-0.4921313454669059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inlineStr">
        <is>
          <t>2024-03-28</t>
        </is>
      </c>
      <c r="B489" t="n">
        <v>1</v>
      </c>
      <c r="C489" t="n">
        <v>-0.8895219741044449</v>
      </c>
      <c r="D489" t="n">
        <v>-0.072773782500894</v>
      </c>
      <c r="E489" t="n">
        <v>-0.4217057385680913</v>
      </c>
      <c r="F489" t="n">
        <v>-0.9702985194686007</v>
      </c>
      <c r="G489" t="n">
        <v>-0.6440972692644487</v>
      </c>
      <c r="H489" t="n">
        <v>-0.4544580702156787</v>
      </c>
      <c r="I489" t="n">
        <v>-0.9555796445594349</v>
      </c>
      <c r="J489" t="n">
        <v>1.133357185916361</v>
      </c>
      <c r="K489" t="n">
        <v>0.451571078723801</v>
      </c>
      <c r="L489" t="n">
        <v>0.520082869928318</v>
      </c>
      <c r="M489" t="n">
        <v>-0.9192026141253663</v>
      </c>
      <c r="N489" t="n">
        <v>-1.255752983708157</v>
      </c>
      <c r="O489" t="n">
        <v>-0.062060067232306</v>
      </c>
      <c r="P489" t="n">
        <v>0.6993348327860409</v>
      </c>
      <c r="Q489" t="n">
        <v>0.8907472890069648</v>
      </c>
      <c r="R489" t="n">
        <v>-1.352498714693375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inlineStr">
        <is>
          <t>2024-04-01</t>
        </is>
      </c>
      <c r="B490" t="n">
        <v>1</v>
      </c>
      <c r="C490" t="n">
        <v>-0.5615838238090428</v>
      </c>
      <c r="D490" t="n">
        <v>-0.5788586222975792</v>
      </c>
      <c r="E490" t="n">
        <v>-0.5439853826868751</v>
      </c>
      <c r="F490" t="n">
        <v>0.03952654483088037</v>
      </c>
      <c r="G490" t="n">
        <v>-0.08507512710024488</v>
      </c>
      <c r="H490" t="n">
        <v>0.01659866527210636</v>
      </c>
      <c r="I490" t="n">
        <v>-0.7968419144174074</v>
      </c>
      <c r="J490" t="n">
        <v>-0.6909047828803416</v>
      </c>
      <c r="K490" t="n">
        <v>-0.4556822463483887</v>
      </c>
      <c r="L490" t="n">
        <v>1.152469630593452</v>
      </c>
      <c r="M490" t="n">
        <v>-0.2532422642069779</v>
      </c>
      <c r="N490" t="n">
        <v>-0.2225921175669617</v>
      </c>
      <c r="O490" t="n">
        <v>-0.2153140351011272</v>
      </c>
      <c r="P490" t="n">
        <v>-0.231900366114981</v>
      </c>
      <c r="Q490" t="n">
        <v>-0.5385963831432676</v>
      </c>
      <c r="R490" t="n">
        <v>-0.2374315656435814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0.3963041085612713</v>
      </c>
      <c r="AJ490" t="n">
        <v>0.3333333333333333</v>
      </c>
    </row>
    <row r="491">
      <c r="A491" t="inlineStr">
        <is>
          <t>2024-04-02</t>
        </is>
      </c>
      <c r="B491" t="n">
        <v>1</v>
      </c>
      <c r="C491" t="n">
        <v>-0.7887934132519805</v>
      </c>
      <c r="D491" t="n">
        <v>-0.6536782353996011</v>
      </c>
      <c r="E491" t="n">
        <v>-0.5438951257029794</v>
      </c>
      <c r="F491" t="n">
        <v>-0.0802923594785165</v>
      </c>
      <c r="G491" t="n">
        <v>-0.3619935440156982</v>
      </c>
      <c r="H491" t="n">
        <v>-0.2172890839204944</v>
      </c>
      <c r="I491" t="n">
        <v>-1.157491736771256</v>
      </c>
      <c r="J491" t="n">
        <v>0.1120556654775163</v>
      </c>
      <c r="K491" t="n">
        <v>-0.133489799128203</v>
      </c>
      <c r="L491" t="n">
        <v>-0.4974989575047841</v>
      </c>
      <c r="M491" t="n">
        <v>-0.5093499020884468</v>
      </c>
      <c r="N491" t="n">
        <v>-0.8359543262844378</v>
      </c>
      <c r="O491" t="n">
        <v>-0.6088159495477911</v>
      </c>
      <c r="P491" t="n">
        <v>-0.5072178266095673</v>
      </c>
      <c r="Q491" t="n">
        <v>-0.3769268339808718</v>
      </c>
      <c r="R491" t="n">
        <v>0.06202090967562829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inlineStr">
        <is>
          <t>2024-04-03</t>
        </is>
      </c>
      <c r="B492" t="n">
        <v>1</v>
      </c>
      <c r="C492" t="n">
        <v>-0.9025238883193856</v>
      </c>
      <c r="D492" t="n">
        <v>-0.7800999657523601</v>
      </c>
      <c r="E492" t="n">
        <v>-0.7053403360532131</v>
      </c>
      <c r="F492" t="n">
        <v>0.03847754734443364</v>
      </c>
      <c r="G492" t="n">
        <v>-0.2591429822996636</v>
      </c>
      <c r="H492" t="n">
        <v>-0.1578922870696841</v>
      </c>
      <c r="I492" t="n">
        <v>-0.8870387939500689</v>
      </c>
      <c r="J492" t="n">
        <v>0.4875767416812388</v>
      </c>
      <c r="K492" t="n">
        <v>0.2716499620514225</v>
      </c>
      <c r="L492" t="n">
        <v>-1.038700853893061</v>
      </c>
      <c r="M492" t="n">
        <v>-0.1338178948607724</v>
      </c>
      <c r="N492" t="n">
        <v>-1.07431283955488</v>
      </c>
      <c r="O492" t="n">
        <v>-0.7186606437277198</v>
      </c>
      <c r="P492" t="n">
        <v>-0.417404027525472</v>
      </c>
      <c r="Q492" t="n">
        <v>-0.1270074961908312</v>
      </c>
      <c r="R492" t="n">
        <v>-0.8105399217892244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inlineStr">
        <is>
          <t>2024-04-05</t>
        </is>
      </c>
      <c r="B493" t="n">
        <v>1</v>
      </c>
      <c r="C493" t="n">
        <v>-0.8205440297097126</v>
      </c>
      <c r="D493" t="n">
        <v>-1.236094545999385</v>
      </c>
      <c r="E493" t="n">
        <v>-0.6988994165284325</v>
      </c>
      <c r="F493" t="n">
        <v>1.712958428051525</v>
      </c>
      <c r="G493" t="n">
        <v>-0.1614066251687089</v>
      </c>
      <c r="H493" t="n">
        <v>-0.08057682897919663</v>
      </c>
      <c r="I493" t="n">
        <v>-1.18839450946388</v>
      </c>
      <c r="J493" t="n">
        <v>-1.424725531843059</v>
      </c>
      <c r="K493" t="n">
        <v>-0.8669753285268536</v>
      </c>
      <c r="L493" t="n">
        <v>-1.053835068455</v>
      </c>
      <c r="M493" t="n">
        <v>-0.06462937210327238</v>
      </c>
      <c r="N493" t="n">
        <v>-0.05697404713939563</v>
      </c>
      <c r="O493" t="n">
        <v>2.671379360685021</v>
      </c>
      <c r="P493" t="n">
        <v>0.864986419837467</v>
      </c>
      <c r="Q493" t="n">
        <v>0.7351718467635633</v>
      </c>
      <c r="R493" t="n">
        <v>-0.2520546365665784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inlineStr">
        <is>
          <t>2024-04-08</t>
        </is>
      </c>
      <c r="B494" t="n">
        <v>1</v>
      </c>
      <c r="C494" t="n">
        <v>-0.7442312577849524</v>
      </c>
      <c r="D494" t="n">
        <v>-1.204647096836634</v>
      </c>
      <c r="E494" t="n">
        <v>-0.7014466905722665</v>
      </c>
      <c r="F494" t="n">
        <v>1.700018494528727</v>
      </c>
      <c r="G494" t="n">
        <v>-0.05631397110690916</v>
      </c>
      <c r="H494" t="n">
        <v>0.0007293627956917636</v>
      </c>
      <c r="I494" t="n">
        <v>-1.460453010452409</v>
      </c>
      <c r="J494" t="n">
        <v>0.08285083728143795</v>
      </c>
      <c r="K494" t="n">
        <v>0.3071180223862308</v>
      </c>
      <c r="L494" t="n">
        <v>0.6724325667683184</v>
      </c>
      <c r="M494" t="n">
        <v>0.1686285506122025</v>
      </c>
      <c r="N494" t="n">
        <v>-0.7823236607985882</v>
      </c>
      <c r="O494" t="n">
        <v>-0.6512163844804948</v>
      </c>
      <c r="P494" t="n">
        <v>-0.6168397837450152</v>
      </c>
      <c r="Q494" t="n">
        <v>-0.5894833923329197</v>
      </c>
      <c r="R494" t="n">
        <v>-0.1827452975545246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inlineStr">
        <is>
          <t>2024-04-09</t>
        </is>
      </c>
      <c r="B495" t="n">
        <v>1</v>
      </c>
      <c r="C495" t="n">
        <v>-0.8827387657706353</v>
      </c>
      <c r="D495" t="n">
        <v>-1.29970802224463</v>
      </c>
      <c r="E495" t="n">
        <v>-0.7088767718338441</v>
      </c>
      <c r="F495" t="n">
        <v>1.937076519589547</v>
      </c>
      <c r="G495" t="n">
        <v>-0.2271390879232278</v>
      </c>
      <c r="H495" t="n">
        <v>-0.1336697559760811</v>
      </c>
      <c r="I495" t="n">
        <v>-1.11005293512309</v>
      </c>
      <c r="J495" t="n">
        <v>0.7301409105131229</v>
      </c>
      <c r="K495" t="n">
        <v>0.2123191133527888</v>
      </c>
      <c r="L495" t="n">
        <v>0.7134553167620655</v>
      </c>
      <c r="M495" t="n">
        <v>-0.6903496915929158</v>
      </c>
      <c r="N495" t="n">
        <v>-1.134107949349449</v>
      </c>
      <c r="O495" t="n">
        <v>-0.6318338597521728</v>
      </c>
      <c r="P495" t="n">
        <v>-0.6027604648678966</v>
      </c>
      <c r="Q495" t="n">
        <v>-0.4094811966009393</v>
      </c>
      <c r="R495" t="n">
        <v>-0.3587702641554282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2024-04-12</t>
        </is>
      </c>
      <c r="B496" t="n">
        <v>1</v>
      </c>
      <c r="C496" t="n">
        <v>-1.038563041552002</v>
      </c>
      <c r="D496" t="n">
        <v>-1.397439484206561</v>
      </c>
      <c r="E496" t="n">
        <v>-0.7413133493369003</v>
      </c>
      <c r="F496" t="n">
        <v>2.212778866154456</v>
      </c>
      <c r="G496" t="n">
        <v>-0.3832022840468181</v>
      </c>
      <c r="H496" t="n">
        <v>-0.2585610319604523</v>
      </c>
      <c r="I496" t="n">
        <v>-1.237313326957102</v>
      </c>
      <c r="J496" t="n">
        <v>1.768404169452596</v>
      </c>
      <c r="K496" t="n">
        <v>-0.4690939038827597</v>
      </c>
      <c r="L496" t="n">
        <v>-1.017837888171863</v>
      </c>
      <c r="M496" t="n">
        <v>-0.5157883265267588</v>
      </c>
      <c r="N496" t="n">
        <v>-1.521646014890875</v>
      </c>
      <c r="O496" t="n">
        <v>-0.5710384021251615</v>
      </c>
      <c r="P496" t="n">
        <v>-0.5263706948064052</v>
      </c>
      <c r="Q496" t="n">
        <v>-0.292841515115744</v>
      </c>
      <c r="R496" t="n">
        <v>-0.7195006307243427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inlineStr">
        <is>
          <t>2024-04-15</t>
        </is>
      </c>
      <c r="B497" t="n">
        <v>1</v>
      </c>
      <c r="C497" t="n">
        <v>-0.5897178634956233</v>
      </c>
      <c r="D497" t="n">
        <v>-1.018303116574979</v>
      </c>
      <c r="E497" t="n">
        <v>-0.6556096920497677</v>
      </c>
      <c r="F497" t="n">
        <v>1.168197514139227</v>
      </c>
      <c r="G497" t="n">
        <v>0.06550725308493058</v>
      </c>
      <c r="H497" t="n">
        <v>0.1096283686203462</v>
      </c>
      <c r="I497" t="n">
        <v>-0.2510549098526682</v>
      </c>
      <c r="J497" t="n">
        <v>0.2161245528808504</v>
      </c>
      <c r="K497" t="n">
        <v>-1.0519910058805</v>
      </c>
      <c r="L497" t="n">
        <v>-1.695347193931001</v>
      </c>
      <c r="M497" t="n">
        <v>2.222163952934867</v>
      </c>
      <c r="N497" t="n">
        <v>-0.6919118109373853</v>
      </c>
      <c r="O497" t="n">
        <v>-0.5928734204538259</v>
      </c>
      <c r="P497" t="n">
        <v>-0.2660236315079245</v>
      </c>
      <c r="Q497" t="n">
        <v>0.1335671890001466</v>
      </c>
      <c r="R497" t="n">
        <v>-0.3662805198819868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inlineStr">
        <is>
          <t>2024-04-25</t>
        </is>
      </c>
      <c r="B498" t="n">
        <v>1</v>
      </c>
      <c r="C498" t="n">
        <v>-0.8407488209791641</v>
      </c>
      <c r="D498" t="n">
        <v>-0.5182412211774875</v>
      </c>
      <c r="E498" t="n">
        <v>-1.028822476127042</v>
      </c>
      <c r="F498" t="n">
        <v>-0.3761718138628992</v>
      </c>
      <c r="G498" t="n">
        <v>0.4764341037227348</v>
      </c>
      <c r="H498" t="n">
        <v>0.2591596213347683</v>
      </c>
      <c r="I498" t="n">
        <v>0.3728632067736392</v>
      </c>
      <c r="J498" t="n">
        <v>1.209179353011921</v>
      </c>
      <c r="K498" t="n">
        <v>-0.06205892095186374</v>
      </c>
      <c r="L498" t="n">
        <v>-0.598192406311259</v>
      </c>
      <c r="M498" t="n">
        <v>-0.5059151768442837</v>
      </c>
      <c r="N498" t="n">
        <v>-1.237465132258959</v>
      </c>
      <c r="O498" t="n">
        <v>0.0003241693380819969</v>
      </c>
      <c r="P498" t="n">
        <v>3</v>
      </c>
      <c r="Q498" t="n">
        <v>1.548870599655337</v>
      </c>
      <c r="R498" t="n">
        <v>1.096213748368061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inlineStr">
        <is>
          <t>2024-04-29</t>
        </is>
      </c>
      <c r="B499" t="n">
        <v>1</v>
      </c>
      <c r="C499" t="n">
        <v>-0.863008363597222</v>
      </c>
      <c r="D499" t="n">
        <v>-0.428849401839605</v>
      </c>
      <c r="E499" t="n">
        <v>-0.9844658985784774</v>
      </c>
      <c r="F499" t="n">
        <v>-0.5332269661364328</v>
      </c>
      <c r="G499" t="n">
        <v>0.3362507852306125</v>
      </c>
      <c r="H499" t="n">
        <v>0.1877844462362203</v>
      </c>
      <c r="I499" t="n">
        <v>0.1008803317813701</v>
      </c>
      <c r="J499" t="n">
        <v>0.1629826493530851</v>
      </c>
      <c r="K499" t="n">
        <v>0.4668952812665162</v>
      </c>
      <c r="L499" t="n">
        <v>0.7223628511901935</v>
      </c>
      <c r="M499" t="n">
        <v>0.3850829133749758</v>
      </c>
      <c r="N499" t="n">
        <v>-0.9249278058069393</v>
      </c>
      <c r="O499" t="n">
        <v>-0.8426017765995467</v>
      </c>
      <c r="P499" t="n">
        <v>-0.6035144742690375</v>
      </c>
      <c r="Q499" t="n">
        <v>-0.3374457494578898</v>
      </c>
      <c r="R499" t="n">
        <v>-0.5258807883053689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0.5312386862133887</v>
      </c>
      <c r="AJ499" t="n">
        <v>0.3333333333333333</v>
      </c>
    </row>
    <row r="500">
      <c r="A500" t="inlineStr">
        <is>
          <t>2024-05-02</t>
        </is>
      </c>
      <c r="B500" t="n">
        <v>1</v>
      </c>
      <c r="C500" t="n">
        <v>-0.5777937641574959</v>
      </c>
      <c r="D500" t="n">
        <v>-0.7020744192644474</v>
      </c>
      <c r="E500" t="n">
        <v>-0.9646029687919329</v>
      </c>
      <c r="F500" t="n">
        <v>0.2756616415079156</v>
      </c>
      <c r="G500" t="n">
        <v>0.7302147810132625</v>
      </c>
      <c r="H500" t="n">
        <v>0.4595528925937283</v>
      </c>
      <c r="I500" t="n">
        <v>-0.1830032200546721</v>
      </c>
      <c r="J500" t="n">
        <v>0.3996712186450956</v>
      </c>
      <c r="K500" t="n">
        <v>1.401170929519899</v>
      </c>
      <c r="L500" t="n">
        <v>0.4114665673256611</v>
      </c>
      <c r="M500" t="n">
        <v>0.00800227961212527</v>
      </c>
      <c r="N500" t="n">
        <v>-0.7539672169784833</v>
      </c>
      <c r="O500" t="n">
        <v>1.139538104548466</v>
      </c>
      <c r="P500" t="n">
        <v>2.822852571427477</v>
      </c>
      <c r="Q500" t="n">
        <v>2.190174840739604</v>
      </c>
      <c r="R500" t="n">
        <v>0.05181089423380441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0.4371907041937447</v>
      </c>
      <c r="AJ500" t="n">
        <v>0</v>
      </c>
    </row>
    <row r="501">
      <c r="A501" t="inlineStr">
        <is>
          <t>2024-05-07</t>
        </is>
      </c>
      <c r="B501" t="n">
        <v>1</v>
      </c>
      <c r="C501" t="n">
        <v>-0.3635652598834041</v>
      </c>
      <c r="D501" t="n">
        <v>-0.719348534288756</v>
      </c>
      <c r="E501" t="n">
        <v>-0.871620410580055</v>
      </c>
      <c r="F501" t="n">
        <v>0.5815282265904921</v>
      </c>
      <c r="G501" t="n">
        <v>0.8213891355035163</v>
      </c>
      <c r="H501" t="n">
        <v>0.5783775114147131</v>
      </c>
      <c r="I501" t="n">
        <v>0.2817102454902378</v>
      </c>
      <c r="J501" t="n">
        <v>-0.5460982686993456</v>
      </c>
      <c r="K501" t="n">
        <v>-0.155435167895158</v>
      </c>
      <c r="L501" t="n">
        <v>0.4610896896348625</v>
      </c>
      <c r="M501" t="n">
        <v>0.3967650716527398</v>
      </c>
      <c r="N501" t="n">
        <v>-0.09354975003779126</v>
      </c>
      <c r="O501" t="n">
        <v>-0.5117933313816129</v>
      </c>
      <c r="P501" t="n">
        <v>-0.2625944727166221</v>
      </c>
      <c r="Q501" t="n">
        <v>-0.3869476231380519</v>
      </c>
      <c r="R501" t="n">
        <v>-0.6015695387779897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inlineStr">
        <is>
          <t>2024-05-08</t>
        </is>
      </c>
      <c r="B502" t="n">
        <v>1</v>
      </c>
      <c r="C502" t="n">
        <v>-0.1181066017826482</v>
      </c>
      <c r="D502" t="n">
        <v>-0.8109815311238566</v>
      </c>
      <c r="E502" t="n">
        <v>-0.8360296799050738</v>
      </c>
      <c r="F502" t="n">
        <v>1.152083660337334</v>
      </c>
      <c r="G502" t="n">
        <v>1.086488909714762</v>
      </c>
      <c r="H502" t="n">
        <v>0.7920520716436131</v>
      </c>
      <c r="I502" t="n">
        <v>-0.4709690719388822</v>
      </c>
      <c r="J502" t="n">
        <v>0.126732841602418</v>
      </c>
      <c r="K502" t="n">
        <v>-0.4443362694953902</v>
      </c>
      <c r="L502" t="n">
        <v>-0.6864706223576008</v>
      </c>
      <c r="M502" t="n">
        <v>0.6317559266692747</v>
      </c>
      <c r="N502" t="n">
        <v>-0.2121125622421402</v>
      </c>
      <c r="O502" t="n">
        <v>-0.2671300662052043</v>
      </c>
      <c r="P502" t="n">
        <v>-0.1569129384914831</v>
      </c>
      <c r="Q502" t="n">
        <v>0.03471998954877005</v>
      </c>
      <c r="R502" t="n">
        <v>-0.4008901351183691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0.485368679626954</v>
      </c>
      <c r="AJ502" t="n">
        <v>0.3333333333333333</v>
      </c>
    </row>
    <row r="503">
      <c r="A503" t="inlineStr">
        <is>
          <t>2024-05-09</t>
        </is>
      </c>
      <c r="B503" t="n">
        <v>1</v>
      </c>
      <c r="C503" t="n">
        <v>-0.4016358136619702</v>
      </c>
      <c r="D503" t="n">
        <v>-0.8139413530135535</v>
      </c>
      <c r="E503" t="n">
        <v>-0.8351468753062915</v>
      </c>
      <c r="F503" t="n">
        <v>0.7830004490030374</v>
      </c>
      <c r="G503" t="n">
        <v>0.6806609806901656</v>
      </c>
      <c r="H503" t="n">
        <v>0.4993477341501065</v>
      </c>
      <c r="I503" t="n">
        <v>-0.4170038935448623</v>
      </c>
      <c r="J503" t="n">
        <v>-0.8644171704915362</v>
      </c>
      <c r="K503" t="n">
        <v>-0.06064181193592599</v>
      </c>
      <c r="L503" t="n">
        <v>0.1244843117749343</v>
      </c>
      <c r="M503" t="n">
        <v>-0.4801828624256783</v>
      </c>
      <c r="N503" t="n">
        <v>0.06261617244974077</v>
      </c>
      <c r="O503" t="n">
        <v>0.5367356043800261</v>
      </c>
      <c r="P503" t="n">
        <v>0.6736977680314791</v>
      </c>
      <c r="Q503" t="n">
        <v>-0.5838342879111053</v>
      </c>
      <c r="R503" t="n">
        <v>-0.6242082859194873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0.4246981124821832</v>
      </c>
      <c r="AJ503" t="n">
        <v>0</v>
      </c>
    </row>
    <row r="504">
      <c r="A504" t="inlineStr">
        <is>
          <t>2024-05-13</t>
        </is>
      </c>
      <c r="B504" t="n">
        <v>1</v>
      </c>
      <c r="C504" t="n">
        <v>-0.0993293932441519</v>
      </c>
      <c r="D504" t="n">
        <v>-0.5628001809745107</v>
      </c>
      <c r="E504" t="n">
        <v>-0.6885043633149368</v>
      </c>
      <c r="F504" t="n">
        <v>0.5269744278289606</v>
      </c>
      <c r="G504" t="n">
        <v>0.7676325102375287</v>
      </c>
      <c r="H504" t="n">
        <v>0.6501634401221953</v>
      </c>
      <c r="I504" t="n">
        <v>0.1779297277467232</v>
      </c>
      <c r="J504" t="n">
        <v>0.3733037451978084</v>
      </c>
      <c r="K504" t="n">
        <v>-0.5649176027744741</v>
      </c>
      <c r="L504" t="n">
        <v>-0.3562596412533581</v>
      </c>
      <c r="M504" t="n">
        <v>-0.5996680545780472</v>
      </c>
      <c r="N504" t="n">
        <v>-0.3130039674281644</v>
      </c>
      <c r="O504" t="n">
        <v>-0.480821853064104</v>
      </c>
      <c r="P504" t="n">
        <v>-0.4161267945639197</v>
      </c>
      <c r="Q504" t="n">
        <v>-0.5000336785535368</v>
      </c>
      <c r="R504" t="n">
        <v>-0.887344098102986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0.5642074433414989</v>
      </c>
      <c r="AJ504" t="n">
        <v>0.3333333333333333</v>
      </c>
    </row>
    <row r="505">
      <c r="A505" t="inlineStr">
        <is>
          <t>2024-05-14</t>
        </is>
      </c>
      <c r="B505" t="n">
        <v>1</v>
      </c>
      <c r="C505" t="n">
        <v>-0.4543537762970867</v>
      </c>
      <c r="D505" t="n">
        <v>-0.5342016102217253</v>
      </c>
      <c r="E505" t="n">
        <v>-0.698146474432628</v>
      </c>
      <c r="F505" t="n">
        <v>0.07445980419702279</v>
      </c>
      <c r="G505" t="n">
        <v>0.3203061137276391</v>
      </c>
      <c r="H505" t="n">
        <v>0.2953947701754244</v>
      </c>
      <c r="I505" t="n">
        <v>0.4184170054511762</v>
      </c>
      <c r="J505" t="n">
        <v>-0.9486647633405044</v>
      </c>
      <c r="K505" t="n">
        <v>-0.1568008594829511</v>
      </c>
      <c r="L505" t="n">
        <v>0.7557049803437733</v>
      </c>
      <c r="M505" t="n">
        <v>-0.5525747907100991</v>
      </c>
      <c r="N505" t="n">
        <v>0.05830106143363817</v>
      </c>
      <c r="O505" t="n">
        <v>-0.5367134924116671</v>
      </c>
      <c r="P505" t="n">
        <v>-0.6846208157126842</v>
      </c>
      <c r="Q505" t="n">
        <v>-0.4558213549916684</v>
      </c>
      <c r="R505" t="n">
        <v>-0.3599009361540177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0.4793669456265585</v>
      </c>
      <c r="AJ505" t="n">
        <v>0</v>
      </c>
    </row>
    <row r="506">
      <c r="A506" t="inlineStr">
        <is>
          <t>2024-05-15</t>
        </is>
      </c>
      <c r="B506" t="n">
        <v>1</v>
      </c>
      <c r="C506" t="n">
        <v>-0.5112912094227683</v>
      </c>
      <c r="D506" t="n">
        <v>-0.635873263409294</v>
      </c>
      <c r="E506" t="n">
        <v>-0.7128158641633584</v>
      </c>
      <c r="F506" t="n">
        <v>0.2118608903929991</v>
      </c>
      <c r="G506" t="n">
        <v>0.2731455998030919</v>
      </c>
      <c r="H506" t="n">
        <v>0.252838648961099</v>
      </c>
      <c r="I506" t="n">
        <v>0.6455446258810301</v>
      </c>
      <c r="J506" t="n">
        <v>-0.3903525967237287</v>
      </c>
      <c r="K506" t="n">
        <v>-0.1288899302266914</v>
      </c>
      <c r="L506" t="n">
        <v>0.4132527196622389</v>
      </c>
      <c r="M506" t="n">
        <v>-0.1943696465684795</v>
      </c>
      <c r="N506" t="n">
        <v>-0.3345795225086786</v>
      </c>
      <c r="O506" t="n">
        <v>-0.6775469919959328</v>
      </c>
      <c r="P506" t="n">
        <v>-0.5449705501000026</v>
      </c>
      <c r="Q506" t="n">
        <v>-0.5415847952194666</v>
      </c>
      <c r="R506" t="n">
        <v>-0.5757985943242593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0.2508035794016542</v>
      </c>
      <c r="AJ506" t="n">
        <v>0</v>
      </c>
    </row>
    <row r="507">
      <c r="A507" t="inlineStr">
        <is>
          <t>2024-05-16</t>
        </is>
      </c>
      <c r="B507" t="n">
        <v>1</v>
      </c>
      <c r="C507" t="n">
        <v>-0.7618046180660178</v>
      </c>
      <c r="D507" t="n">
        <v>-0.6368900377152007</v>
      </c>
      <c r="E507" t="n">
        <v>-0.8405666078971142</v>
      </c>
      <c r="F507" t="n">
        <v>-0.08057489663498607</v>
      </c>
      <c r="G507" t="n">
        <v>0.1788112414012729</v>
      </c>
      <c r="H507" t="n">
        <v>0.1346716294503631</v>
      </c>
      <c r="I507" t="n">
        <v>0.8722016643393422</v>
      </c>
      <c r="J507" t="n">
        <v>-0.814902101733557</v>
      </c>
      <c r="K507" t="n">
        <v>1.011831187237812</v>
      </c>
      <c r="L507" t="n">
        <v>0.992335773508752</v>
      </c>
      <c r="M507" t="n">
        <v>0.4813600254133065</v>
      </c>
      <c r="N507" t="n">
        <v>-0.3736210031305611</v>
      </c>
      <c r="O507" t="n">
        <v>-0.4479289034724693</v>
      </c>
      <c r="P507" t="n">
        <v>1.02811824553129</v>
      </c>
      <c r="Q507" t="n">
        <v>-0.6052434193841539</v>
      </c>
      <c r="R507" t="n">
        <v>0.2609906695834459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inlineStr">
        <is>
          <t>2024-05-17</t>
        </is>
      </c>
      <c r="B508" t="n">
        <v>1</v>
      </c>
      <c r="C508" t="n">
        <v>-0.6114057470422514</v>
      </c>
      <c r="D508" t="n">
        <v>-0.4797098627944912</v>
      </c>
      <c r="E508" t="n">
        <v>-0.825342154670397</v>
      </c>
      <c r="F508" t="n">
        <v>-0.1917583073501497</v>
      </c>
      <c r="G508" t="n">
        <v>0.3614056500848514</v>
      </c>
      <c r="H508" t="n">
        <v>0.272789092438241</v>
      </c>
      <c r="I508" t="n">
        <v>-1.090144285633799</v>
      </c>
      <c r="J508" t="n">
        <v>-1.331641785326232</v>
      </c>
      <c r="K508" t="n">
        <v>-0.7504347339676731</v>
      </c>
      <c r="L508" t="n">
        <v>-0.1553217070046532</v>
      </c>
      <c r="M508" t="n">
        <v>-0.495003888402101</v>
      </c>
      <c r="N508" t="n">
        <v>0.1402881707395915</v>
      </c>
      <c r="O508" t="n">
        <v>0.4256224508781992</v>
      </c>
      <c r="P508" t="n">
        <v>-0.2626970826804547</v>
      </c>
      <c r="Q508" t="n">
        <v>-0.5677668627649837</v>
      </c>
      <c r="R508" t="n">
        <v>-0.9343541607467744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0.5526374773394612</v>
      </c>
      <c r="AJ508" t="n">
        <v>0.3333333333333333</v>
      </c>
    </row>
    <row r="509">
      <c r="A509" t="inlineStr">
        <is>
          <t>2024-05-18</t>
        </is>
      </c>
      <c r="B509" t="n">
        <v>1</v>
      </c>
      <c r="C509" t="n">
        <v>-0.8866301546373954</v>
      </c>
      <c r="D509" t="n">
        <v>-0.5934007511496409</v>
      </c>
      <c r="E509" t="n">
        <v>-0.8757120684846394</v>
      </c>
      <c r="F509" t="n">
        <v>-0.3037858212524294</v>
      </c>
      <c r="G509" t="n">
        <v>0.06885800231869545</v>
      </c>
      <c r="H509" t="n">
        <v>0.04463690939903732</v>
      </c>
      <c r="I509" t="n">
        <v>-1.030992262660891</v>
      </c>
      <c r="J509" t="n">
        <v>-0.1762654443292532</v>
      </c>
      <c r="K509" t="n">
        <v>-0.1265621636318943</v>
      </c>
      <c r="L509" t="n">
        <v>0.4545347610633759</v>
      </c>
      <c r="M509" t="n">
        <v>-0.4119887744822451</v>
      </c>
      <c r="N509" t="n">
        <v>-0.8141732897269661</v>
      </c>
      <c r="O509" t="n">
        <v>-0.969766970999983</v>
      </c>
      <c r="P509" t="n">
        <v>-0.8005428323032614</v>
      </c>
      <c r="Q509" t="n">
        <v>-0.5816773946495454</v>
      </c>
      <c r="R509" t="n">
        <v>-0.6762492562325124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0.1382829399347126</v>
      </c>
      <c r="AJ509" t="n">
        <v>0</v>
      </c>
    </row>
    <row r="510">
      <c r="A510" t="inlineStr">
        <is>
          <t>2024-05-21</t>
        </is>
      </c>
      <c r="B510" t="n">
        <v>1</v>
      </c>
      <c r="C510" t="n">
        <v>-0.3106640722495753</v>
      </c>
      <c r="D510" t="n">
        <v>-0.5850447828671926</v>
      </c>
      <c r="E510" t="n">
        <v>-0.878926287120492</v>
      </c>
      <c r="F510" t="n">
        <v>0.3365569434050412</v>
      </c>
      <c r="G510" t="n">
        <v>0.9164346147460405</v>
      </c>
      <c r="H510" t="n">
        <v>0.6407941715438642</v>
      </c>
      <c r="I510" t="n">
        <v>-1.044268923126055</v>
      </c>
      <c r="J510" t="n">
        <v>3</v>
      </c>
      <c r="K510" t="n">
        <v>-0.8714383322336237</v>
      </c>
      <c r="L510" t="n">
        <v>0.324525242167436</v>
      </c>
      <c r="M510" t="n">
        <v>-0.2164198567103114</v>
      </c>
      <c r="N510" t="n">
        <v>-1.835210748727682</v>
      </c>
      <c r="O510" t="n">
        <v>1.451020271129946</v>
      </c>
      <c r="P510" t="n">
        <v>2.081973744351219</v>
      </c>
      <c r="Q510" t="n">
        <v>1.429339358742333</v>
      </c>
      <c r="R510" t="n">
        <v>-0.3090519769268955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2024-05-22</t>
        </is>
      </c>
      <c r="B511" t="n">
        <v>1</v>
      </c>
      <c r="C511" t="n">
        <v>-0.5142454036216503</v>
      </c>
      <c r="D511" t="n">
        <v>-0.7081871747331555</v>
      </c>
      <c r="E511" t="n">
        <v>-1.00397762343941</v>
      </c>
      <c r="F511" t="n">
        <v>0.3679084896391249</v>
      </c>
      <c r="G511" t="n">
        <v>0.9317024511283268</v>
      </c>
      <c r="H511" t="n">
        <v>0.5679684861894018</v>
      </c>
      <c r="I511" t="n">
        <v>-0.964061260595342</v>
      </c>
      <c r="J511" t="n">
        <v>0.844932702529785</v>
      </c>
      <c r="K511" t="n">
        <v>0.1190402313416727</v>
      </c>
      <c r="L511" t="n">
        <v>0.3207095386983673</v>
      </c>
      <c r="M511" t="n">
        <v>0.4922239552494477</v>
      </c>
      <c r="N511" t="n">
        <v>-0.8610230664732255</v>
      </c>
      <c r="O511" t="n">
        <v>-0.798368874159451</v>
      </c>
      <c r="P511" t="n">
        <v>-0.5679699426443088</v>
      </c>
      <c r="Q511" t="n">
        <v>-0.3652449308071445</v>
      </c>
      <c r="R511" t="n">
        <v>-0.1625282443598616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inlineStr">
        <is>
          <t>2024-05-23</t>
        </is>
      </c>
      <c r="B512" t="n">
        <v>1</v>
      </c>
      <c r="C512" t="n">
        <v>-0.6083107879313687</v>
      </c>
      <c r="D512" t="n">
        <v>-0.6970799984459868</v>
      </c>
      <c r="E512" t="n">
        <v>-0.9920695082119411</v>
      </c>
      <c r="F512" t="n">
        <v>0.2271031590550902</v>
      </c>
      <c r="G512" t="n">
        <v>0.7525163929604745</v>
      </c>
      <c r="H512" t="n">
        <v>0.4581664605284599</v>
      </c>
      <c r="I512" t="n">
        <v>-1.264784689451582</v>
      </c>
      <c r="J512" t="n">
        <v>0.4709904848201748</v>
      </c>
      <c r="K512" t="n">
        <v>0.3581141089471212</v>
      </c>
      <c r="L512" t="n">
        <v>0.1697391166595452</v>
      </c>
      <c r="M512" t="n">
        <v>-0.004211235743759178</v>
      </c>
      <c r="N512" t="n">
        <v>-0.8082143268952049</v>
      </c>
      <c r="O512" t="n">
        <v>-0.1702460021442285</v>
      </c>
      <c r="P512" t="n">
        <v>0.7003598582857001</v>
      </c>
      <c r="Q512" t="n">
        <v>0.1144500241209598</v>
      </c>
      <c r="R512" t="n">
        <v>0.1022800583869013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inlineStr">
        <is>
          <t>2024-05-24</t>
        </is>
      </c>
      <c r="B513" t="n">
        <v>1</v>
      </c>
      <c r="C513" t="n">
        <v>-0.444506524759836</v>
      </c>
      <c r="D513" t="n">
        <v>-1.013714130998763</v>
      </c>
      <c r="E513" t="n">
        <v>-0.7284660698369838</v>
      </c>
      <c r="F513" t="n">
        <v>1.37976471948285</v>
      </c>
      <c r="G513" t="n">
        <v>0.3929791237906838</v>
      </c>
      <c r="H513" t="n">
        <v>0.3386591833539949</v>
      </c>
      <c r="I513" t="n">
        <v>-0.06639734169706177</v>
      </c>
      <c r="J513" t="n">
        <v>0.4120568752056675</v>
      </c>
      <c r="K513" t="n">
        <v>-0.7850426598629671</v>
      </c>
      <c r="L513" t="n">
        <v>-0.1445562669858277</v>
      </c>
      <c r="M513" t="n">
        <v>0.5732118632152651</v>
      </c>
      <c r="N513" t="n">
        <v>-0.6395140343132795</v>
      </c>
      <c r="O513" t="n">
        <v>-0.1966765004264931</v>
      </c>
      <c r="P513" t="n">
        <v>-0.0435420696684984</v>
      </c>
      <c r="Q513" t="n">
        <v>-0.136737942365791</v>
      </c>
      <c r="R513" t="n">
        <v>0.2743190973259282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0.6092837373879351</v>
      </c>
      <c r="AJ513" t="n">
        <v>0.3333333333333333</v>
      </c>
    </row>
    <row r="514">
      <c r="A514" t="inlineStr">
        <is>
          <t>2024-05-27</t>
        </is>
      </c>
      <c r="B514" t="n">
        <v>1</v>
      </c>
      <c r="C514" t="n">
        <v>-0.3152672914368624</v>
      </c>
      <c r="D514" t="n">
        <v>-0.9919494249119234</v>
      </c>
      <c r="E514" t="n">
        <v>-0.7619588284793705</v>
      </c>
      <c r="F514" t="n">
        <v>1.496766892072409</v>
      </c>
      <c r="G514" t="n">
        <v>0.6377407211021413</v>
      </c>
      <c r="H514" t="n">
        <v>0.5082404309786767</v>
      </c>
      <c r="I514" t="n">
        <v>0.04560112033261959</v>
      </c>
      <c r="J514" t="n">
        <v>0.3660914350277929</v>
      </c>
      <c r="K514" t="n">
        <v>-0.03680611284038006</v>
      </c>
      <c r="L514" t="n">
        <v>0.4686120630563741</v>
      </c>
      <c r="M514" t="n">
        <v>0.1867398180852357</v>
      </c>
      <c r="N514" t="n">
        <v>-0.5043072224753903</v>
      </c>
      <c r="O514" t="n">
        <v>-0.8691987725711878</v>
      </c>
      <c r="P514" t="n">
        <v>-0.5388897244736279</v>
      </c>
      <c r="Q514" t="n">
        <v>-0.3738104353553113</v>
      </c>
      <c r="R514" t="n">
        <v>-0.4385489940436104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0.3210116685906177</v>
      </c>
      <c r="AJ514" t="n">
        <v>0</v>
      </c>
    </row>
    <row r="515">
      <c r="A515" t="inlineStr">
        <is>
          <t>2024-05-28</t>
        </is>
      </c>
      <c r="B515" t="n">
        <v>1</v>
      </c>
      <c r="C515" t="n">
        <v>-0.2093635952161598</v>
      </c>
      <c r="D515" t="n">
        <v>-0.9243047959964249</v>
      </c>
      <c r="E515" t="n">
        <v>-0.7829207532075838</v>
      </c>
      <c r="F515" t="n">
        <v>1.40271444713034</v>
      </c>
      <c r="G515" t="n">
        <v>0.8301813699052085</v>
      </c>
      <c r="H515" t="n">
        <v>0.6401172122819352</v>
      </c>
      <c r="I515" t="n">
        <v>0.3209355257750128</v>
      </c>
      <c r="J515" t="n">
        <v>0.3461172678891479</v>
      </c>
      <c r="K515" t="n">
        <v>-0.291993649683549</v>
      </c>
      <c r="L515" t="n">
        <v>0.4148536191285371</v>
      </c>
      <c r="M515" t="n">
        <v>0.1350183240092867</v>
      </c>
      <c r="N515" t="n">
        <v>-0.3999226321810928</v>
      </c>
      <c r="O515" t="n">
        <v>-0.8051639772559223</v>
      </c>
      <c r="P515" t="n">
        <v>-0.5506911461999543</v>
      </c>
      <c r="Q515" t="n">
        <v>-0.4115514753051282</v>
      </c>
      <c r="R515" t="n">
        <v>-0.5549425784699242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0.1337824991886858</v>
      </c>
      <c r="AJ515" t="n">
        <v>0</v>
      </c>
    </row>
    <row r="516">
      <c r="A516" t="inlineStr">
        <is>
          <t>2024-05-29</t>
        </is>
      </c>
      <c r="B516" t="n">
        <v>1</v>
      </c>
      <c r="C516" t="n">
        <v>-0.1044568689306433</v>
      </c>
      <c r="D516" t="n">
        <v>-0.8645782745823206</v>
      </c>
      <c r="E516" t="n">
        <v>-0.8405969633055217</v>
      </c>
      <c r="F516" t="n">
        <v>1.343849128467377</v>
      </c>
      <c r="G516" t="n">
        <v>1.11755386380919</v>
      </c>
      <c r="H516" t="n">
        <v>0.811088012374424</v>
      </c>
      <c r="I516" t="n">
        <v>0.6079079123671132</v>
      </c>
      <c r="J516" t="n">
        <v>1.102934120275654</v>
      </c>
      <c r="K516" t="n">
        <v>-0.4653594437006874</v>
      </c>
      <c r="L516" t="n">
        <v>-0.6389193366362178</v>
      </c>
      <c r="M516" t="n">
        <v>0.1857071844619545</v>
      </c>
      <c r="N516" t="n">
        <v>-0.617116553324936</v>
      </c>
      <c r="O516" t="n">
        <v>-0.1478078061704401</v>
      </c>
      <c r="P516" t="n">
        <v>0.4127909141151056</v>
      </c>
      <c r="Q516" t="n">
        <v>-0.159633482881347</v>
      </c>
      <c r="R516" t="n">
        <v>-0.8131398784724505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inlineStr">
        <is>
          <t>2024-05-30</t>
        </is>
      </c>
      <c r="B517" t="n">
        <v>1</v>
      </c>
      <c r="C517" t="n">
        <v>-0.225380425594874</v>
      </c>
      <c r="D517" t="n">
        <v>-0.6126629006659897</v>
      </c>
      <c r="E517" t="n">
        <v>-0.7545896668336729</v>
      </c>
      <c r="F517" t="n">
        <v>0.4946593763541062</v>
      </c>
      <c r="G517" t="n">
        <v>0.7440366557741073</v>
      </c>
      <c r="H517" t="n">
        <v>0.5926775224951648</v>
      </c>
      <c r="I517" t="n">
        <v>1.169134373665144</v>
      </c>
      <c r="J517" t="n">
        <v>-0.3237680512411928</v>
      </c>
      <c r="K517" t="n">
        <v>0.7226374012349362</v>
      </c>
      <c r="L517" t="n">
        <v>-0.6680651883319479</v>
      </c>
      <c r="M517" t="n">
        <v>1.073744368830542</v>
      </c>
      <c r="N517" t="n">
        <v>-0.07793315778903788</v>
      </c>
      <c r="O517" t="n">
        <v>-0.8512985808111456</v>
      </c>
      <c r="P517" t="n">
        <v>-0.1740439547636388</v>
      </c>
      <c r="Q517" t="n">
        <v>-0.2672329267232024</v>
      </c>
      <c r="R517" t="n">
        <v>-0.4583461598374018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inlineStr">
        <is>
          <t>2024-05-31</t>
        </is>
      </c>
      <c r="B518" t="n">
        <v>1</v>
      </c>
      <c r="C518" t="n">
        <v>3</v>
      </c>
      <c r="D518" t="n">
        <v>-0.4165711108734669</v>
      </c>
      <c r="E518" t="n">
        <v>-0.6430312632679123</v>
      </c>
      <c r="F518" t="n">
        <v>3</v>
      </c>
      <c r="G518" t="n">
        <v>3</v>
      </c>
      <c r="H518" t="n">
        <v>3</v>
      </c>
      <c r="I518" t="n">
        <v>-0.5771036155986728</v>
      </c>
      <c r="J518" t="n">
        <v>3</v>
      </c>
      <c r="K518" t="n">
        <v>-0.487719077494872</v>
      </c>
      <c r="L518" t="n">
        <v>0.5067603089941517</v>
      </c>
      <c r="M518" t="n">
        <v>0.6874537605078385</v>
      </c>
      <c r="N518" t="n">
        <v>0.9463920048429948</v>
      </c>
      <c r="O518" t="n">
        <v>-0.436528130146435</v>
      </c>
      <c r="P518" t="n">
        <v>-0.1891096687595056</v>
      </c>
      <c r="Q518" t="n">
        <v>0.1052231235774375</v>
      </c>
      <c r="R518" t="n">
        <v>-1.302954416779844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inlineStr">
        <is>
          <t>2024-06-04</t>
        </is>
      </c>
      <c r="B519" t="n">
        <v>1</v>
      </c>
      <c r="C519" t="n">
        <v>3</v>
      </c>
      <c r="D519" t="n">
        <v>0.7190468286447742</v>
      </c>
      <c r="E519" t="n">
        <v>0.06440916819778261</v>
      </c>
      <c r="F519" t="n">
        <v>2.331402137800909</v>
      </c>
      <c r="G519" t="n">
        <v>3</v>
      </c>
      <c r="H519" t="n">
        <v>3</v>
      </c>
      <c r="I519" t="n">
        <v>2.171392768448608</v>
      </c>
      <c r="J519" t="n">
        <v>-0.03175688102144824</v>
      </c>
      <c r="K519" t="n">
        <v>-1.261672726666705</v>
      </c>
      <c r="L519" t="n">
        <v>-1.88192610611642</v>
      </c>
      <c r="M519" t="n">
        <v>-1.008305119788129</v>
      </c>
      <c r="N519" t="n">
        <v>3</v>
      </c>
      <c r="O519" t="n">
        <v>0.6855860816892333</v>
      </c>
      <c r="P519" t="n">
        <v>0.2411995803445004</v>
      </c>
      <c r="Q519" t="n">
        <v>0.007288326419849344</v>
      </c>
      <c r="R519" t="n">
        <v>-0.2586091393713816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</row>
    <row r="520">
      <c r="A520" t="inlineStr">
        <is>
          <t>2024-06-05</t>
        </is>
      </c>
      <c r="B520" t="n">
        <v>1</v>
      </c>
      <c r="C520" t="n">
        <v>3</v>
      </c>
      <c r="D520" t="n">
        <v>3</v>
      </c>
      <c r="E520" t="n">
        <v>2.476350792768054</v>
      </c>
      <c r="F520" t="n">
        <v>-1.079575146102992</v>
      </c>
      <c r="G520" t="n">
        <v>-0.1513892064997189</v>
      </c>
      <c r="H520" t="n">
        <v>0.610831066251602</v>
      </c>
      <c r="I520" t="n">
        <v>2.787888174337809</v>
      </c>
      <c r="J520" t="n">
        <v>-0.06765948474604597</v>
      </c>
      <c r="K520" t="n">
        <v>-0.1497664428833674</v>
      </c>
      <c r="L520" t="n">
        <v>0.1316982601018331</v>
      </c>
      <c r="M520" t="n">
        <v>-0.1079746375497218</v>
      </c>
      <c r="N520" t="n">
        <v>-0.180160192575284</v>
      </c>
      <c r="O520" t="n">
        <v>-0.3191853322512164</v>
      </c>
      <c r="P520" t="n">
        <v>-0.3351766071331188</v>
      </c>
      <c r="Q520" t="n">
        <v>-0.3009448500247113</v>
      </c>
      <c r="R520" t="n">
        <v>-0.2488136175062554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0.3350778643008743</v>
      </c>
      <c r="AJ520" t="n">
        <v>0.3333333333333333</v>
      </c>
    </row>
    <row r="521">
      <c r="A521" t="inlineStr">
        <is>
          <t>2024-06-06</t>
        </is>
      </c>
      <c r="B521" t="n">
        <v>1</v>
      </c>
      <c r="C521" t="n">
        <v>1.738804975912736</v>
      </c>
      <c r="D521" t="n">
        <v>3</v>
      </c>
      <c r="E521" t="n">
        <v>2.970795299330804</v>
      </c>
      <c r="F521" t="n">
        <v>-1.65039905008876</v>
      </c>
      <c r="G521" t="n">
        <v>-1.090688384746918</v>
      </c>
      <c r="H521" t="n">
        <v>-1.457205494932575</v>
      </c>
      <c r="I521" t="n">
        <v>3</v>
      </c>
      <c r="J521" t="n">
        <v>-2.120069132904863</v>
      </c>
      <c r="K521" t="n">
        <v>2.289159388415246</v>
      </c>
      <c r="L521" t="n">
        <v>0.7806267610869324</v>
      </c>
      <c r="M521" t="n">
        <v>-2.490243541416562</v>
      </c>
      <c r="N521" t="n">
        <v>3</v>
      </c>
      <c r="O521" t="n">
        <v>0.5870297790477341</v>
      </c>
      <c r="P521" t="n">
        <v>0.1626212174047844</v>
      </c>
      <c r="Q521" t="n">
        <v>0.1446549436332256</v>
      </c>
      <c r="R521" t="n">
        <v>-0.2962688071022883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1.006666305574605</v>
      </c>
      <c r="AJ521" t="n">
        <v>0.6666666666666666</v>
      </c>
    </row>
    <row r="522">
      <c r="A522" t="inlineStr">
        <is>
          <t>2024-06-10</t>
        </is>
      </c>
      <c r="B522" t="n">
        <v>1</v>
      </c>
      <c r="C522" t="n">
        <v>0.8202807586715154</v>
      </c>
      <c r="D522" t="n">
        <v>3</v>
      </c>
      <c r="E522" t="n">
        <v>3</v>
      </c>
      <c r="F522" t="n">
        <v>-1.908290340565737</v>
      </c>
      <c r="G522" t="n">
        <v>-1.521206387006958</v>
      </c>
      <c r="H522" t="n">
        <v>-2.478939483184687</v>
      </c>
      <c r="I522" t="n">
        <v>3</v>
      </c>
      <c r="J522" t="n">
        <v>0.5152821977319282</v>
      </c>
      <c r="K522" t="n">
        <v>-0.3670417817453472</v>
      </c>
      <c r="L522" t="n">
        <v>0.8419853205127604</v>
      </c>
      <c r="M522" t="n">
        <v>0.04908662690905005</v>
      </c>
      <c r="N522" t="n">
        <v>0.4318663865419696</v>
      </c>
      <c r="O522" t="n">
        <v>1.995382188706497</v>
      </c>
      <c r="P522" t="n">
        <v>0.05596951759243574</v>
      </c>
      <c r="Q522" t="n">
        <v>0.5678869395863489</v>
      </c>
      <c r="R522" t="n">
        <v>-0.635511312138262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0.3905540838279315</v>
      </c>
      <c r="AJ522" t="n">
        <v>0</v>
      </c>
    </row>
    <row r="523">
      <c r="A523" t="inlineStr">
        <is>
          <t>2024-06-11</t>
        </is>
      </c>
      <c r="B523" t="n">
        <v>1</v>
      </c>
      <c r="C523" t="n">
        <v>0.4618594759314823</v>
      </c>
      <c r="D523" t="n">
        <v>3</v>
      </c>
      <c r="E523" t="n">
        <v>3</v>
      </c>
      <c r="F523" t="n">
        <v>-2.000219779329531</v>
      </c>
      <c r="G523" t="n">
        <v>-1.681690419509729</v>
      </c>
      <c r="H523" t="n">
        <v>-2.859893753628266</v>
      </c>
      <c r="I523" t="n">
        <v>2.801399323249715</v>
      </c>
      <c r="J523" t="n">
        <v>-0.07141959396431914</v>
      </c>
      <c r="K523" t="n">
        <v>-0.03272504652748261</v>
      </c>
      <c r="L523" t="n">
        <v>0.2354282953002484</v>
      </c>
      <c r="M523" t="n">
        <v>-0.5044667102076542</v>
      </c>
      <c r="N523" t="n">
        <v>0.4538529045763988</v>
      </c>
      <c r="O523" t="n">
        <v>-0.4173704247224054</v>
      </c>
      <c r="P523" t="n">
        <v>-0.3126625317923543</v>
      </c>
      <c r="Q523" t="n">
        <v>-0.3921013891268388</v>
      </c>
      <c r="R523" t="n">
        <v>-0.4744388047841236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inlineStr">
        <is>
          <t>2024-06-13</t>
        </is>
      </c>
      <c r="B524" t="n">
        <v>1</v>
      </c>
      <c r="C524" t="n">
        <v>-0.7245446319118098</v>
      </c>
      <c r="D524" t="n">
        <v>3</v>
      </c>
      <c r="E524" t="n">
        <v>3</v>
      </c>
      <c r="F524" t="n">
        <v>-2.297385414233955</v>
      </c>
      <c r="G524" t="n">
        <v>-2.20009791797676</v>
      </c>
      <c r="H524" t="n">
        <v>-3</v>
      </c>
      <c r="I524" t="n">
        <v>-1.317659116743005</v>
      </c>
      <c r="J524" t="n">
        <v>-0.4526968275588557</v>
      </c>
      <c r="K524" t="n">
        <v>2.261320475935615</v>
      </c>
      <c r="L524" t="n">
        <v>1.086977514974888</v>
      </c>
      <c r="M524" t="n">
        <v>0.4296093396981258</v>
      </c>
      <c r="N524" t="n">
        <v>-0.524033444263289</v>
      </c>
      <c r="O524" t="n">
        <v>-0.006654928250939862</v>
      </c>
      <c r="P524" t="n">
        <v>2.693874454705374</v>
      </c>
      <c r="Q524" t="n">
        <v>2.72094485103104</v>
      </c>
      <c r="R524" t="n">
        <v>0.1040030753884802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inlineStr">
        <is>
          <t>2024-06-18</t>
        </is>
      </c>
      <c r="B525" t="n">
        <v>1</v>
      </c>
      <c r="C525" t="n">
        <v>-0.9868352774664715</v>
      </c>
      <c r="D525" t="n">
        <v>3</v>
      </c>
      <c r="E525" t="n">
        <v>3</v>
      </c>
      <c r="F525" t="n">
        <v>-2.357307991950296</v>
      </c>
      <c r="G525" t="n">
        <v>-2.313205417119334</v>
      </c>
      <c r="H525" t="n">
        <v>-3</v>
      </c>
      <c r="I525" t="n">
        <v>-2.165608837373455</v>
      </c>
      <c r="J525" t="n">
        <v>0.6139259886046872</v>
      </c>
      <c r="K525" t="n">
        <v>1.07489634992952</v>
      </c>
      <c r="L525" t="n">
        <v>0.8979568915550987</v>
      </c>
      <c r="M525" t="n">
        <v>-0.9272386861009212</v>
      </c>
      <c r="N525" t="n">
        <v>-1.187944096312255</v>
      </c>
      <c r="O525" t="n">
        <v>-0.837843300458945</v>
      </c>
      <c r="P525" t="n">
        <v>-0.413928801159983</v>
      </c>
      <c r="Q525" t="n">
        <v>-0.1919773582587106</v>
      </c>
      <c r="R525" t="n">
        <v>-0.2702747962429199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2024-06-19</t>
        </is>
      </c>
      <c r="B526" t="n">
        <v>1</v>
      </c>
      <c r="C526" t="n">
        <v>-0.7818880549190291</v>
      </c>
      <c r="D526" t="n">
        <v>3</v>
      </c>
      <c r="E526" t="n">
        <v>3</v>
      </c>
      <c r="F526" t="n">
        <v>-2.267559074423823</v>
      </c>
      <c r="G526" t="n">
        <v>-2.223391864846972</v>
      </c>
      <c r="H526" t="n">
        <v>-3</v>
      </c>
      <c r="I526" t="n">
        <v>-2.394360082632257</v>
      </c>
      <c r="J526" t="n">
        <v>0.9653302492262501</v>
      </c>
      <c r="K526" t="n">
        <v>-0.7189536892643275</v>
      </c>
      <c r="L526" t="n">
        <v>0.6223685711400085</v>
      </c>
      <c r="M526" t="n">
        <v>-1.102276897534771</v>
      </c>
      <c r="N526" t="n">
        <v>-1.120957134824183</v>
      </c>
      <c r="O526" t="n">
        <v>-0.1827435706689781</v>
      </c>
      <c r="P526" t="n">
        <v>-0.08529929038975179</v>
      </c>
      <c r="Q526" t="n">
        <v>-0.01488284100796696</v>
      </c>
      <c r="R526" t="n">
        <v>-0.4814905572775665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inlineStr">
        <is>
          <t>2024-06-20</t>
        </is>
      </c>
      <c r="B527" t="n">
        <v>1</v>
      </c>
      <c r="C527" t="n">
        <v>-0.4900413459883621</v>
      </c>
      <c r="D527" t="n">
        <v>0.6937698356748054</v>
      </c>
      <c r="E527" t="n">
        <v>3</v>
      </c>
      <c r="F527" t="n">
        <v>-1.253253280672544</v>
      </c>
      <c r="G527" t="n">
        <v>-2.096426501763083</v>
      </c>
      <c r="H527" t="n">
        <v>-3</v>
      </c>
      <c r="I527" t="n">
        <v>-2.19882343222767</v>
      </c>
      <c r="J527" t="n">
        <v>-0.484143808122554</v>
      </c>
      <c r="K527" t="n">
        <v>0.06329928776669851</v>
      </c>
      <c r="L527" t="n">
        <v>0.2849619143083966</v>
      </c>
      <c r="M527" t="n">
        <v>2.648999106770273</v>
      </c>
      <c r="N527" t="n">
        <v>-0.2622500426197167</v>
      </c>
      <c r="O527" t="n">
        <v>-0.5168466806980498</v>
      </c>
      <c r="P527" t="n">
        <v>-0.04342793343418298</v>
      </c>
      <c r="Q527" t="n">
        <v>0.08497329473216662</v>
      </c>
      <c r="R527" t="n">
        <v>-1.239932980217955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0.5838604668048477</v>
      </c>
      <c r="AJ527" t="n">
        <v>0.3333333333333333</v>
      </c>
    </row>
    <row r="528">
      <c r="A528" t="inlineStr">
        <is>
          <t>2024-06-24</t>
        </is>
      </c>
      <c r="B528" t="n">
        <v>1</v>
      </c>
      <c r="C528" t="n">
        <v>-0.6602301861212337</v>
      </c>
      <c r="D528" t="n">
        <v>-0.574096709062022</v>
      </c>
      <c r="E528" t="n">
        <v>2.978614448672553</v>
      </c>
      <c r="F528" t="n">
        <v>-0.08086948245537605</v>
      </c>
      <c r="G528" t="n">
        <v>-2.158576197548914</v>
      </c>
      <c r="H528" t="n">
        <v>-3</v>
      </c>
      <c r="I528" t="n">
        <v>-2.015052617113549</v>
      </c>
      <c r="J528" t="n">
        <v>-0.4370040558118617</v>
      </c>
      <c r="K528" t="n">
        <v>-0.5228184808858667</v>
      </c>
      <c r="L528" t="n">
        <v>-1.015295839955369</v>
      </c>
      <c r="M528" t="n">
        <v>0.1794580813598714</v>
      </c>
      <c r="N528" t="n">
        <v>-0.4648547788995927</v>
      </c>
      <c r="O528" t="n">
        <v>-0.3287894095623142</v>
      </c>
      <c r="P528" t="n">
        <v>-0.5024681190954378</v>
      </c>
      <c r="Q528" t="n">
        <v>-0.4550016157366381</v>
      </c>
      <c r="R528" t="n">
        <v>-0.7059156261900573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1.238816446909477</v>
      </c>
      <c r="AJ528" t="n">
        <v>0.6666666666666666</v>
      </c>
    </row>
    <row r="529">
      <c r="A529" t="inlineStr">
        <is>
          <t>2024-06-25</t>
        </is>
      </c>
      <c r="B529" t="n">
        <v>1</v>
      </c>
      <c r="C529" t="n">
        <v>-0.7594428160595016</v>
      </c>
      <c r="D529" t="n">
        <v>-1.407522260865988</v>
      </c>
      <c r="E529" t="n">
        <v>2.979216997504286</v>
      </c>
      <c r="F529" t="n">
        <v>2.963003378762416</v>
      </c>
      <c r="G529" t="n">
        <v>-2.20272822622399</v>
      </c>
      <c r="H529" t="n">
        <v>-3</v>
      </c>
      <c r="I529" t="n">
        <v>-2.044722729905642</v>
      </c>
      <c r="J529" t="n">
        <v>-0.8705684394319932</v>
      </c>
      <c r="K529" t="n">
        <v>0.1039472444808027</v>
      </c>
      <c r="L529" t="n">
        <v>0.5023473676718274</v>
      </c>
      <c r="M529" t="n">
        <v>0.4861762917222148</v>
      </c>
      <c r="N529" t="n">
        <v>-0.3393055964786961</v>
      </c>
      <c r="O529" t="n">
        <v>-0.5307484795363202</v>
      </c>
      <c r="P529" t="n">
        <v>-0.6991310304198713</v>
      </c>
      <c r="Q529" t="n">
        <v>-0.534174198744208</v>
      </c>
      <c r="R529" t="n">
        <v>-0.2493613344782558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1.336004400741513</v>
      </c>
      <c r="AJ529" t="n">
        <v>1</v>
      </c>
    </row>
    <row r="530">
      <c r="A530" t="inlineStr">
        <is>
          <t>2024-06-26</t>
        </is>
      </c>
      <c r="B530" t="n">
        <v>1</v>
      </c>
      <c r="C530" t="n">
        <v>-0.4861491386457855</v>
      </c>
      <c r="D530" t="n">
        <v>-1.32243539462848</v>
      </c>
      <c r="E530" t="n">
        <v>2.99489168678534</v>
      </c>
      <c r="F530" t="n">
        <v>2.93641234658798</v>
      </c>
      <c r="G530" t="n">
        <v>-2.084816280583999</v>
      </c>
      <c r="H530" t="n">
        <v>-3</v>
      </c>
      <c r="I530" t="n">
        <v>-1.873918731314906</v>
      </c>
      <c r="J530" t="n">
        <v>1.076424902977741</v>
      </c>
      <c r="K530" t="n">
        <v>-0.6633653001572195</v>
      </c>
      <c r="L530" t="n">
        <v>0.007879448538237219</v>
      </c>
      <c r="M530" t="n">
        <v>0.217838063345838</v>
      </c>
      <c r="N530" t="n">
        <v>-0.9150646949129898</v>
      </c>
      <c r="O530" t="n">
        <v>-0.2246381475190359</v>
      </c>
      <c r="P530" t="n">
        <v>0.8931609556960743</v>
      </c>
      <c r="Q530" t="n">
        <v>1.387340006319044</v>
      </c>
      <c r="R530" t="n">
        <v>-0.07868854683440241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1.454538305436084</v>
      </c>
      <c r="AJ530" t="n">
        <v>1.333333333333333</v>
      </c>
    </row>
    <row r="531">
      <c r="A531" t="inlineStr">
        <is>
          <t>2024-06-27</t>
        </is>
      </c>
      <c r="B531" t="n">
        <v>1</v>
      </c>
      <c r="C531" t="n">
        <v>-0.3449214984537958</v>
      </c>
      <c r="D531" t="n">
        <v>-1.275064653135661</v>
      </c>
      <c r="E531" t="n">
        <v>2.996678934043776</v>
      </c>
      <c r="F531" t="n">
        <v>2.901464816612035</v>
      </c>
      <c r="G531" t="n">
        <v>-2.022720296526539</v>
      </c>
      <c r="H531" t="n">
        <v>-3</v>
      </c>
      <c r="I531" t="n">
        <v>-1.904970122289178</v>
      </c>
      <c r="J531" t="n">
        <v>1.042200757262274</v>
      </c>
      <c r="K531" t="n">
        <v>-0.2314561925659716</v>
      </c>
      <c r="L531" t="n">
        <v>-0.3206622560209373</v>
      </c>
      <c r="M531" t="n">
        <v>1.075270997283221</v>
      </c>
      <c r="N531" t="n">
        <v>-0.7895155124920926</v>
      </c>
      <c r="O531" t="n">
        <v>0.174107364163175</v>
      </c>
      <c r="P531" t="n">
        <v>0.5395332670520927</v>
      </c>
      <c r="Q531" t="n">
        <v>-0.3743562792289589</v>
      </c>
      <c r="R531" t="n">
        <v>-0.1930054728530548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1.182378401139601</v>
      </c>
      <c r="AJ531" t="n">
        <v>0</v>
      </c>
    </row>
    <row r="532">
      <c r="A532" t="inlineStr">
        <is>
          <t>2024-06-28</t>
        </is>
      </c>
      <c r="B532" t="n">
        <v>1</v>
      </c>
      <c r="C532" t="n">
        <v>-0.6076730675365208</v>
      </c>
      <c r="D532" t="n">
        <v>-1.243064250197066</v>
      </c>
      <c r="E532" t="n">
        <v>2.959243591880723</v>
      </c>
      <c r="F532" t="n">
        <v>2.170883988392071</v>
      </c>
      <c r="G532" t="n">
        <v>-2.131239832326548</v>
      </c>
      <c r="H532" t="n">
        <v>-3</v>
      </c>
      <c r="I532" t="n">
        <v>-1.880181939414469</v>
      </c>
      <c r="J532" t="n">
        <v>-0.8631494716984909</v>
      </c>
      <c r="K532" t="n">
        <v>-0.77256897809756</v>
      </c>
      <c r="L532" t="n">
        <v>1.109830138328188</v>
      </c>
      <c r="M532" t="n">
        <v>-0.279737163643063</v>
      </c>
      <c r="N532" t="n">
        <v>-0.171632711281557</v>
      </c>
      <c r="O532" t="n">
        <v>0.974243981197248</v>
      </c>
      <c r="P532" t="n">
        <v>0.2118712441813794</v>
      </c>
      <c r="Q532" t="n">
        <v>-0.4199907423136566</v>
      </c>
      <c r="R532" t="n">
        <v>-0.2954592117963361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1.032163433699983</v>
      </c>
      <c r="AJ532" t="n">
        <v>0</v>
      </c>
    </row>
    <row r="533">
      <c r="A533" t="inlineStr">
        <is>
          <t>2024-07-01</t>
        </is>
      </c>
      <c r="B533" t="n">
        <v>1</v>
      </c>
      <c r="C533" t="n">
        <v>-0.5071984783821804</v>
      </c>
      <c r="D533" t="n">
        <v>-1.240258351479167</v>
      </c>
      <c r="E533" t="n">
        <v>2.890414803807729</v>
      </c>
      <c r="F533" t="n">
        <v>2.353095373291883</v>
      </c>
      <c r="G533" t="n">
        <v>-2.071447742354433</v>
      </c>
      <c r="H533" t="n">
        <v>-3</v>
      </c>
      <c r="I533" t="n">
        <v>-2.142480464758172</v>
      </c>
      <c r="J533" t="n">
        <v>-0.1586819262645013</v>
      </c>
      <c r="K533" t="n">
        <v>-0.150969925039656</v>
      </c>
      <c r="L533" t="n">
        <v>-0.05125386099248665</v>
      </c>
      <c r="M533" t="n">
        <v>-0.1006039267466261</v>
      </c>
      <c r="N533" t="n">
        <v>-0.4467724089273524</v>
      </c>
      <c r="O533" t="n">
        <v>-0.6898145409033726</v>
      </c>
      <c r="P533" t="n">
        <v>-0.4826480935791135</v>
      </c>
      <c r="Q533" t="n">
        <v>-0.2345608100594667</v>
      </c>
      <c r="R533" t="n">
        <v>-0.3932739795964593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0.7596501870100716</v>
      </c>
      <c r="AJ533" t="n">
        <v>0</v>
      </c>
    </row>
    <row r="534">
      <c r="A534" t="inlineStr">
        <is>
          <t>2024-07-02</t>
        </is>
      </c>
      <c r="B534" t="n">
        <v>1</v>
      </c>
      <c r="C534" t="n">
        <v>-0.6763511617304286</v>
      </c>
      <c r="D534" t="n">
        <v>-1.24233400098148</v>
      </c>
      <c r="E534" t="n">
        <v>2.890078027331734</v>
      </c>
      <c r="F534" t="n">
        <v>2.030829369054315</v>
      </c>
      <c r="G534" t="n">
        <v>-2.147669850760979</v>
      </c>
      <c r="H534" t="n">
        <v>-3</v>
      </c>
      <c r="I534" t="n">
        <v>-2.171619964384048</v>
      </c>
      <c r="J534" t="n">
        <v>0.5441498778350061</v>
      </c>
      <c r="K534" t="n">
        <v>0.0771074503237196</v>
      </c>
      <c r="L534" t="n">
        <v>0.5377866224514978</v>
      </c>
      <c r="M534" t="n">
        <v>-0.2716306396159113</v>
      </c>
      <c r="N534" t="n">
        <v>-0.8947220286942195</v>
      </c>
      <c r="O534" t="n">
        <v>-0.3637507785014613</v>
      </c>
      <c r="P534" t="n">
        <v>-0.3771710740431127</v>
      </c>
      <c r="Q534" t="n">
        <v>-0.5426960036179198</v>
      </c>
      <c r="R534" t="n">
        <v>-1.755375860516725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0.5494185554660604</v>
      </c>
      <c r="AJ534" t="n">
        <v>0</v>
      </c>
    </row>
    <row r="535">
      <c r="A535" t="inlineStr">
        <is>
          <t>2024-07-03</t>
        </is>
      </c>
      <c r="B535" t="n">
        <v>1</v>
      </c>
      <c r="C535" t="n">
        <v>-0.8082276193292101</v>
      </c>
      <c r="D535" t="n">
        <v>-1.221785233843365</v>
      </c>
      <c r="E535" t="n">
        <v>2.598487392843826</v>
      </c>
      <c r="F535" t="n">
        <v>1.663635768939833</v>
      </c>
      <c r="G535" t="n">
        <v>-2.146647563578108</v>
      </c>
      <c r="H535" t="n">
        <v>-3</v>
      </c>
      <c r="I535" t="n">
        <v>-2.146538111307902</v>
      </c>
      <c r="J535" t="n">
        <v>-0.2489016856800649</v>
      </c>
      <c r="K535" t="n">
        <v>0.7166496942825382</v>
      </c>
      <c r="L535" t="n">
        <v>1.016108598444506</v>
      </c>
      <c r="M535" t="n">
        <v>0.2859793029141877</v>
      </c>
      <c r="N535" t="n">
        <v>-0.7048571439856937</v>
      </c>
      <c r="O535" t="n">
        <v>-0.5092375393943496</v>
      </c>
      <c r="P535" t="n">
        <v>-0.09537648053049227</v>
      </c>
      <c r="Q535" t="n">
        <v>-0.3715930539158491</v>
      </c>
      <c r="R535" t="n">
        <v>-0.3058276617214628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0.5643846109876055</v>
      </c>
      <c r="AJ535" t="n">
        <v>0.3333333333333333</v>
      </c>
    </row>
    <row r="536">
      <c r="A536" t="inlineStr">
        <is>
          <t>2024-07-04</t>
        </is>
      </c>
      <c r="B536" t="n">
        <v>1</v>
      </c>
      <c r="C536" t="n">
        <v>-0.8216277566627387</v>
      </c>
      <c r="D536" t="n">
        <v>-1.278541502506204</v>
      </c>
      <c r="E536" t="n">
        <v>-0.1268171086227171</v>
      </c>
      <c r="F536" t="n">
        <v>1.942138480567027</v>
      </c>
      <c r="G536" t="n">
        <v>-0.8943865118009184</v>
      </c>
      <c r="H536" t="n">
        <v>-0.7068399231136564</v>
      </c>
      <c r="I536" t="n">
        <v>-1.713863189370771</v>
      </c>
      <c r="J536" t="n">
        <v>-0.06873126469931434</v>
      </c>
      <c r="K536" t="n">
        <v>0.9825567942346316</v>
      </c>
      <c r="L536" t="n">
        <v>0.7018523968722035</v>
      </c>
      <c r="M536" t="n">
        <v>0.2748578872719006</v>
      </c>
      <c r="N536" t="n">
        <v>-0.7948580308929818</v>
      </c>
      <c r="O536" t="n">
        <v>0.02267430305327506</v>
      </c>
      <c r="P536" t="n">
        <v>1.598395388123524</v>
      </c>
      <c r="Q536" t="n">
        <v>1.199390970171501</v>
      </c>
      <c r="R536" t="n">
        <v>-0.5096792799237232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0.5782718993983023</v>
      </c>
      <c r="AJ536" t="n">
        <v>0.6666666666666666</v>
      </c>
    </row>
    <row r="537">
      <c r="A537" t="inlineStr">
        <is>
          <t>2024-07-10</t>
        </is>
      </c>
      <c r="B537" t="n">
        <v>1</v>
      </c>
      <c r="C537" t="n">
        <v>-0.7592984248755462</v>
      </c>
      <c r="D537" t="n">
        <v>-1.453538311915567</v>
      </c>
      <c r="E537" t="n">
        <v>-1.199256648992703</v>
      </c>
      <c r="F537" t="n">
        <v>3</v>
      </c>
      <c r="G537" t="n">
        <v>1.092545099295392</v>
      </c>
      <c r="H537" t="n">
        <v>0.5292121010469808</v>
      </c>
      <c r="I537" t="n">
        <v>-1.007308546610001</v>
      </c>
      <c r="J537" t="n">
        <v>2.768593579507381</v>
      </c>
      <c r="K537" t="n">
        <v>-0.9819449339443063</v>
      </c>
      <c r="L537" t="n">
        <v>0.08057654435836656</v>
      </c>
      <c r="M537" t="n">
        <v>-0.2021699646190198</v>
      </c>
      <c r="N537" t="n">
        <v>-1.528015940676551</v>
      </c>
      <c r="O537" t="n">
        <v>0.2293834818079199</v>
      </c>
      <c r="P537" t="n">
        <v>-0.08204414056692273</v>
      </c>
      <c r="Q537" t="n">
        <v>0.02952676064610458</v>
      </c>
      <c r="R537" t="n">
        <v>0.6551302836569247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inlineStr">
        <is>
          <t>2024-07-15</t>
        </is>
      </c>
      <c r="B538" t="n">
        <v>1</v>
      </c>
      <c r="C538" t="n">
        <v>-1.137394683344295</v>
      </c>
      <c r="D538" t="n">
        <v>-1.266149032609545</v>
      </c>
      <c r="E538" t="n">
        <v>-1.591619893694405</v>
      </c>
      <c r="F538" t="n">
        <v>1.230379816906482</v>
      </c>
      <c r="G538" t="n">
        <v>1.900550441392489</v>
      </c>
      <c r="H538" t="n">
        <v>0.5689253330451088</v>
      </c>
      <c r="I538" t="n">
        <v>0.9254790305829834</v>
      </c>
      <c r="J538" t="n">
        <v>-0.613328194556144</v>
      </c>
      <c r="K538" t="n">
        <v>0.01996179115573402</v>
      </c>
      <c r="L538" t="n">
        <v>0.8373073579935062</v>
      </c>
      <c r="M538" t="n">
        <v>0.160576084892153</v>
      </c>
      <c r="N538" t="n">
        <v>-0.8867082510928852</v>
      </c>
      <c r="O538" t="n">
        <v>-0.7676341312128666</v>
      </c>
      <c r="P538" t="n">
        <v>-0.5410049484992209</v>
      </c>
      <c r="Q538" t="n">
        <v>-0.5448366259007528</v>
      </c>
      <c r="R538" t="n">
        <v>-0.8305922294129199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0.4886429758620215</v>
      </c>
      <c r="AJ538" t="n">
        <v>0.3333333333333333</v>
      </c>
    </row>
    <row r="539">
      <c r="A539" t="inlineStr">
        <is>
          <t>2024-07-16</t>
        </is>
      </c>
      <c r="B539" t="n">
        <v>1</v>
      </c>
      <c r="C539" t="n">
        <v>-1.265459778542128</v>
      </c>
      <c r="D539" t="n">
        <v>-1.30626328175049</v>
      </c>
      <c r="E539" t="n">
        <v>-1.589552398920599</v>
      </c>
      <c r="F539" t="n">
        <v>1.159922896790361</v>
      </c>
      <c r="G539" t="n">
        <v>1.565984761078945</v>
      </c>
      <c r="H539" t="n">
        <v>0.4348924583067378</v>
      </c>
      <c r="I539" t="n">
        <v>0.9292366486562313</v>
      </c>
      <c r="J539" t="n">
        <v>0.1067604912976306</v>
      </c>
      <c r="K539" t="n">
        <v>0.1892675131286839</v>
      </c>
      <c r="L539" t="n">
        <v>0.3650057934033918</v>
      </c>
      <c r="M539" t="n">
        <v>-0.3429892892457967</v>
      </c>
      <c r="N539" t="n">
        <v>-1.282876538666518</v>
      </c>
      <c r="O539" t="n">
        <v>-0.851331858585451</v>
      </c>
      <c r="P539" t="n">
        <v>-0.4403644502887766</v>
      </c>
      <c r="Q539" t="n">
        <v>-0.4771328550658792</v>
      </c>
      <c r="R539" t="n">
        <v>-0.0960305405909004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0.212027314967745</v>
      </c>
      <c r="AJ539" t="n">
        <v>0</v>
      </c>
    </row>
    <row r="540">
      <c r="A540" t="inlineStr">
        <is>
          <t>2024-07-18</t>
        </is>
      </c>
      <c r="B540" t="n">
        <v>1</v>
      </c>
      <c r="C540" t="n">
        <v>0.3070954876359235</v>
      </c>
      <c r="D540" t="n">
        <v>-1.304253227591834</v>
      </c>
      <c r="E540" t="n">
        <v>-1.586805542216732</v>
      </c>
      <c r="F540" t="n">
        <v>3</v>
      </c>
      <c r="G540" t="n">
        <v>3</v>
      </c>
      <c r="H540" t="n">
        <v>2.04998409578116</v>
      </c>
      <c r="I540" t="n">
        <v>0.7208225562830064</v>
      </c>
      <c r="J540" t="n">
        <v>-0.06765948474604597</v>
      </c>
      <c r="K540" t="n">
        <v>-0.1497664428833674</v>
      </c>
      <c r="L540" t="n">
        <v>0.1316982601018331</v>
      </c>
      <c r="M540" t="n">
        <v>-0.1079746375497218</v>
      </c>
      <c r="N540" t="n">
        <v>-0.180160192575284</v>
      </c>
      <c r="O540" t="n">
        <v>-0.3191853322512164</v>
      </c>
      <c r="P540" t="n">
        <v>-0.3351766071331188</v>
      </c>
      <c r="Q540" t="n">
        <v>-0.3009448500247113</v>
      </c>
      <c r="R540" t="n">
        <v>-0.2488136175062554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</row>
    <row r="541">
      <c r="A541" t="inlineStr">
        <is>
          <t>2024-07-19</t>
        </is>
      </c>
      <c r="B541" t="n">
        <v>1</v>
      </c>
      <c r="C541" t="n">
        <v>0.1436932814698595</v>
      </c>
      <c r="D541" t="n">
        <v>-1.232175952574886</v>
      </c>
      <c r="E541" t="n">
        <v>-1.552728623412983</v>
      </c>
      <c r="F541" t="n">
        <v>3</v>
      </c>
      <c r="G541" t="n">
        <v>3</v>
      </c>
      <c r="H541" t="n">
        <v>1.844612238480427</v>
      </c>
      <c r="I541" t="n">
        <v>-0.6673553970983872</v>
      </c>
      <c r="J541" t="n">
        <v>0.6838473563556908</v>
      </c>
      <c r="K541" t="n">
        <v>-0.4539929322461859</v>
      </c>
      <c r="L541" t="n">
        <v>-0.04058418948128713</v>
      </c>
      <c r="M541" t="n">
        <v>0.2625661607681276</v>
      </c>
      <c r="N541" t="n">
        <v>-0.2410854504931169</v>
      </c>
      <c r="O541" t="n">
        <v>-0.7739970321699948</v>
      </c>
      <c r="P541" t="n">
        <v>-0.7700226805327146</v>
      </c>
      <c r="Q541" t="n">
        <v>-0.588456438031598</v>
      </c>
      <c r="R541" t="n">
        <v>-1.012144747624667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0.3695394665832646</v>
      </c>
      <c r="AJ541" t="n">
        <v>0.3333333333333333</v>
      </c>
    </row>
    <row r="542">
      <c r="A542" t="inlineStr">
        <is>
          <t>2024-07-22</t>
        </is>
      </c>
      <c r="B542" t="n">
        <v>1</v>
      </c>
      <c r="C542" t="n">
        <v>1.061894516076762</v>
      </c>
      <c r="D542" t="n">
        <v>-0.7462181543149223</v>
      </c>
      <c r="E542" t="n">
        <v>-1.230895627053142</v>
      </c>
      <c r="F542" t="n">
        <v>2.458308136634804</v>
      </c>
      <c r="G542" t="n">
        <v>3</v>
      </c>
      <c r="H542" t="n">
        <v>2.43771688202244</v>
      </c>
      <c r="I542" t="n">
        <v>1.648265190297657</v>
      </c>
      <c r="J542" t="n">
        <v>2.247144061422365</v>
      </c>
      <c r="K542" t="n">
        <v>-0.3285870716986069</v>
      </c>
      <c r="L542" t="n">
        <v>-0.5860047410460775</v>
      </c>
      <c r="M542" t="n">
        <v>1.501829703703245</v>
      </c>
      <c r="N542" t="n">
        <v>-0.1745094519589583</v>
      </c>
      <c r="O542" t="n">
        <v>1.091963582547639</v>
      </c>
      <c r="P542" t="n">
        <v>0.3704953528860708</v>
      </c>
      <c r="Q542" t="n">
        <v>0.33174517609862</v>
      </c>
      <c r="R542" t="n">
        <v>-0.5048734330766594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0.9174014373234362</v>
      </c>
      <c r="AJ542" t="n">
        <v>0.6666666666666666</v>
      </c>
    </row>
    <row r="543">
      <c r="A543" t="inlineStr">
        <is>
          <t>2024-07-23</t>
        </is>
      </c>
      <c r="B543" t="n">
        <v>1</v>
      </c>
      <c r="C543" t="n">
        <v>1.23092399032183</v>
      </c>
      <c r="D543" t="n">
        <v>-0.7962769703162542</v>
      </c>
      <c r="E543" t="n">
        <v>-1.245110247265361</v>
      </c>
      <c r="F543" t="n">
        <v>2.883013459713981</v>
      </c>
      <c r="G543" t="n">
        <v>3</v>
      </c>
      <c r="H543" t="n">
        <v>2.627174259851853</v>
      </c>
      <c r="I543" t="n">
        <v>1.426661004890932</v>
      </c>
      <c r="J543" t="n">
        <v>1.260876677993399</v>
      </c>
      <c r="K543" t="n">
        <v>-0.1333728392421918</v>
      </c>
      <c r="L543" t="n">
        <v>0.4712406048783594</v>
      </c>
      <c r="M543" t="n">
        <v>0.8264170610907413</v>
      </c>
      <c r="N543" t="n">
        <v>0.3741260915169748</v>
      </c>
      <c r="O543" t="n">
        <v>-0.7228078523486297</v>
      </c>
      <c r="P543" t="n">
        <v>-0.5005280411787074</v>
      </c>
      <c r="Q543" t="n">
        <v>-0.2336569198162103</v>
      </c>
      <c r="R543" t="n">
        <v>-0.642069521560736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0.6976517643901025</v>
      </c>
      <c r="AJ543" t="n">
        <v>0</v>
      </c>
    </row>
    <row r="544">
      <c r="A544" t="inlineStr">
        <is>
          <t>2024-07-24</t>
        </is>
      </c>
      <c r="B544" t="n">
        <v>1</v>
      </c>
      <c r="C544" t="n">
        <v>-0.5049727471652117</v>
      </c>
      <c r="D544" t="n">
        <v>-0.7861409577718718</v>
      </c>
      <c r="E544" t="n">
        <v>-1.232111300388138</v>
      </c>
      <c r="F544" t="n">
        <v>0.5712163376229985</v>
      </c>
      <c r="G544" t="n">
        <v>1.670441605928715</v>
      </c>
      <c r="H544" t="n">
        <v>0.82680474643346</v>
      </c>
      <c r="I544" t="n">
        <v>1.202117726714883</v>
      </c>
      <c r="J544" t="n">
        <v>-0.06765948474604597</v>
      </c>
      <c r="K544" t="n">
        <v>-0.1497664428833674</v>
      </c>
      <c r="L544" t="n">
        <v>0.1316982601018331</v>
      </c>
      <c r="M544" t="n">
        <v>-0.1079746375497218</v>
      </c>
      <c r="N544" t="n">
        <v>-0.180160192575284</v>
      </c>
      <c r="O544" t="n">
        <v>-0.3191853322512164</v>
      </c>
      <c r="P544" t="n">
        <v>-0.3351766071331188</v>
      </c>
      <c r="Q544" t="n">
        <v>-0.3009448500247113</v>
      </c>
      <c r="R544" t="n">
        <v>-0.2488136175062554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0.87450932771803</v>
      </c>
      <c r="AJ544" t="n">
        <v>0.3333333333333333</v>
      </c>
    </row>
    <row r="545">
      <c r="A545" t="inlineStr">
        <is>
          <t>2024-07-25</t>
        </is>
      </c>
      <c r="B545" t="n">
        <v>1</v>
      </c>
      <c r="C545" t="n">
        <v>-0.283058525478353</v>
      </c>
      <c r="D545" t="n">
        <v>-0.8134969479780879</v>
      </c>
      <c r="E545" t="n">
        <v>-1.243622576182682</v>
      </c>
      <c r="F545" t="n">
        <v>0.93988977307174</v>
      </c>
      <c r="G545" t="n">
        <v>2.127299996999096</v>
      </c>
      <c r="H545" t="n">
        <v>1.067724203696024</v>
      </c>
      <c r="I545" t="n">
        <v>1.178114595253063</v>
      </c>
      <c r="J545" t="n">
        <v>-0.9056658740212752</v>
      </c>
      <c r="K545" t="n">
        <v>-0.5023768845464787</v>
      </c>
      <c r="L545" t="n">
        <v>-1.252046380132692</v>
      </c>
      <c r="M545" t="n">
        <v>-0.2361646895627111</v>
      </c>
      <c r="N545" t="n">
        <v>0.2255629836768623</v>
      </c>
      <c r="O545" t="n">
        <v>0.7535051923664663</v>
      </c>
      <c r="P545" t="n">
        <v>1.419498734834275</v>
      </c>
      <c r="Q545" t="n">
        <v>0.0173557951212035</v>
      </c>
      <c r="R545" t="n">
        <v>0.4904732997230692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1.459572423594667</v>
      </c>
      <c r="AJ545" t="n">
        <v>0.6666666666666666</v>
      </c>
    </row>
    <row r="546">
      <c r="A546" t="inlineStr">
        <is>
          <t>2024-07-26</t>
        </is>
      </c>
      <c r="B546" t="n">
        <v>1</v>
      </c>
      <c r="C546" t="n">
        <v>-0.9017732455450688</v>
      </c>
      <c r="D546" t="n">
        <v>-0.8794838070041464</v>
      </c>
      <c r="E546" t="n">
        <v>-1.232674597241265</v>
      </c>
      <c r="F546" t="n">
        <v>0.2752961326183004</v>
      </c>
      <c r="G546" t="n">
        <v>0.9389224691681213</v>
      </c>
      <c r="H546" t="n">
        <v>0.4191292549545538</v>
      </c>
      <c r="I546" t="n">
        <v>-0.01222919044894765</v>
      </c>
      <c r="J546" t="n">
        <v>-0.9816934281380582</v>
      </c>
      <c r="K546" t="n">
        <v>-0.2142278285269485</v>
      </c>
      <c r="L546" t="n">
        <v>0.787761963931763</v>
      </c>
      <c r="M546" t="n">
        <v>-0.2502151743906893</v>
      </c>
      <c r="N546" t="n">
        <v>-0.4391695942799329</v>
      </c>
      <c r="O546" t="n">
        <v>-0.8220388259502046</v>
      </c>
      <c r="P546" t="n">
        <v>-0.5332376541180329</v>
      </c>
      <c r="Q546" t="n">
        <v>-0.2817002978513241</v>
      </c>
      <c r="R546" t="n">
        <v>-0.6274063343745214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0.9362559352818426</v>
      </c>
      <c r="AJ546" t="n">
        <v>0</v>
      </c>
    </row>
    <row r="547">
      <c r="A547" t="inlineStr">
        <is>
          <t>2024-07-31</t>
        </is>
      </c>
      <c r="B547" t="n">
        <v>1</v>
      </c>
      <c r="C547" t="n">
        <v>-0.8572245964413562</v>
      </c>
      <c r="D547" t="n">
        <v>-0.2480985579036946</v>
      </c>
      <c r="E547" t="n">
        <v>-0.9129622684879201</v>
      </c>
      <c r="F547" t="n">
        <v>-0.7578147596533068</v>
      </c>
      <c r="G547" t="n">
        <v>0.1882480404000237</v>
      </c>
      <c r="H547" t="n">
        <v>0.1155994775457739</v>
      </c>
      <c r="I547" t="n">
        <v>1.625227897482133</v>
      </c>
      <c r="J547" t="n">
        <v>-0.03262969242818189</v>
      </c>
      <c r="K547" t="n">
        <v>-0.112322624594502</v>
      </c>
      <c r="L547" t="n">
        <v>0.4922544332672456</v>
      </c>
      <c r="M547" t="n">
        <v>-0.1495404291613135</v>
      </c>
      <c r="N547" t="n">
        <v>-0.8439681038857711</v>
      </c>
      <c r="O547" t="n">
        <v>-0.9283828677338676</v>
      </c>
      <c r="P547" t="n">
        <v>-0.5071847046554023</v>
      </c>
      <c r="Q547" t="n">
        <v>-0.4595332414476683</v>
      </c>
      <c r="R547" t="n">
        <v>-1.209847700568857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1.461978825228774</v>
      </c>
      <c r="AJ547" t="n">
        <v>0.3333333333333333</v>
      </c>
    </row>
    <row r="548">
      <c r="A548" t="inlineStr">
        <is>
          <t>2024-08-01</t>
        </is>
      </c>
      <c r="B548" t="n">
        <v>1</v>
      </c>
      <c r="C548" t="n">
        <v>-0.724638539136583</v>
      </c>
      <c r="D548" t="n">
        <v>-0.2417382424397557</v>
      </c>
      <c r="E548" t="n">
        <v>-0.9104853118773686</v>
      </c>
      <c r="F548" t="n">
        <v>-0.641849743092049</v>
      </c>
      <c r="G548" t="n">
        <v>0.3803899954548031</v>
      </c>
      <c r="H548" t="n">
        <v>0.249318243011369</v>
      </c>
      <c r="I548" t="n">
        <v>1.303177680252915</v>
      </c>
      <c r="J548" t="n">
        <v>0.145415807020144</v>
      </c>
      <c r="K548" t="n">
        <v>1.159716074842651</v>
      </c>
      <c r="L548" t="n">
        <v>0.7874920630591327</v>
      </c>
      <c r="M548" t="n">
        <v>2.336467889751904</v>
      </c>
      <c r="N548" t="n">
        <v>-0.7888990680612208</v>
      </c>
      <c r="O548" t="n">
        <v>-0.4348659458470579</v>
      </c>
      <c r="P548" t="n">
        <v>-0.05045492687411907</v>
      </c>
      <c r="Q548" t="n">
        <v>-0.2462674600886833</v>
      </c>
      <c r="R548" t="n">
        <v>-0.3241552639180166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1.628136709874852</v>
      </c>
      <c r="AJ548" t="n">
        <v>0.6666666666666666</v>
      </c>
    </row>
    <row r="549">
      <c r="A549" t="inlineStr">
        <is>
          <t>2024-08-05</t>
        </is>
      </c>
      <c r="B549" t="n">
        <v>1</v>
      </c>
      <c r="C549" t="n">
        <v>0.1076774336240692</v>
      </c>
      <c r="D549" t="n">
        <v>-0.2379899774287651</v>
      </c>
      <c r="E549" t="n">
        <v>-0.6855445585582778</v>
      </c>
      <c r="F549" t="n">
        <v>0.1259465851413867</v>
      </c>
      <c r="G549" t="n">
        <v>1.032444838986629</v>
      </c>
      <c r="H549" t="n">
        <v>0.8599304137033977</v>
      </c>
      <c r="I549" t="n">
        <v>0.06332226822173749</v>
      </c>
      <c r="J549" t="n">
        <v>-0.05217829639681677</v>
      </c>
      <c r="K549" t="n">
        <v>-1.565884529425591</v>
      </c>
      <c r="L549" t="n">
        <v>-3</v>
      </c>
      <c r="M549" t="n">
        <v>1.256319617461649</v>
      </c>
      <c r="N549" t="n">
        <v>0.09857543091726451</v>
      </c>
      <c r="O549" t="n">
        <v>-0.3311666809547525</v>
      </c>
      <c r="P549" t="n">
        <v>0.03598627348462698</v>
      </c>
      <c r="Q549" t="n">
        <v>0.3296162874126905</v>
      </c>
      <c r="R549" t="n">
        <v>-0.7274344607622324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0.9017447304849945</v>
      </c>
      <c r="AJ549" t="n">
        <v>0</v>
      </c>
    </row>
    <row r="550">
      <c r="A550" t="inlineStr">
        <is>
          <t>2024-08-08</t>
        </is>
      </c>
      <c r="B550" t="n">
        <v>1</v>
      </c>
      <c r="C550" t="n">
        <v>-0.09903213804393066</v>
      </c>
      <c r="D550" t="n">
        <v>0.8091365510874899</v>
      </c>
      <c r="E550" t="n">
        <v>0.01098811458369723</v>
      </c>
      <c r="F550" t="n">
        <v>-1.085422433794083</v>
      </c>
      <c r="G550" t="n">
        <v>-0.3315252902801113</v>
      </c>
      <c r="H550" t="n">
        <v>-0.1139072677350918</v>
      </c>
      <c r="I550" t="n">
        <v>1.699055524942878</v>
      </c>
      <c r="J550" t="n">
        <v>-1.576548830947371</v>
      </c>
      <c r="K550" t="n">
        <v>-0.1245882275311283</v>
      </c>
      <c r="L550" t="n">
        <v>-0.6331169204305922</v>
      </c>
      <c r="M550" t="n">
        <v>-1.733048086503649</v>
      </c>
      <c r="N550" t="n">
        <v>1.016666669962384</v>
      </c>
      <c r="O550" t="n">
        <v>-0.6109912552709799</v>
      </c>
      <c r="P550" t="n">
        <v>0.3208327409031358</v>
      </c>
      <c r="Q550" t="n">
        <v>0.3996058817437563</v>
      </c>
      <c r="R550" t="n">
        <v>-1.121675467524519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1.07185805301393</v>
      </c>
      <c r="AJ550" t="n">
        <v>0.3333333333333333</v>
      </c>
    </row>
    <row r="551">
      <c r="A551" t="inlineStr">
        <is>
          <t>2024-08-12</t>
        </is>
      </c>
      <c r="B551" t="n">
        <v>1</v>
      </c>
      <c r="C551" t="n">
        <v>-0.007321495047134812</v>
      </c>
      <c r="D551" t="n">
        <v>0.588269427511333</v>
      </c>
      <c r="E551" t="n">
        <v>0.1525677702939031</v>
      </c>
      <c r="F551" t="n">
        <v>-0.8765166636310635</v>
      </c>
      <c r="G551" t="n">
        <v>-0.4020837614204645</v>
      </c>
      <c r="H551" t="n">
        <v>-0.1742532865626306</v>
      </c>
      <c r="I551" t="n">
        <v>1.814756034179891</v>
      </c>
      <c r="J551" t="n">
        <v>-0.4491971094224405</v>
      </c>
      <c r="K551" t="n">
        <v>-0.6219586757540863</v>
      </c>
      <c r="L551" t="n">
        <v>-0.3968104370696331</v>
      </c>
      <c r="M551" t="n">
        <v>-1.890028965863319</v>
      </c>
      <c r="N551" t="n">
        <v>0.2220697985685885</v>
      </c>
      <c r="O551" t="n">
        <v>-0.2914817470460294</v>
      </c>
      <c r="P551" t="n">
        <v>-0.5308380155502215</v>
      </c>
      <c r="Q551" t="n">
        <v>-0.4001892722133444</v>
      </c>
      <c r="R551" t="n">
        <v>-1.418022602206789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1.677200844462835</v>
      </c>
      <c r="AJ551" t="n">
        <v>0.6666666666666666</v>
      </c>
    </row>
    <row r="552">
      <c r="A552" t="inlineStr">
        <is>
          <t>2024-08-13</t>
        </is>
      </c>
      <c r="B552" t="n">
        <v>1</v>
      </c>
      <c r="C552" t="n">
        <v>-0.2510735835067093</v>
      </c>
      <c r="D552" t="n">
        <v>0.5863356027034727</v>
      </c>
      <c r="E552" t="n">
        <v>0.1256319647234616</v>
      </c>
      <c r="F552" t="n">
        <v>-1.032591623860297</v>
      </c>
      <c r="G552" t="n">
        <v>-0.5962578972180895</v>
      </c>
      <c r="H552" t="n">
        <v>-0.3956296040393085</v>
      </c>
      <c r="I552" t="n">
        <v>0.1822590799392817</v>
      </c>
      <c r="J552" t="n">
        <v>-0.02910885782514179</v>
      </c>
      <c r="K552" t="n">
        <v>-0.0876023884621504</v>
      </c>
      <c r="L552" t="n">
        <v>0.3899245472478381</v>
      </c>
      <c r="M552" t="n">
        <v>-0.04075200403322891</v>
      </c>
      <c r="N552" t="n">
        <v>-0.2606061908040585</v>
      </c>
      <c r="O552" t="n">
        <v>-0.1481870500338265</v>
      </c>
      <c r="P552" t="n">
        <v>-0.4866423489820082</v>
      </c>
      <c r="Q552" t="n">
        <v>-0.3816887684313355</v>
      </c>
      <c r="R552" t="n">
        <v>-1.015090854044571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1.433937570416419</v>
      </c>
      <c r="AJ552" t="n">
        <v>0</v>
      </c>
    </row>
    <row r="553">
      <c r="A553" t="inlineStr">
        <is>
          <t>2024-08-14</t>
        </is>
      </c>
      <c r="B553" t="n">
        <v>1</v>
      </c>
      <c r="C553" t="n">
        <v>-0.6739109860250428</v>
      </c>
      <c r="D553" t="n">
        <v>0.5921042815785169</v>
      </c>
      <c r="E553" t="n">
        <v>0.1442578880142427</v>
      </c>
      <c r="F553" t="n">
        <v>-1.309304809638475</v>
      </c>
      <c r="G553" t="n">
        <v>-0.9988647082704289</v>
      </c>
      <c r="H553" t="n">
        <v>-0.8510651652506482</v>
      </c>
      <c r="I553" t="n">
        <v>0.3875902313982352</v>
      </c>
      <c r="J553" t="n">
        <v>-0.6261194100723178</v>
      </c>
      <c r="K553" t="n">
        <v>2.080769106186614</v>
      </c>
      <c r="L553" t="n">
        <v>0.193822012588441</v>
      </c>
      <c r="M553" t="n">
        <v>0.7710925364130126</v>
      </c>
      <c r="N553" t="n">
        <v>-0.3808128548240662</v>
      </c>
      <c r="O553" t="n">
        <v>-0.614161956002618</v>
      </c>
      <c r="P553" t="n">
        <v>-0.09026475677086961</v>
      </c>
      <c r="Q553" t="n">
        <v>-0.0525272874091148</v>
      </c>
      <c r="R553" t="n">
        <v>0.02022549844796148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1.079756291512252</v>
      </c>
      <c r="AJ553" t="n">
        <v>0</v>
      </c>
    </row>
    <row r="554">
      <c r="A554" t="inlineStr">
        <is>
          <t>2024-08-23</t>
        </is>
      </c>
      <c r="B554" t="n">
        <v>1</v>
      </c>
      <c r="C554" t="n">
        <v>-1.107390670037809</v>
      </c>
      <c r="D554" t="n">
        <v>-0.03971185323069794</v>
      </c>
      <c r="E554" t="n">
        <v>0.2356124024702424</v>
      </c>
      <c r="F554" t="n">
        <v>-1.184242694777039</v>
      </c>
      <c r="G554" t="n">
        <v>-1.454235403521638</v>
      </c>
      <c r="H554" t="n">
        <v>-1.396925995994806</v>
      </c>
      <c r="I554" t="n">
        <v>-0.1786027894131191</v>
      </c>
      <c r="J554" t="n">
        <v>1.79277173694386</v>
      </c>
      <c r="K554" t="n">
        <v>-0.7006211836436896</v>
      </c>
      <c r="L554" t="n">
        <v>-0.03951983323231556</v>
      </c>
      <c r="M554" t="n">
        <v>-0.4361540063620373</v>
      </c>
      <c r="N554" t="n">
        <v>-1.576920532192383</v>
      </c>
      <c r="O554" t="n">
        <v>-0.7864156068624092</v>
      </c>
      <c r="P554" t="n">
        <v>-0.4023333097739487</v>
      </c>
      <c r="Q554" t="n">
        <v>-0.2959253973824438</v>
      </c>
      <c r="R554" t="n">
        <v>-0.7971868413703984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0.3617185593345009</v>
      </c>
      <c r="AJ554" t="n">
        <v>0</v>
      </c>
    </row>
    <row r="555">
      <c r="A555" t="inlineStr">
        <is>
          <t>2024-08-26</t>
        </is>
      </c>
      <c r="B555" t="n">
        <v>1</v>
      </c>
      <c r="C555" t="n">
        <v>-1.083738001496126</v>
      </c>
      <c r="D555" t="n">
        <v>-0.07024450900595325</v>
      </c>
      <c r="E555" t="n">
        <v>0.2333995754194777</v>
      </c>
      <c r="F555" t="n">
        <v>-1.138240308703219</v>
      </c>
      <c r="G555" t="n">
        <v>-1.431988229564284</v>
      </c>
      <c r="H555" t="n">
        <v>-1.370170307697301</v>
      </c>
      <c r="I555" t="n">
        <v>-0.6278576571642469</v>
      </c>
      <c r="J555" t="n">
        <v>0.7320879596739396</v>
      </c>
      <c r="K555" t="n">
        <v>0.498909228422027</v>
      </c>
      <c r="L555" t="n">
        <v>0.8856264261125911</v>
      </c>
      <c r="M555" t="n">
        <v>0.3732009724568354</v>
      </c>
      <c r="N555" t="n">
        <v>-1.305479501131818</v>
      </c>
      <c r="O555" t="n">
        <v>-0.9567295103330576</v>
      </c>
      <c r="P555" t="n">
        <v>-0.6911991623201297</v>
      </c>
      <c r="Q555" t="n">
        <v>-0.5871847733898024</v>
      </c>
      <c r="R555" t="n">
        <v>-0.5269081298358507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0.02953264739838535</v>
      </c>
      <c r="AJ555" t="n">
        <v>0</v>
      </c>
    </row>
    <row r="556">
      <c r="A556" t="inlineStr">
        <is>
          <t>2024-09-02</t>
        </is>
      </c>
      <c r="B556" t="n">
        <v>1</v>
      </c>
      <c r="C556" t="n">
        <v>-1.110384706077557</v>
      </c>
      <c r="D556" t="n">
        <v>-0.8737052007660847</v>
      </c>
      <c r="E556" t="n">
        <v>0.01827645076333046</v>
      </c>
      <c r="F556" t="n">
        <v>-0.03099316142421836</v>
      </c>
      <c r="G556" t="n">
        <v>-1.303520996877252</v>
      </c>
      <c r="H556" t="n">
        <v>-1.162510956312444</v>
      </c>
      <c r="I556" t="n">
        <v>-1.55138029252244</v>
      </c>
      <c r="J556" t="n">
        <v>0.8805275718387438</v>
      </c>
      <c r="K556" t="n">
        <v>-0.3089576910708814</v>
      </c>
      <c r="L556" t="n">
        <v>0.3989030206140398</v>
      </c>
      <c r="M556" t="n">
        <v>-0.584355679960996</v>
      </c>
      <c r="N556" t="n">
        <v>-1.368151351603788</v>
      </c>
      <c r="O556" t="n">
        <v>-0.7440947941051402</v>
      </c>
      <c r="P556" t="n">
        <v>-0.6313857217801171</v>
      </c>
      <c r="Q556" t="n">
        <v>-0.4442106512990606</v>
      </c>
      <c r="R556" t="n">
        <v>-1.58095121874877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0.01064392916032375</v>
      </c>
      <c r="AJ556" t="n">
        <v>0</v>
      </c>
    </row>
    <row r="557">
      <c r="A557" t="inlineStr">
        <is>
          <t>2024-09-03</t>
        </is>
      </c>
      <c r="B557" t="n">
        <v>1</v>
      </c>
      <c r="C557" t="n">
        <v>-1.127838740636918</v>
      </c>
      <c r="D557" t="n">
        <v>-0.8317974507985386</v>
      </c>
      <c r="E557" t="n">
        <v>0.01382771065451844</v>
      </c>
      <c r="F557" t="n">
        <v>-0.1481194948062506</v>
      </c>
      <c r="G557" t="n">
        <v>-1.316771881095995</v>
      </c>
      <c r="H557" t="n">
        <v>-1.175609024479141</v>
      </c>
      <c r="I557" t="n">
        <v>-1.739485478579537</v>
      </c>
      <c r="J557" t="n">
        <v>1.079416181058584</v>
      </c>
      <c r="K557" t="n">
        <v>0.01247940121669866</v>
      </c>
      <c r="L557" t="n">
        <v>0.01721068097080367</v>
      </c>
      <c r="M557" t="n">
        <v>0.3483380992345976</v>
      </c>
      <c r="N557" t="n">
        <v>-1.433083498322288</v>
      </c>
      <c r="O557" t="n">
        <v>-0.6738815947366874</v>
      </c>
      <c r="P557" t="n">
        <v>-0.6437113365347469</v>
      </c>
      <c r="Q557" t="n">
        <v>-0.5519546758585925</v>
      </c>
      <c r="R557" t="n">
        <v>-0.4728880598187559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inlineStr">
        <is>
          <t>2024-09-04</t>
        </is>
      </c>
      <c r="B558" t="n">
        <v>1</v>
      </c>
      <c r="C558" t="n">
        <v>-0.8408783847065768</v>
      </c>
      <c r="D558" t="n">
        <v>-1.455040928698646</v>
      </c>
      <c r="E558" t="n">
        <v>0.01325425092079296</v>
      </c>
      <c r="F558" t="n">
        <v>3</v>
      </c>
      <c r="G558" t="n">
        <v>-1.042369652873789</v>
      </c>
      <c r="H558" t="n">
        <v>-0.8797122232635401</v>
      </c>
      <c r="I558" t="n">
        <v>-1.827174992385597</v>
      </c>
      <c r="J558" t="n">
        <v>2.913576139726003</v>
      </c>
      <c r="K558" t="n">
        <v>-1.183053990780093</v>
      </c>
      <c r="L558" t="n">
        <v>-1.764354315715507</v>
      </c>
      <c r="M558" t="n">
        <v>-0.1562599334036287</v>
      </c>
      <c r="N558" t="n">
        <v>-1.606098901920317</v>
      </c>
      <c r="O558" t="n">
        <v>-0.554831437004375</v>
      </c>
      <c r="P558" t="n">
        <v>-0.2830431126576603</v>
      </c>
      <c r="Q558" t="n">
        <v>-0.3991329030260546</v>
      </c>
      <c r="R558" t="n">
        <v>-1.222547008901942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inlineStr">
        <is>
          <t>2024-09-05</t>
        </is>
      </c>
      <c r="B559" t="n">
        <v>1</v>
      </c>
      <c r="C559" t="n">
        <v>-0.8435519163351778</v>
      </c>
      <c r="D559" t="n">
        <v>-1.307372094110807</v>
      </c>
      <c r="E559" t="n">
        <v>-0.1095945237605688</v>
      </c>
      <c r="F559" t="n">
        <v>2.06606444372827</v>
      </c>
      <c r="G559" t="n">
        <v>-0.9330994363717441</v>
      </c>
      <c r="H559" t="n">
        <v>-0.7482190935708475</v>
      </c>
      <c r="I559" t="n">
        <v>-1.389308283761301</v>
      </c>
      <c r="J559" t="n">
        <v>-0.4888741117703857</v>
      </c>
      <c r="K559" t="n">
        <v>0.09521772675738407</v>
      </c>
      <c r="L559" t="n">
        <v>0.8993891178700255</v>
      </c>
      <c r="M559" t="n">
        <v>1.631685888931522</v>
      </c>
      <c r="N559" t="n">
        <v>-0.6310892937580311</v>
      </c>
      <c r="O559" t="n">
        <v>-0.6446425048802326</v>
      </c>
      <c r="P559" t="n">
        <v>0.06830927673449325</v>
      </c>
      <c r="Q559" t="n">
        <v>0.1176998809232488</v>
      </c>
      <c r="R559" t="n">
        <v>-0.5215513063132906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inlineStr">
        <is>
          <t>2024-09-16</t>
        </is>
      </c>
      <c r="B560" t="n">
        <v>1</v>
      </c>
      <c r="C560" t="n">
        <v>-1.063905219265628</v>
      </c>
      <c r="D560" t="n">
        <v>-0.271146357419544</v>
      </c>
      <c r="E560" t="n">
        <v>-0.6961882186684988</v>
      </c>
      <c r="F560" t="n">
        <v>-0.926115770326902</v>
      </c>
      <c r="G560" t="n">
        <v>-0.4865672566858961</v>
      </c>
      <c r="H560" t="n">
        <v>-0.3339479522346822</v>
      </c>
      <c r="I560" t="n">
        <v>0.8302683041701322</v>
      </c>
      <c r="J560" t="n">
        <v>0.0209286804143155</v>
      </c>
      <c r="K560" t="n">
        <v>0.3253760009147039</v>
      </c>
      <c r="L560" t="n">
        <v>0.7643504098630237</v>
      </c>
      <c r="M560" t="n">
        <v>-0.6091609534883654</v>
      </c>
      <c r="N560" t="n">
        <v>-1.062805876845273</v>
      </c>
      <c r="O560" t="n">
        <v>-1.008010872251148</v>
      </c>
      <c r="P560" t="n">
        <v>-0.7446704004705441</v>
      </c>
      <c r="Q560" t="n">
        <v>-0.5049361739166969</v>
      </c>
      <c r="R560" t="n">
        <v>-1.079373743846496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2024-09-17</t>
        </is>
      </c>
      <c r="B561" t="n">
        <v>1</v>
      </c>
      <c r="C561" t="n">
        <v>-0.9644052190981671</v>
      </c>
      <c r="D561" t="n">
        <v>-0.2611168800219947</v>
      </c>
      <c r="E561" t="n">
        <v>-0.6956570748080657</v>
      </c>
      <c r="F561" t="n">
        <v>-0.8433861048196321</v>
      </c>
      <c r="G561" t="n">
        <v>-0.3563049085966811</v>
      </c>
      <c r="H561" t="n">
        <v>-0.2321470452367101</v>
      </c>
      <c r="I561" t="n">
        <v>0.825284249092647</v>
      </c>
      <c r="J561" t="n">
        <v>0.9705199003378493</v>
      </c>
      <c r="K561" t="n">
        <v>-0.49127632182529</v>
      </c>
      <c r="L561" t="n">
        <v>-0.04242921950730131</v>
      </c>
      <c r="M561" t="n">
        <v>-0.4067612621231109</v>
      </c>
      <c r="N561" t="n">
        <v>-1.271986020387782</v>
      </c>
      <c r="O561" t="n">
        <v>-0.7944327691542126</v>
      </c>
      <c r="P561" t="n">
        <v>-0.3256653335625407</v>
      </c>
      <c r="Q561" t="n">
        <v>0.08036885117032486</v>
      </c>
      <c r="R561" t="n">
        <v>-0.4139583390040772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inlineStr">
        <is>
          <t>2024-09-18</t>
        </is>
      </c>
      <c r="B562" t="n">
        <v>1</v>
      </c>
      <c r="C562" t="n">
        <v>-0.7610074657594836</v>
      </c>
      <c r="D562" t="n">
        <v>-0.2611905285398169</v>
      </c>
      <c r="E562" t="n">
        <v>-0.9618764711391787</v>
      </c>
      <c r="F562" t="n">
        <v>-0.6522230765988939</v>
      </c>
      <c r="G562" t="n">
        <v>0.4419466167936125</v>
      </c>
      <c r="H562" t="n">
        <v>0.2680542880322856</v>
      </c>
      <c r="I562" t="n">
        <v>1.449009254271574</v>
      </c>
      <c r="J562" t="n">
        <v>2.397239690644303</v>
      </c>
      <c r="K562" t="n">
        <v>-0.2549337321948609</v>
      </c>
      <c r="L562" t="n">
        <v>0.02352108321022024</v>
      </c>
      <c r="M562" t="n">
        <v>1.306415484034833</v>
      </c>
      <c r="N562" t="n">
        <v>-1.45712483112629</v>
      </c>
      <c r="O562" t="n">
        <v>-0.8980122568046391</v>
      </c>
      <c r="P562" t="n">
        <v>-0.717183249815599</v>
      </c>
      <c r="Q562" t="n">
        <v>-0.4914650270089863</v>
      </c>
      <c r="R562" t="n">
        <v>-0.6269152263850675</v>
      </c>
      <c r="S562" t="n">
        <v>1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inlineStr">
        <is>
          <t>2024-09-23</t>
        </is>
      </c>
      <c r="B563" t="n">
        <v>1</v>
      </c>
      <c r="C563" t="n">
        <v>-0.6849694443287931</v>
      </c>
      <c r="D563" t="n">
        <v>-0.60213017757077</v>
      </c>
      <c r="E563" t="n">
        <v>-0.8420462399543607</v>
      </c>
      <c r="F563" t="n">
        <v>-0.05706022212009484</v>
      </c>
      <c r="G563" t="n">
        <v>0.2915951226598685</v>
      </c>
      <c r="H563" t="n">
        <v>0.2153486755470192</v>
      </c>
      <c r="I563" t="n">
        <v>-0.5038148270254101</v>
      </c>
      <c r="J563" t="n">
        <v>-1.919491337052222</v>
      </c>
      <c r="K563" t="n">
        <v>-0.7722941319909103</v>
      </c>
      <c r="L563" t="n">
        <v>1.624930523645095</v>
      </c>
      <c r="M563" t="n">
        <v>-0.4621066963613762</v>
      </c>
      <c r="N563" t="n">
        <v>0.5424154211449859</v>
      </c>
      <c r="O563" t="n">
        <v>-0.4745742154262717</v>
      </c>
      <c r="P563" t="n">
        <v>0.08732182124374013</v>
      </c>
      <c r="Q563" t="n">
        <v>-0.03167046599244786</v>
      </c>
      <c r="R563" t="n">
        <v>-0.8164077700005231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0.5150954865298142</v>
      </c>
      <c r="AJ563" t="n">
        <v>0.3333333333333333</v>
      </c>
    </row>
    <row r="564">
      <c r="A564" t="inlineStr">
        <is>
          <t>2024-09-24</t>
        </is>
      </c>
      <c r="B564" t="n">
        <v>1</v>
      </c>
      <c r="C564" t="n">
        <v>-0.7981057620304349</v>
      </c>
      <c r="D564" t="n">
        <v>-0.5893867487092436</v>
      </c>
      <c r="E564" t="n">
        <v>-0.8614546439994283</v>
      </c>
      <c r="F564" t="n">
        <v>-0.2097388995768872</v>
      </c>
      <c r="G564" t="n">
        <v>0.1687746754497743</v>
      </c>
      <c r="H564" t="n">
        <v>0.1201448632733441</v>
      </c>
      <c r="I564" t="n">
        <v>-0.398456603280465</v>
      </c>
      <c r="J564" t="n">
        <v>-0.3010114158519374</v>
      </c>
      <c r="K564" t="n">
        <v>-0.2276345712878763</v>
      </c>
      <c r="L564" t="n">
        <v>0.2419723650296438</v>
      </c>
      <c r="M564" t="n">
        <v>0.2513684858644996</v>
      </c>
      <c r="N564" t="n">
        <v>-0.6713636632416575</v>
      </c>
      <c r="O564" t="n">
        <v>-0.7551422739751189</v>
      </c>
      <c r="P564" t="n">
        <v>-0.5333762462134043</v>
      </c>
      <c r="Q564" t="n">
        <v>-0.6008116387916999</v>
      </c>
      <c r="R564" t="n">
        <v>-0.7378191093778078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0.05530413840175849</v>
      </c>
      <c r="AJ564" t="n">
        <v>0</v>
      </c>
    </row>
    <row r="565">
      <c r="A565" t="inlineStr">
        <is>
          <t>2024-09-25</t>
        </is>
      </c>
      <c r="B565" t="n">
        <v>1</v>
      </c>
      <c r="C565" t="n">
        <v>-0.9041895059377331</v>
      </c>
      <c r="D565" t="n">
        <v>-0.5762254630807564</v>
      </c>
      <c r="E565" t="n">
        <v>-0.869513507581659</v>
      </c>
      <c r="F565" t="n">
        <v>-0.3526334213297294</v>
      </c>
      <c r="G565" t="n">
        <v>0.03110488284230943</v>
      </c>
      <c r="H565" t="n">
        <v>0.01979554269904088</v>
      </c>
      <c r="I565" t="n">
        <v>-0.4623675340551631</v>
      </c>
      <c r="J565" t="n">
        <v>1.479067132496972</v>
      </c>
      <c r="K565" t="n">
        <v>-0.165472892736873</v>
      </c>
      <c r="L565" t="n">
        <v>-0.1356946937945293</v>
      </c>
      <c r="M565" t="n">
        <v>-0.3243885235431496</v>
      </c>
      <c r="N565" t="n">
        <v>-1.355822462986352</v>
      </c>
      <c r="O565" t="n">
        <v>-0.83226376457693</v>
      </c>
      <c r="P565" t="n">
        <v>-0.5148679605125311</v>
      </c>
      <c r="Q565" t="n">
        <v>-0.2689094628314939</v>
      </c>
      <c r="R565" t="n">
        <v>-0.1303749295568381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2024-09-26</t>
        </is>
      </c>
      <c r="B566" t="n">
        <v>1</v>
      </c>
      <c r="C566" t="n">
        <v>-0.8134451188589988</v>
      </c>
      <c r="D566" t="n">
        <v>-0.7810034275200515</v>
      </c>
      <c r="E566" t="n">
        <v>-0.8696050746080872</v>
      </c>
      <c r="F566" t="n">
        <v>0.1564030525926759</v>
      </c>
      <c r="G566" t="n">
        <v>0.163084974090513</v>
      </c>
      <c r="H566" t="n">
        <v>0.113267764554452</v>
      </c>
      <c r="I566" t="n">
        <v>-0.840772714802941</v>
      </c>
      <c r="J566" t="n">
        <v>1.51491519544397</v>
      </c>
      <c r="K566" t="n">
        <v>-0.5872028606816949</v>
      </c>
      <c r="L566" t="n">
        <v>0.4531527525815128</v>
      </c>
      <c r="M566" t="n">
        <v>-0.03063916678633352</v>
      </c>
      <c r="N566" t="n">
        <v>-1.295821871714826</v>
      </c>
      <c r="O566" t="n">
        <v>-0.4541619933120078</v>
      </c>
      <c r="P566" t="n">
        <v>0.3014068940416359</v>
      </c>
      <c r="Q566" t="n">
        <v>0.2729550055395793</v>
      </c>
      <c r="R566" t="n">
        <v>-0.008896656405370563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inlineStr">
        <is>
          <t>2024-09-27</t>
        </is>
      </c>
      <c r="B567" t="n">
        <v>1</v>
      </c>
      <c r="C567" t="n">
        <v>-1.086856446233858</v>
      </c>
      <c r="D567" t="n">
        <v>-1.239921599177914</v>
      </c>
      <c r="E567" t="n">
        <v>-0.8430410943332596</v>
      </c>
      <c r="F567" t="n">
        <v>1.207526569219711</v>
      </c>
      <c r="G567" t="n">
        <v>-0.2810436006312543</v>
      </c>
      <c r="H567" t="n">
        <v>-0.1970890260316483</v>
      </c>
      <c r="I567" t="n">
        <v>-0.8369539498555758</v>
      </c>
      <c r="J567" t="n">
        <v>-0.03478742649885565</v>
      </c>
      <c r="K567" t="n">
        <v>-0.2717609899866782</v>
      </c>
      <c r="L567" t="n">
        <v>0.4854089364863953</v>
      </c>
      <c r="M567" t="n">
        <v>-0.1063895523884441</v>
      </c>
      <c r="N567" t="n">
        <v>-1.064860691614846</v>
      </c>
      <c r="O567" t="n">
        <v>-0.9361270974285091</v>
      </c>
      <c r="P567" t="n">
        <v>-0.7050670601505837</v>
      </c>
      <c r="Q567" t="n">
        <v>-0.5687636409197719</v>
      </c>
      <c r="R567" t="n">
        <v>-1.286348946035585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0.5273482443982357</v>
      </c>
      <c r="AJ567" t="n">
        <v>0.3333333333333333</v>
      </c>
    </row>
    <row r="568">
      <c r="A568" t="inlineStr">
        <is>
          <t>2024-10-03</t>
        </is>
      </c>
      <c r="B568" t="n">
        <v>1</v>
      </c>
      <c r="C568" t="n">
        <v>-0.06571766746891759</v>
      </c>
      <c r="D568" t="n">
        <v>-0.4519406636877815</v>
      </c>
      <c r="E568" t="n">
        <v>-0.5495808473231149</v>
      </c>
      <c r="F568" t="n">
        <v>0.3338927067504023</v>
      </c>
      <c r="G568" t="n">
        <v>0.5295442944283305</v>
      </c>
      <c r="H568" t="n">
        <v>0.5329385969088647</v>
      </c>
      <c r="I568" t="n">
        <v>0.6220516100948276</v>
      </c>
      <c r="J568" t="n">
        <v>1.42121629497091</v>
      </c>
      <c r="K568" t="n">
        <v>-1.869284998217609</v>
      </c>
      <c r="L568" t="n">
        <v>-2.578202492682417</v>
      </c>
      <c r="M568" t="n">
        <v>-2.424814176463705</v>
      </c>
      <c r="N568" t="n">
        <v>-0.6986926996769754</v>
      </c>
      <c r="O568" t="n">
        <v>0.9887299020844365</v>
      </c>
      <c r="P568" t="n">
        <v>3</v>
      </c>
      <c r="Q568" t="n">
        <v>0.6590927157971335</v>
      </c>
      <c r="R568" t="n">
        <v>-0.02897254371255361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0.177276628865972</v>
      </c>
      <c r="AJ568" t="n">
        <v>0</v>
      </c>
    </row>
    <row r="569">
      <c r="A569" t="inlineStr">
        <is>
          <t>2024-10-07</t>
        </is>
      </c>
      <c r="B569" t="n">
        <v>1</v>
      </c>
      <c r="C569" t="n">
        <v>0.7192930703642253</v>
      </c>
      <c r="D569" t="n">
        <v>0.3844547729359024</v>
      </c>
      <c r="E569" t="n">
        <v>-0.02956376598641095</v>
      </c>
      <c r="F569" t="n">
        <v>-0.2029499190472009</v>
      </c>
      <c r="G569" t="n">
        <v>0.5101119300981849</v>
      </c>
      <c r="H569" t="n">
        <v>0.772428410229828</v>
      </c>
      <c r="I569" t="n">
        <v>0.2855779658333252</v>
      </c>
      <c r="J569" t="n">
        <v>-0.3621472608216139</v>
      </c>
      <c r="K569" t="n">
        <v>-0.9962696878318645</v>
      </c>
      <c r="L569" t="n">
        <v>1.129272154296475</v>
      </c>
      <c r="M569" t="n">
        <v>1.425622585040904</v>
      </c>
      <c r="N569" t="n">
        <v>0.912693042622001</v>
      </c>
      <c r="O569" t="n">
        <v>-0.7192316236519717</v>
      </c>
      <c r="P569" t="n">
        <v>-0.6968270134098029</v>
      </c>
      <c r="Q569" t="n">
        <v>-0.5166513180385518</v>
      </c>
      <c r="R569" t="n">
        <v>-0.7643456270568946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0.2686695048809513</v>
      </c>
      <c r="AJ569" t="n">
        <v>0.3333333333333333</v>
      </c>
    </row>
    <row r="570">
      <c r="A570" t="inlineStr">
        <is>
          <t>2024-10-08</t>
        </is>
      </c>
      <c r="B570" t="n">
        <v>1</v>
      </c>
      <c r="C570" t="n">
        <v>0.8677448592048453</v>
      </c>
      <c r="D570" t="n">
        <v>0.1704947002310148</v>
      </c>
      <c r="E570" t="n">
        <v>-0.1148637265082637</v>
      </c>
      <c r="F570" t="n">
        <v>0.1637561057304971</v>
      </c>
      <c r="G570" t="n">
        <v>0.7912497068424742</v>
      </c>
      <c r="H570" t="n">
        <v>1.018391346674471</v>
      </c>
      <c r="I570" t="n">
        <v>-0.2510876474871837</v>
      </c>
      <c r="J570" t="n">
        <v>-0.2881993814203692</v>
      </c>
      <c r="K570" t="n">
        <v>-1.11333547928757</v>
      </c>
      <c r="L570" t="n">
        <v>0.02934757202011348</v>
      </c>
      <c r="M570" t="n">
        <v>1.342878838228147</v>
      </c>
      <c r="N570" t="n">
        <v>1.007625484976264</v>
      </c>
      <c r="O570" t="n">
        <v>0.08499267911318896</v>
      </c>
      <c r="P570" t="n">
        <v>-0.525461418199874</v>
      </c>
      <c r="Q570" t="n">
        <v>-0.6057482599586517</v>
      </c>
      <c r="R570" t="n">
        <v>-0.4084635332759589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</row>
    <row r="571">
      <c r="A571" t="inlineStr">
        <is>
          <t>2024-10-09</t>
        </is>
      </c>
      <c r="B571" t="n">
        <v>1</v>
      </c>
      <c r="C571" t="n">
        <v>-0.02807216744458796</v>
      </c>
      <c r="D571" t="n">
        <v>0.1538518473053464</v>
      </c>
      <c r="E571" t="n">
        <v>-0.09310590066639236</v>
      </c>
      <c r="F571" t="n">
        <v>-0.5023262494440498</v>
      </c>
      <c r="G571" t="n">
        <v>-0.1366772181482576</v>
      </c>
      <c r="H571" t="n">
        <v>0.07285721294995136</v>
      </c>
      <c r="I571" t="n">
        <v>0.5713675628253788</v>
      </c>
      <c r="J571" t="n">
        <v>-0.4557803589393334</v>
      </c>
      <c r="K571" t="n">
        <v>0.0537444352825842</v>
      </c>
      <c r="L571" t="n">
        <v>0.646196095655696</v>
      </c>
      <c r="M571" t="n">
        <v>-0.9651829404434898</v>
      </c>
      <c r="N571" t="n">
        <v>0.2046038730272201</v>
      </c>
      <c r="O571" t="n">
        <v>-0.6261779574500926</v>
      </c>
      <c r="P571" t="n">
        <v>-0.2168969472611158</v>
      </c>
      <c r="Q571" t="n">
        <v>-0.2842045014282442</v>
      </c>
      <c r="R571" t="n">
        <v>-0.2999396735797672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inlineStr">
        <is>
          <t>2024-10-10</t>
        </is>
      </c>
      <c r="B572" t="n">
        <v>1</v>
      </c>
      <c r="C572" t="n">
        <v>-0.3868655487369194</v>
      </c>
      <c r="D572" t="n">
        <v>0.1308492809560664</v>
      </c>
      <c r="E572" t="n">
        <v>-0.1082973125992273</v>
      </c>
      <c r="F572" t="n">
        <v>-0.756259673019918</v>
      </c>
      <c r="G572" t="n">
        <v>-0.4767433701831867</v>
      </c>
      <c r="H572" t="n">
        <v>-0.279725550429401</v>
      </c>
      <c r="I572" t="n">
        <v>0.6072852852906444</v>
      </c>
      <c r="J572" t="n">
        <v>-0.8723302766595556</v>
      </c>
      <c r="K572" t="n">
        <v>0.690207735797115</v>
      </c>
      <c r="L572" t="n">
        <v>0.9817199718144763</v>
      </c>
      <c r="M572" t="n">
        <v>-0.4052074587181927</v>
      </c>
      <c r="N572" t="n">
        <v>0.08460269048416987</v>
      </c>
      <c r="O572" t="n">
        <v>-0.5885991819275667</v>
      </c>
      <c r="P572" t="n">
        <v>0.07719227123651949</v>
      </c>
      <c r="Q572" t="n">
        <v>-0.296912355673192</v>
      </c>
      <c r="R572" t="n">
        <v>0.5148627885723113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inlineStr">
        <is>
          <t>2024-10-17</t>
        </is>
      </c>
      <c r="B573" t="n">
        <v>1</v>
      </c>
      <c r="C573" t="n">
        <v>-0.8889952320795013</v>
      </c>
      <c r="D573" t="n">
        <v>-0.1288170681159416</v>
      </c>
      <c r="E573" t="n">
        <v>-0.349292694466554</v>
      </c>
      <c r="F573" t="n">
        <v>-0.9150214031794653</v>
      </c>
      <c r="G573" t="n">
        <v>-0.7296737494202049</v>
      </c>
      <c r="H573" t="n">
        <v>-0.5330460670396729</v>
      </c>
      <c r="I573" t="n">
        <v>-1.039577532882976</v>
      </c>
      <c r="J573" t="n">
        <v>-0.06765948474604597</v>
      </c>
      <c r="K573" t="n">
        <v>-0.1497664428833674</v>
      </c>
      <c r="L573" t="n">
        <v>0.1316982601018331</v>
      </c>
      <c r="M573" t="n">
        <v>-0.1079746375497218</v>
      </c>
      <c r="N573" t="n">
        <v>-0.180160192575284</v>
      </c>
      <c r="O573" t="n">
        <v>-0.3191853322512164</v>
      </c>
      <c r="P573" t="n">
        <v>-0.3351766071331188</v>
      </c>
      <c r="Q573" t="n">
        <v>-0.3009448500247113</v>
      </c>
      <c r="R573" t="n">
        <v>-0.2488136175062554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</row>
    <row r="574">
      <c r="A574" t="inlineStr">
        <is>
          <t>2024-10-18</t>
        </is>
      </c>
      <c r="B574" t="n">
        <v>1</v>
      </c>
      <c r="C574" t="n">
        <v>-0.5915861559597448</v>
      </c>
      <c r="D574" t="n">
        <v>-0.6481515161470263</v>
      </c>
      <c r="E574" t="n">
        <v>-0.298756870432435</v>
      </c>
      <c r="F574" t="n">
        <v>0.1427420032663078</v>
      </c>
      <c r="G574" t="n">
        <v>-0.4634855042854496</v>
      </c>
      <c r="H574" t="n">
        <v>-0.2822480921545485</v>
      </c>
      <c r="I574" t="n">
        <v>-0.6394312488143062</v>
      </c>
      <c r="J574" t="n">
        <v>1.080634576803722</v>
      </c>
      <c r="K574" t="n">
        <v>-1.082640916106316</v>
      </c>
      <c r="L574" t="n">
        <v>-1.437380106622514</v>
      </c>
      <c r="M574" t="n">
        <v>0.7542728188870839</v>
      </c>
      <c r="N574" t="n">
        <v>-1.001366915235047</v>
      </c>
      <c r="O574" t="n">
        <v>-0.1615091152112518</v>
      </c>
      <c r="P574" t="n">
        <v>0.0208723711984689</v>
      </c>
      <c r="Q574" t="n">
        <v>0.3317190802075478</v>
      </c>
      <c r="R574" t="n">
        <v>-0.4626465159159718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inlineStr">
        <is>
          <t>2024-10-22</t>
        </is>
      </c>
      <c r="B575" t="n">
        <v>1</v>
      </c>
      <c r="C575" t="n">
        <v>-0.4501004144772823</v>
      </c>
      <c r="D575" t="n">
        <v>-0.9222766064994528</v>
      </c>
      <c r="E575" t="n">
        <v>-0.4335101740314058</v>
      </c>
      <c r="F575" t="n">
        <v>1.045453339792796</v>
      </c>
      <c r="G575" t="n">
        <v>-0.1219604080124378</v>
      </c>
      <c r="H575" t="n">
        <v>0.01058765083406678</v>
      </c>
      <c r="I575" t="n">
        <v>-0.9074189782289342</v>
      </c>
      <c r="J575" t="n">
        <v>-0.848897204537467</v>
      </c>
      <c r="K575" t="n">
        <v>-0.9629580303027891</v>
      </c>
      <c r="L575" t="n">
        <v>0.3742069790250322</v>
      </c>
      <c r="M575" t="n">
        <v>0.2586666189874807</v>
      </c>
      <c r="N575" t="n">
        <v>-0.002315974268759681</v>
      </c>
      <c r="O575" t="n">
        <v>-0.6790232955560909</v>
      </c>
      <c r="P575" t="n">
        <v>-0.4902048874892704</v>
      </c>
      <c r="Q575" t="n">
        <v>-0.162030306539186</v>
      </c>
      <c r="R575" t="n">
        <v>-0.3119485136102521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2024-10-23</t>
        </is>
      </c>
      <c r="B576" t="n">
        <v>1</v>
      </c>
      <c r="C576" t="n">
        <v>-0.1221912130256059</v>
      </c>
      <c r="D576" t="n">
        <v>-0.8381676283032091</v>
      </c>
      <c r="E576" t="n">
        <v>-0.4514495131918527</v>
      </c>
      <c r="F576" t="n">
        <v>1.232402829720925</v>
      </c>
      <c r="G576" t="n">
        <v>0.2868090617797918</v>
      </c>
      <c r="H576" t="n">
        <v>0.3675958112172192</v>
      </c>
      <c r="I576" t="n">
        <v>-0.5147496267421975</v>
      </c>
      <c r="J576" t="n">
        <v>-0.5870155819620139</v>
      </c>
      <c r="K576" t="n">
        <v>-0.4850893389672775</v>
      </c>
      <c r="L576" t="n">
        <v>0.08748054472631508</v>
      </c>
      <c r="M576" t="n">
        <v>2.490617841910217</v>
      </c>
      <c r="N576" t="n">
        <v>0.1891927622554242</v>
      </c>
      <c r="O576" t="n">
        <v>-0.4846969262043031</v>
      </c>
      <c r="P576" t="n">
        <v>-0.2878094806962904</v>
      </c>
      <c r="Q576" t="n">
        <v>-0.02946206034493545</v>
      </c>
      <c r="R576" t="n">
        <v>-0.3726136271054752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0.1079311613108075</v>
      </c>
      <c r="AJ576" t="n">
        <v>0.3333333333333333</v>
      </c>
    </row>
    <row r="577">
      <c r="A577" t="inlineStr">
        <is>
          <t>2024-10-24</t>
        </is>
      </c>
      <c r="B577" t="n">
        <v>1</v>
      </c>
      <c r="C577" t="n">
        <v>-0.3463265764785984</v>
      </c>
      <c r="D577" t="n">
        <v>-0.8439967682756823</v>
      </c>
      <c r="E577" t="n">
        <v>-0.4686924081363296</v>
      </c>
      <c r="F577" t="n">
        <v>0.9452503480439525</v>
      </c>
      <c r="G577" t="n">
        <v>0.05293251203594033</v>
      </c>
      <c r="H577" t="n">
        <v>0.1558122659422462</v>
      </c>
      <c r="I577" t="n">
        <v>-0.5086966622366303</v>
      </c>
      <c r="J577" t="n">
        <v>-0.8184046141320946</v>
      </c>
      <c r="K577" t="n">
        <v>-0.2996217206097607</v>
      </c>
      <c r="L577" t="n">
        <v>0.5701166936319235</v>
      </c>
      <c r="M577" t="n">
        <v>-0.3844956792774981</v>
      </c>
      <c r="N577" t="n">
        <v>0.09467128285507573</v>
      </c>
      <c r="O577" t="n">
        <v>0.8098887315723317</v>
      </c>
      <c r="P577" t="n">
        <v>2.071330400909834</v>
      </c>
      <c r="Q577" t="n">
        <v>1.325064085655068</v>
      </c>
      <c r="R577" t="n">
        <v>-0.2680914218874821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inlineStr">
        <is>
          <t>2024-10-28</t>
        </is>
      </c>
      <c r="B578" t="n">
        <v>1</v>
      </c>
      <c r="C578" t="n">
        <v>-0.3073458992960257</v>
      </c>
      <c r="D578" t="n">
        <v>-0.7408453818165683</v>
      </c>
      <c r="E578" t="n">
        <v>-0.5727096408803241</v>
      </c>
      <c r="F578" t="n">
        <v>0.7068947993497372</v>
      </c>
      <c r="G578" t="n">
        <v>0.2751908668160035</v>
      </c>
      <c r="H578" t="n">
        <v>0.309587492726759</v>
      </c>
      <c r="I578" t="n">
        <v>-0.8613761603176495</v>
      </c>
      <c r="J578" t="n">
        <v>-0.4425652963483664</v>
      </c>
      <c r="K578" t="n">
        <v>-0.5518839122813647</v>
      </c>
      <c r="L578" t="n">
        <v>0.8843525679500465</v>
      </c>
      <c r="M578" t="n">
        <v>0.5462662274981681</v>
      </c>
      <c r="N578" t="n">
        <v>-0.09457715742257754</v>
      </c>
      <c r="O578" t="n">
        <v>-0.4428830122483797</v>
      </c>
      <c r="P578" t="n">
        <v>-0.3539063694391487</v>
      </c>
      <c r="Q578" t="n">
        <v>-0.254807550850141</v>
      </c>
      <c r="R578" t="n">
        <v>-0.2488136175062554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inlineStr">
        <is>
          <t>2024-10-30</t>
        </is>
      </c>
      <c r="B579" t="n">
        <v>1</v>
      </c>
      <c r="C579" t="n">
        <v>-0.7246801972287756</v>
      </c>
      <c r="D579" t="n">
        <v>-0.6043758903679267</v>
      </c>
      <c r="E579" t="n">
        <v>-0.5433674707546817</v>
      </c>
      <c r="F579" t="n">
        <v>-0.09853407186400785</v>
      </c>
      <c r="G579" t="n">
        <v>-0.2846762114650622</v>
      </c>
      <c r="H579" t="n">
        <v>-0.1518958782973653</v>
      </c>
      <c r="I579" t="n">
        <v>0.03917765575402374</v>
      </c>
      <c r="J579" t="n">
        <v>-0.9272805481725908</v>
      </c>
      <c r="K579" t="n">
        <v>-0.8790280005349618</v>
      </c>
      <c r="L579" t="n">
        <v>-0.6043041742246859</v>
      </c>
      <c r="M579" t="n">
        <v>-0.5197186857737147</v>
      </c>
      <c r="N579" t="n">
        <v>-0.2663596721588624</v>
      </c>
      <c r="O579" t="n">
        <v>-0.3857963056471455</v>
      </c>
      <c r="P579" t="n">
        <v>0.7175902247323558</v>
      </c>
      <c r="Q579" t="n">
        <v>1.303443535365593</v>
      </c>
      <c r="R579" t="n">
        <v>0.2729195539036803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inlineStr">
        <is>
          <t>2024-10-31</t>
        </is>
      </c>
      <c r="B580" t="n">
        <v>1</v>
      </c>
      <c r="C580" t="n">
        <v>-0.5136395961114586</v>
      </c>
      <c r="D580" t="n">
        <v>-0.5993660972134063</v>
      </c>
      <c r="E580" t="n">
        <v>-0.5458481367161444</v>
      </c>
      <c r="F580" t="n">
        <v>0.1342789967110514</v>
      </c>
      <c r="G580" t="n">
        <v>-0.02366664335497759</v>
      </c>
      <c r="H580" t="n">
        <v>0.06796680181775523</v>
      </c>
      <c r="I580" t="n">
        <v>0.1207806255666983</v>
      </c>
      <c r="J580" t="n">
        <v>-0.3926221172867549</v>
      </c>
      <c r="K580" t="n">
        <v>-0.1333693219351684</v>
      </c>
      <c r="L580" t="n">
        <v>-0.5535439974266185</v>
      </c>
      <c r="M580" t="n">
        <v>2.016022739238929</v>
      </c>
      <c r="N580" t="n">
        <v>-0.3358124113704217</v>
      </c>
      <c r="O580" t="n">
        <v>0.4536212806223114</v>
      </c>
      <c r="P580" t="n">
        <v>2.619898754144037</v>
      </c>
      <c r="Q580" t="n">
        <v>2.705393733051261</v>
      </c>
      <c r="R580" t="n">
        <v>1.293176904601052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2024-11-04</t>
        </is>
      </c>
      <c r="B581" t="n">
        <v>1</v>
      </c>
      <c r="C581" t="n">
        <v>0.6283898176796717</v>
      </c>
      <c r="D581" t="n">
        <v>-0.7305871824183966</v>
      </c>
      <c r="E581" t="n">
        <v>-1.020152475631116</v>
      </c>
      <c r="F581" t="n">
        <v>1.854250679589893</v>
      </c>
      <c r="G581" t="n">
        <v>2.797384968419458</v>
      </c>
      <c r="H581" t="n">
        <v>1.761367327120673</v>
      </c>
      <c r="I581" t="n">
        <v>0.1738374052341294</v>
      </c>
      <c r="J581" t="n">
        <v>3</v>
      </c>
      <c r="K581" t="n">
        <v>-0.4861785415890423</v>
      </c>
      <c r="L581" t="n">
        <v>-0.3082946396860022</v>
      </c>
      <c r="M581" t="n">
        <v>0.4191170209293245</v>
      </c>
      <c r="N581" t="n">
        <v>-1.233150021242857</v>
      </c>
      <c r="O581" t="n">
        <v>1.230787763214261</v>
      </c>
      <c r="P581" t="n">
        <v>0.5537098180053791</v>
      </c>
      <c r="Q581" t="n">
        <v>0.8209120189063702</v>
      </c>
      <c r="R581" t="n">
        <v>-0.3149558202304404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inlineStr">
        <is>
          <t>2024-11-05</t>
        </is>
      </c>
      <c r="B582" t="n">
        <v>1</v>
      </c>
      <c r="C582" t="n">
        <v>1.242019870301617</v>
      </c>
      <c r="D582" t="n">
        <v>-0.5960865185498504</v>
      </c>
      <c r="E582" t="n">
        <v>-0.9518614437935015</v>
      </c>
      <c r="F582" t="n">
        <v>2.137250538257685</v>
      </c>
      <c r="G582" t="n">
        <v>3</v>
      </c>
      <c r="H582" t="n">
        <v>2.318141239233031</v>
      </c>
      <c r="I582" t="n">
        <v>0.4240660161869549</v>
      </c>
      <c r="J582" t="n">
        <v>0.7490838572878297</v>
      </c>
      <c r="K582" t="n">
        <v>-0.7653130036063456</v>
      </c>
      <c r="L582" t="n">
        <v>-0.1886348428408293</v>
      </c>
      <c r="M582" t="n">
        <v>1.358352096992696</v>
      </c>
      <c r="N582" t="n">
        <v>0.6605672703954204</v>
      </c>
      <c r="O582" t="n">
        <v>0.5899872649907058</v>
      </c>
      <c r="P582" t="n">
        <v>1.407895738474619</v>
      </c>
      <c r="Q582" t="n">
        <v>0.8565284260616758</v>
      </c>
      <c r="R582" t="n">
        <v>-0.4049882942945834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0.4924346109234345</v>
      </c>
      <c r="AJ582" t="n">
        <v>0.3333333333333333</v>
      </c>
    </row>
    <row r="583">
      <c r="A583" t="inlineStr">
        <is>
          <t>2024-11-06</t>
        </is>
      </c>
      <c r="B583" t="n">
        <v>1</v>
      </c>
      <c r="C583" t="n">
        <v>0.6230890019654984</v>
      </c>
      <c r="D583" t="n">
        <v>-0.5387314535687328</v>
      </c>
      <c r="E583" t="n">
        <v>-0.9228483978042024</v>
      </c>
      <c r="F583" t="n">
        <v>1.271782710058742</v>
      </c>
      <c r="G583" t="n">
        <v>2.4290083368014</v>
      </c>
      <c r="H583" t="n">
        <v>1.649583121752157</v>
      </c>
      <c r="I583" t="n">
        <v>0.629570408941297</v>
      </c>
      <c r="J583" t="n">
        <v>-0.1035398453186657</v>
      </c>
      <c r="K583" t="n">
        <v>0.571324371678217</v>
      </c>
      <c r="L583" t="n">
        <v>0.7110469292467432</v>
      </c>
      <c r="M583" t="n">
        <v>0.1609058611238492</v>
      </c>
      <c r="N583" t="n">
        <v>0.6320053450983593</v>
      </c>
      <c r="O583" t="n">
        <v>-0.3042467934129193</v>
      </c>
      <c r="P583" t="n">
        <v>-0.6320241711502133</v>
      </c>
      <c r="Q583" t="n">
        <v>-0.3917780778494251</v>
      </c>
      <c r="R583" t="n">
        <v>0.2849099736498258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0.1450150264343271</v>
      </c>
      <c r="AJ583" t="n">
        <v>0</v>
      </c>
    </row>
    <row r="584">
      <c r="A584" t="inlineStr">
        <is>
          <t>2024-11-07</t>
        </is>
      </c>
      <c r="B584" t="n">
        <v>1</v>
      </c>
      <c r="C584" t="n">
        <v>-0.7659570119674568</v>
      </c>
      <c r="D584" t="n">
        <v>-0.2284975071150201</v>
      </c>
      <c r="E584" t="n">
        <v>-0.7027122751490502</v>
      </c>
      <c r="F584" t="n">
        <v>-0.6959156899646484</v>
      </c>
      <c r="G584" t="n">
        <v>-0.08284673982632333</v>
      </c>
      <c r="H584" t="n">
        <v>-0.02024254662931112</v>
      </c>
      <c r="I584" t="n">
        <v>1.296968022274781</v>
      </c>
      <c r="J584" t="n">
        <v>-1.589806438927467</v>
      </c>
      <c r="K584" t="n">
        <v>1.85407731891314</v>
      </c>
      <c r="L584" t="n">
        <v>-0.115368468845213</v>
      </c>
      <c r="M584" t="n">
        <v>-2.669328285981159</v>
      </c>
      <c r="N584" t="n">
        <v>0.1392607633548053</v>
      </c>
      <c r="O584" t="n">
        <v>-0.5671928026853733</v>
      </c>
      <c r="P584" t="n">
        <v>-0.1519147467286389</v>
      </c>
      <c r="Q584" t="n">
        <v>-0.3239228165609667</v>
      </c>
      <c r="R584" t="n">
        <v>0.03226362280045532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inlineStr">
        <is>
          <t>2024-11-08</t>
        </is>
      </c>
      <c r="B585" t="n">
        <v>1</v>
      </c>
      <c r="C585" t="n">
        <v>-0.4031425022368447</v>
      </c>
      <c r="D585" t="n">
        <v>-0.02612507225602717</v>
      </c>
      <c r="E585" t="n">
        <v>-0.5968173557023893</v>
      </c>
      <c r="F585" t="n">
        <v>-0.6078311437068702</v>
      </c>
      <c r="G585" t="n">
        <v>0.1989224077625123</v>
      </c>
      <c r="H585" t="n">
        <v>0.2373607315927032</v>
      </c>
      <c r="I585" t="n">
        <v>1.610230958105008</v>
      </c>
      <c r="J585" t="n">
        <v>0.9670113770700215</v>
      </c>
      <c r="K585" t="n">
        <v>-0.7105118186672682</v>
      </c>
      <c r="L585" t="n">
        <v>-0.8364423780538375</v>
      </c>
      <c r="M585" t="n">
        <v>-0.3334253549072584</v>
      </c>
      <c r="N585" t="n">
        <v>-0.8110910675726067</v>
      </c>
      <c r="O585" t="n">
        <v>2.007059757603941</v>
      </c>
      <c r="P585" t="n">
        <v>-0.05013386300568435</v>
      </c>
      <c r="Q585" t="n">
        <v>-0.5626008596394851</v>
      </c>
      <c r="R585" t="n">
        <v>0.6944728878838685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0.6245259794649852</v>
      </c>
      <c r="AJ585" t="n">
        <v>0.3333333333333333</v>
      </c>
    </row>
    <row r="586">
      <c r="A586" t="inlineStr">
        <is>
          <t>2024-11-13</t>
        </is>
      </c>
      <c r="B586" t="n">
        <v>1</v>
      </c>
      <c r="C586" t="n">
        <v>-0.2078303656026617</v>
      </c>
      <c r="D586" t="n">
        <v>-0.218185283371836</v>
      </c>
      <c r="E586" t="n">
        <v>-0.6079198317138781</v>
      </c>
      <c r="F586" t="n">
        <v>-0.1954212589351304</v>
      </c>
      <c r="G586" t="n">
        <v>0.4643784039251264</v>
      </c>
      <c r="H586" t="n">
        <v>0.4504610416024477</v>
      </c>
      <c r="I586" t="n">
        <v>1.223723031633497</v>
      </c>
      <c r="J586" t="n">
        <v>-0.7690119652860933</v>
      </c>
      <c r="K586" t="n">
        <v>-0.962550974920286</v>
      </c>
      <c r="L586" t="n">
        <v>-0.3546564023834183</v>
      </c>
      <c r="M586" t="n">
        <v>1.087013897991546</v>
      </c>
      <c r="N586" t="n">
        <v>0.2163163172137847</v>
      </c>
      <c r="O586" t="n">
        <v>-0.3311801561789751</v>
      </c>
      <c r="P586" t="n">
        <v>-0.6102682805300321</v>
      </c>
      <c r="Q586" t="n">
        <v>-0.4452813367259367</v>
      </c>
      <c r="R586" t="n">
        <v>-0.08970807735103888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0.2302623893027339</v>
      </c>
      <c r="AJ586" t="n">
        <v>0</v>
      </c>
    </row>
    <row r="587">
      <c r="A587" t="inlineStr">
        <is>
          <t>2024-11-14</t>
        </is>
      </c>
      <c r="B587" t="n">
        <v>1</v>
      </c>
      <c r="C587" t="n">
        <v>0.3666601442308911</v>
      </c>
      <c r="D587" t="n">
        <v>-0.02577482544266035</v>
      </c>
      <c r="E587" t="n">
        <v>-0.478654206053444</v>
      </c>
      <c r="F587" t="n">
        <v>0.03404860158046381</v>
      </c>
      <c r="G587" t="n">
        <v>0.9101939117290502</v>
      </c>
      <c r="H587" t="n">
        <v>0.9003314839821135</v>
      </c>
      <c r="I587" t="n">
        <v>-0.2704330563493509</v>
      </c>
      <c r="J587" t="n">
        <v>-0.3630117331112767</v>
      </c>
      <c r="K587" t="n">
        <v>-0.5237600471269229</v>
      </c>
      <c r="L587" t="n">
        <v>0.3635612904517042</v>
      </c>
      <c r="M587" t="n">
        <v>2.790546765445108</v>
      </c>
      <c r="N587" t="n">
        <v>0.551662087608063</v>
      </c>
      <c r="O587" t="n">
        <v>1.350642709868949</v>
      </c>
      <c r="P587" t="n">
        <v>2.947190207655496</v>
      </c>
      <c r="Q587" t="n">
        <v>3</v>
      </c>
      <c r="R587" t="n">
        <v>0.744873829641532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0.1702524393008935</v>
      </c>
      <c r="AJ587" t="n">
        <v>0</v>
      </c>
    </row>
    <row r="588">
      <c r="A588" t="inlineStr">
        <is>
          <t>2024-11-21</t>
        </is>
      </c>
      <c r="B588" t="n">
        <v>1</v>
      </c>
      <c r="C588" t="n">
        <v>1.029407911825407</v>
      </c>
      <c r="D588" t="n">
        <v>-0.1218078549583416</v>
      </c>
      <c r="E588" t="n">
        <v>-0.5399808133227587</v>
      </c>
      <c r="F588" t="n">
        <v>0.7550791859768867</v>
      </c>
      <c r="G588" t="n">
        <v>1.842923315369206</v>
      </c>
      <c r="H588" t="n">
        <v>1.649286278511913</v>
      </c>
      <c r="I588" t="n">
        <v>-0.1681088696313838</v>
      </c>
      <c r="J588" t="n">
        <v>0.8608367107386506</v>
      </c>
      <c r="K588" t="n">
        <v>-0.6641181366451445</v>
      </c>
      <c r="L588" t="n">
        <v>-0.7646477945339456</v>
      </c>
      <c r="M588" t="n">
        <v>1.091402677560785</v>
      </c>
      <c r="N588" t="n">
        <v>0.4191265349706182</v>
      </c>
      <c r="O588" t="n">
        <v>3</v>
      </c>
      <c r="P588" t="n">
        <v>3</v>
      </c>
      <c r="Q588" t="n">
        <v>-0.2551779266935962</v>
      </c>
      <c r="R588" t="n">
        <v>0.9019209542665837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inlineStr">
        <is>
          <t>2024-11-22</t>
        </is>
      </c>
      <c r="B589" t="n">
        <v>1</v>
      </c>
      <c r="C589" t="n">
        <v>0.124230586592402</v>
      </c>
      <c r="D589" t="n">
        <v>-0.263977320337119</v>
      </c>
      <c r="E589" t="n">
        <v>-0.5713772272491711</v>
      </c>
      <c r="F589" t="n">
        <v>0.1840493850909004</v>
      </c>
      <c r="G589" t="n">
        <v>0.8057934010397085</v>
      </c>
      <c r="H589" t="n">
        <v>0.7522055549092105</v>
      </c>
      <c r="I589" t="n">
        <v>-0.2776829163252753</v>
      </c>
      <c r="J589" t="n">
        <v>0.1309626660493153</v>
      </c>
      <c r="K589" t="n">
        <v>-1.044926279479107</v>
      </c>
      <c r="L589" t="n">
        <v>1.130946687760609</v>
      </c>
      <c r="M589" t="n">
        <v>-0.01244535015384796</v>
      </c>
      <c r="N589" t="n">
        <v>0.01309513650303621</v>
      </c>
      <c r="O589" t="n">
        <v>-0.7269726253198467</v>
      </c>
      <c r="P589" t="n">
        <v>-0.4796616162867187</v>
      </c>
      <c r="Q589" t="n">
        <v>-0.286003391483633</v>
      </c>
      <c r="R589" t="n">
        <v>-0.3147356272300287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inlineStr">
        <is>
          <t>2024-11-27</t>
        </is>
      </c>
      <c r="B590" t="n">
        <v>1</v>
      </c>
      <c r="C590" t="n">
        <v>-0.4742052693656027</v>
      </c>
      <c r="D590" t="n">
        <v>0.6512202701952641</v>
      </c>
      <c r="E590" t="n">
        <v>0.1585018082173525</v>
      </c>
      <c r="F590" t="n">
        <v>-1.217643237625677</v>
      </c>
      <c r="G590" t="n">
        <v>-0.8303072846372969</v>
      </c>
      <c r="H590" t="n">
        <v>-0.6611415438970634</v>
      </c>
      <c r="I590" t="n">
        <v>1.060200088367693</v>
      </c>
      <c r="J590" t="n">
        <v>-0.1402502266753786</v>
      </c>
      <c r="K590" t="n">
        <v>0.08990224250185452</v>
      </c>
      <c r="L590" t="n">
        <v>0.002769361240756898</v>
      </c>
      <c r="M590" t="n">
        <v>-0.4373765602501249</v>
      </c>
      <c r="N590" t="n">
        <v>-0.4231420390772651</v>
      </c>
      <c r="O590" t="n">
        <v>-0.6378522475683464</v>
      </c>
      <c r="P590" t="n">
        <v>-0.6641436760439839</v>
      </c>
      <c r="Q590" t="n">
        <v>-0.573743562839744</v>
      </c>
      <c r="R590" t="n">
        <v>-0.7188597112063417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0.5531996064301226</v>
      </c>
      <c r="AJ590" t="n">
        <v>0.3333333333333333</v>
      </c>
    </row>
    <row r="591">
      <c r="A591" t="inlineStr">
        <is>
          <t>2024-11-28</t>
        </is>
      </c>
      <c r="B591" t="n">
        <v>1</v>
      </c>
      <c r="C591" t="n">
        <v>-0.5492671499072027</v>
      </c>
      <c r="D591" t="n">
        <v>0.6643978490662525</v>
      </c>
      <c r="E591" t="n">
        <v>0.1337513908858939</v>
      </c>
      <c r="F591" t="n">
        <v>-1.272863023942815</v>
      </c>
      <c r="G591" t="n">
        <v>-0.8763023230618656</v>
      </c>
      <c r="H591" t="n">
        <v>-0.7113308281332733</v>
      </c>
      <c r="I591" t="n">
        <v>1.046228337449415</v>
      </c>
      <c r="J591" t="n">
        <v>-0.008583500948111198</v>
      </c>
      <c r="K591" t="n">
        <v>-0.1591126474531717</v>
      </c>
      <c r="L591" t="n">
        <v>0.3542277455057239</v>
      </c>
      <c r="M591" t="n">
        <v>-0.418416310001675</v>
      </c>
      <c r="N591" t="n">
        <v>-0.5575269250073255</v>
      </c>
      <c r="O591" t="n">
        <v>-0.5303214797685597</v>
      </c>
      <c r="P591" t="n">
        <v>0.3954076437305264</v>
      </c>
      <c r="Q591" t="n">
        <v>-0.2021543157253499</v>
      </c>
      <c r="R591" t="n">
        <v>0.7528551002909002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inlineStr">
        <is>
          <t>2024-12-03</t>
        </is>
      </c>
      <c r="B592" t="n">
        <v>1</v>
      </c>
      <c r="C592" t="n">
        <v>0.1300605383799883</v>
      </c>
      <c r="D592" t="n">
        <v>0.5209223021084033</v>
      </c>
      <c r="E592" t="n">
        <v>0.2871923185256676</v>
      </c>
      <c r="F592" t="n">
        <v>-0.7334294971309518</v>
      </c>
      <c r="G592" t="n">
        <v>-0.41937408026578</v>
      </c>
      <c r="H592" t="n">
        <v>-0.1800051087681636</v>
      </c>
      <c r="I592" t="n">
        <v>-0.2400455470470657</v>
      </c>
      <c r="J592" t="n">
        <v>-0.07269902079455386</v>
      </c>
      <c r="K592" t="n">
        <v>-0.5462545274489121</v>
      </c>
      <c r="L592" t="n">
        <v>0.4984438191284506</v>
      </c>
      <c r="M592" t="n">
        <v>1.547480208186451</v>
      </c>
      <c r="N592" t="n">
        <v>0.1320689116613007</v>
      </c>
      <c r="O592" t="n">
        <v>-0.8391631921452465</v>
      </c>
      <c r="P592" t="n">
        <v>-0.592546091843011</v>
      </c>
      <c r="Q592" t="n">
        <v>-0.452707235035792</v>
      </c>
      <c r="R592" t="n">
        <v>-0.3967975706988026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0.6483379959219504</v>
      </c>
      <c r="AJ592" t="n">
        <v>0.3333333333333333</v>
      </c>
    </row>
    <row r="593">
      <c r="A593" t="inlineStr">
        <is>
          <t>2024-12-04</t>
        </is>
      </c>
      <c r="B593" t="n">
        <v>1</v>
      </c>
      <c r="C593" t="n">
        <v>0.2872697054827325</v>
      </c>
      <c r="D593" t="n">
        <v>0.4593237585224668</v>
      </c>
      <c r="E593" t="n">
        <v>0.3109287718629524</v>
      </c>
      <c r="F593" t="n">
        <v>-0.5746443278508452</v>
      </c>
      <c r="G593" t="n">
        <v>-0.3084406837205657</v>
      </c>
      <c r="H593" t="n">
        <v>-0.04418170043768172</v>
      </c>
      <c r="I593" t="n">
        <v>-0.192976521086452</v>
      </c>
      <c r="J593" t="n">
        <v>1.710628071949692</v>
      </c>
      <c r="K593" t="n">
        <v>-0.5542980722091305</v>
      </c>
      <c r="L593" t="n">
        <v>0.2486958258752118</v>
      </c>
      <c r="M593" t="n">
        <v>0.5420910418675761</v>
      </c>
      <c r="N593" t="n">
        <v>-0.5326636662954951</v>
      </c>
      <c r="O593" t="n">
        <v>-0.3954964447257489</v>
      </c>
      <c r="P593" t="n">
        <v>0.9584923709439054</v>
      </c>
      <c r="Q593" t="n">
        <v>0.5424466206860272</v>
      </c>
      <c r="R593" t="n">
        <v>0.1901187086149739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0.4686367054855388</v>
      </c>
      <c r="AJ593" t="n">
        <v>0</v>
      </c>
    </row>
    <row r="594">
      <c r="A594" t="inlineStr">
        <is>
          <t>2024-12-05</t>
        </is>
      </c>
      <c r="B594" t="n">
        <v>1</v>
      </c>
      <c r="C594" t="n">
        <v>1.0274958760007</v>
      </c>
      <c r="D594" t="n">
        <v>0.4643688953683167</v>
      </c>
      <c r="E594" t="n">
        <v>0.2120588184165258</v>
      </c>
      <c r="F594" t="n">
        <v>-0.0783238679335914</v>
      </c>
      <c r="G594" t="n">
        <v>0.4534417070683553</v>
      </c>
      <c r="H594" t="n">
        <v>0.8255209374841556</v>
      </c>
      <c r="I594" t="n">
        <v>-0.1271133882553536</v>
      </c>
      <c r="J594" t="n">
        <v>0.4262704317470242</v>
      </c>
      <c r="K594" t="n">
        <v>-0.3670986619605195</v>
      </c>
      <c r="L594" t="n">
        <v>0.4145428534692144</v>
      </c>
      <c r="M594" t="n">
        <v>2.592070555676961</v>
      </c>
      <c r="N594" t="n">
        <v>0.6683755665197975</v>
      </c>
      <c r="O594" t="n">
        <v>-0.09186453704572957</v>
      </c>
      <c r="P594" t="n">
        <v>1.188615846855202</v>
      </c>
      <c r="Q594" t="n">
        <v>1.330846974481002</v>
      </c>
      <c r="R594" t="n">
        <v>0.7480648544508786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0.963493397441695</v>
      </c>
      <c r="AJ594" t="n">
        <v>0.3333333333333333</v>
      </c>
    </row>
    <row r="595">
      <c r="A595" t="inlineStr">
        <is>
          <t>2024-12-06</t>
        </is>
      </c>
      <c r="B595" t="n">
        <v>1</v>
      </c>
      <c r="C595" t="n">
        <v>0.3450635846490162</v>
      </c>
      <c r="D595" t="n">
        <v>0.2732285940711169</v>
      </c>
      <c r="E595" t="n">
        <v>0.2252442082218301</v>
      </c>
      <c r="F595" t="n">
        <v>-0.3502214933266714</v>
      </c>
      <c r="G595" t="n">
        <v>-0.1661988482478692</v>
      </c>
      <c r="H595" t="n">
        <v>0.1089183348908116</v>
      </c>
      <c r="I595" t="n">
        <v>-1.70179614558853</v>
      </c>
      <c r="J595" t="n">
        <v>-0.793841802193011</v>
      </c>
      <c r="K595" t="n">
        <v>-1.134393061194129</v>
      </c>
      <c r="L595" t="n">
        <v>0.280402170227153</v>
      </c>
      <c r="M595" t="n">
        <v>0.3744795305076099</v>
      </c>
      <c r="N595" t="n">
        <v>0.8506376365809031</v>
      </c>
      <c r="O595" t="n">
        <v>-0.4251139285427385</v>
      </c>
      <c r="P595" t="n">
        <v>0.1235654908690154</v>
      </c>
      <c r="Q595" t="n">
        <v>0.6344908949383649</v>
      </c>
      <c r="R595" t="n">
        <v>-0.6434176611883677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1.487078607920412</v>
      </c>
      <c r="AJ595" t="n">
        <v>0.6666666666666666</v>
      </c>
    </row>
    <row r="596">
      <c r="A596" t="inlineStr">
        <is>
          <t>2024-12-09</t>
        </is>
      </c>
      <c r="B596" t="n">
        <v>1</v>
      </c>
      <c r="C596" t="n">
        <v>0.06766095269155607</v>
      </c>
      <c r="D596" t="n">
        <v>-0.2512457527549596</v>
      </c>
      <c r="E596" t="n">
        <v>0.1216025241604255</v>
      </c>
      <c r="F596" t="n">
        <v>0.1100986586616542</v>
      </c>
      <c r="G596" t="n">
        <v>-0.3002126668274641</v>
      </c>
      <c r="H596" t="n">
        <v>-0.06326195298042163</v>
      </c>
      <c r="I596" t="n">
        <v>-1.569989129070552</v>
      </c>
      <c r="J596" t="n">
        <v>0.1488431582714303</v>
      </c>
      <c r="K596" t="n">
        <v>-0.2861098730782071</v>
      </c>
      <c r="L596" t="n">
        <v>-0.1640477145035822</v>
      </c>
      <c r="M596" t="n">
        <v>-0.9369185947006652</v>
      </c>
      <c r="N596" t="n">
        <v>-0.04937123249197614</v>
      </c>
      <c r="O596" t="n">
        <v>-0.7858036844615982</v>
      </c>
      <c r="P596" t="n">
        <v>-0.5916476707364715</v>
      </c>
      <c r="Q596" t="n">
        <v>-0.2593428227648372</v>
      </c>
      <c r="R596" t="n">
        <v>-0.2685384438633225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0.9785828976886963</v>
      </c>
      <c r="AJ596" t="n">
        <v>0</v>
      </c>
    </row>
    <row r="597">
      <c r="A597" t="inlineStr">
        <is>
          <t>2024-12-10</t>
        </is>
      </c>
      <c r="B597" t="n">
        <v>1</v>
      </c>
      <c r="C597" t="n">
        <v>-0.2034237867319112</v>
      </c>
      <c r="D597" t="n">
        <v>-0.5228922309646317</v>
      </c>
      <c r="E597" t="n">
        <v>0.0168294454380795</v>
      </c>
      <c r="F597" t="n">
        <v>0.3274614613413239</v>
      </c>
      <c r="G597" t="n">
        <v>-0.4377233069748223</v>
      </c>
      <c r="H597" t="n">
        <v>-0.2277050534266029</v>
      </c>
      <c r="I597" t="n">
        <v>-1.140819586503467</v>
      </c>
      <c r="J597" t="n">
        <v>0.6553055009561531</v>
      </c>
      <c r="K597" t="n">
        <v>-0.1536968574083363</v>
      </c>
      <c r="L597" t="n">
        <v>0.3742677172013537</v>
      </c>
      <c r="M597" t="n">
        <v>-0.6031611826268184</v>
      </c>
      <c r="N597" t="n">
        <v>-0.5267047034637338</v>
      </c>
      <c r="O597" t="n">
        <v>-0.812261310969725</v>
      </c>
      <c r="P597" t="n">
        <v>-0.5118902738917679</v>
      </c>
      <c r="Q597" t="n">
        <v>-0.33935230870345</v>
      </c>
      <c r="R597" t="n">
        <v>-0.08303198986497036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0.37007808472675</v>
      </c>
      <c r="AJ597" t="n">
        <v>0</v>
      </c>
    </row>
    <row r="598">
      <c r="A598" t="inlineStr">
        <is>
          <t>2024-12-11</t>
        </is>
      </c>
      <c r="B598" t="n">
        <v>1</v>
      </c>
      <c r="C598" t="n">
        <v>-0.5370154343864079</v>
      </c>
      <c r="D598" t="n">
        <v>-0.5317660038019135</v>
      </c>
      <c r="E598" t="n">
        <v>0.008175793861409856</v>
      </c>
      <c r="F598" t="n">
        <v>-0.02092123393346994</v>
      </c>
      <c r="G598" t="n">
        <v>-0.7472778942530004</v>
      </c>
      <c r="H598" t="n">
        <v>-0.5615004871388073</v>
      </c>
      <c r="I598" t="n">
        <v>-1.226230202206785</v>
      </c>
      <c r="J598" t="n">
        <v>0.1634315013791001</v>
      </c>
      <c r="K598" t="n">
        <v>0.7448516949792867</v>
      </c>
      <c r="L598" t="n">
        <v>0.2843430016421166</v>
      </c>
      <c r="M598" t="n">
        <v>-0.140819570182526</v>
      </c>
      <c r="N598" t="n">
        <v>-0.6210207013871244</v>
      </c>
      <c r="O598" t="n">
        <v>-0.8917120461939101</v>
      </c>
      <c r="P598" t="n">
        <v>-0.2206344697232804</v>
      </c>
      <c r="Q598" t="n">
        <v>0.150691699324678</v>
      </c>
      <c r="R598" t="n">
        <v>-0.1091993309860741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inlineStr">
        <is>
          <t>2024-12-13</t>
        </is>
      </c>
      <c r="B599" t="n">
        <v>1</v>
      </c>
      <c r="C599" t="n">
        <v>-0.6079493434012497</v>
      </c>
      <c r="D599" t="n">
        <v>-1.095183337070867</v>
      </c>
      <c r="E599" t="n">
        <v>-0.08668560782129668</v>
      </c>
      <c r="F599" t="n">
        <v>1.441627268081139</v>
      </c>
      <c r="G599" t="n">
        <v>-0.7207824986284631</v>
      </c>
      <c r="H599" t="n">
        <v>-0.5308278659835347</v>
      </c>
      <c r="I599" t="n">
        <v>-1.784478348586114</v>
      </c>
      <c r="J599" t="n">
        <v>1.929519417892379</v>
      </c>
      <c r="K599" t="n">
        <v>-0.6599218921542854</v>
      </c>
      <c r="L599" t="n">
        <v>-0.7984662877857625</v>
      </c>
      <c r="M599" t="n">
        <v>0.2183877655459239</v>
      </c>
      <c r="N599" t="n">
        <v>-1.246917280198994</v>
      </c>
      <c r="O599" t="n">
        <v>1.413131697263727</v>
      </c>
      <c r="P599" t="n">
        <v>-0.252402013350715</v>
      </c>
      <c r="Q599" t="n">
        <v>-0.08983730779456091</v>
      </c>
      <c r="R599" t="n">
        <v>-0.08997665922296527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inlineStr">
        <is>
          <t>2024-12-17</t>
        </is>
      </c>
      <c r="B600" t="n">
        <v>1</v>
      </c>
      <c r="C600" t="n">
        <v>0.1780326558172588</v>
      </c>
      <c r="D600" t="n">
        <v>-1.083174592183553</v>
      </c>
      <c r="E600" t="n">
        <v>-0.2740562130549632</v>
      </c>
      <c r="F600" t="n">
        <v>2.709852684479777</v>
      </c>
      <c r="G600" t="n">
        <v>0.3331348080864124</v>
      </c>
      <c r="H600" t="n">
        <v>0.4826654643267094</v>
      </c>
      <c r="I600" t="n">
        <v>-1.144017440660963</v>
      </c>
      <c r="J600" t="n">
        <v>1.001105643180665</v>
      </c>
      <c r="K600" t="n">
        <v>-0.619518261822412</v>
      </c>
      <c r="L600" t="n">
        <v>-0.5743127943536518</v>
      </c>
      <c r="M600" t="n">
        <v>2.676364093506985</v>
      </c>
      <c r="N600" t="n">
        <v>-0.3489632258956876</v>
      </c>
      <c r="O600" t="n">
        <v>-0.6510079364551445</v>
      </c>
      <c r="P600" t="n">
        <v>-0.494254408571825</v>
      </c>
      <c r="Q600" t="n">
        <v>-0.5060020313889888</v>
      </c>
      <c r="R600" t="n">
        <v>-1.335553171023999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0.4906933549028205</v>
      </c>
      <c r="AJ600" t="n">
        <v>0.3333333333333333</v>
      </c>
    </row>
    <row r="601">
      <c r="A601" t="inlineStr">
        <is>
          <t>2024-12-18</t>
        </is>
      </c>
      <c r="B601" t="n">
        <v>1</v>
      </c>
      <c r="C601" t="n">
        <v>-0.1525154798644183</v>
      </c>
      <c r="D601" t="n">
        <v>-0.6966039524389688</v>
      </c>
      <c r="E601" t="n">
        <v>-0.1154552289082876</v>
      </c>
      <c r="F601" t="n">
        <v>0.7843490423505999</v>
      </c>
      <c r="G601" t="n">
        <v>-0.2330474750492286</v>
      </c>
      <c r="H601" t="n">
        <v>-0.03076730092410686</v>
      </c>
      <c r="I601" t="n">
        <v>-0.2736198915614496</v>
      </c>
      <c r="J601" t="n">
        <v>-0.4996772000857151</v>
      </c>
      <c r="K601" t="n">
        <v>-0.4934269243074106</v>
      </c>
      <c r="L601" t="n">
        <v>-0.3364365582899662</v>
      </c>
      <c r="M601" t="n">
        <v>-0.786216581788156</v>
      </c>
      <c r="N601" t="n">
        <v>0.1016576530716233</v>
      </c>
      <c r="O601" t="n">
        <v>-0.6193186945170321</v>
      </c>
      <c r="P601" t="n">
        <v>-0.2580058141901347</v>
      </c>
      <c r="Q601" t="n">
        <v>-0.5420892269470555</v>
      </c>
      <c r="R601" t="n">
        <v>-1.223653081899974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0.9663950730545549</v>
      </c>
      <c r="AJ601" t="n">
        <v>0.6666666666666666</v>
      </c>
    </row>
    <row r="602">
      <c r="A602" t="inlineStr">
        <is>
          <t>2024-12-19</t>
        </is>
      </c>
      <c r="B602" t="n">
        <v>1</v>
      </c>
      <c r="C602" t="n">
        <v>0.5605474963358668</v>
      </c>
      <c r="D602" t="n">
        <v>-0.6211285989728786</v>
      </c>
      <c r="E602" t="n">
        <v>-0.05647765554811164</v>
      </c>
      <c r="F602" t="n">
        <v>1.428364849421434</v>
      </c>
      <c r="G602" t="n">
        <v>0.3950147336001654</v>
      </c>
      <c r="H602" t="n">
        <v>0.638496275175513</v>
      </c>
      <c r="I602" t="n">
        <v>-0.3734386328183179</v>
      </c>
      <c r="J602" t="n">
        <v>1.155793316870457</v>
      </c>
      <c r="K602" t="n">
        <v>-2.509260516978287</v>
      </c>
      <c r="L602" t="n">
        <v>-2.24053083446706</v>
      </c>
      <c r="M602" t="n">
        <v>-0.738421404064204</v>
      </c>
      <c r="N602" t="n">
        <v>-0.106495083086099</v>
      </c>
      <c r="O602" t="n">
        <v>2.581062827356696</v>
      </c>
      <c r="P602" t="n">
        <v>3</v>
      </c>
      <c r="Q602" t="n">
        <v>3</v>
      </c>
      <c r="R602" t="n">
        <v>3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0.4817679619796399</v>
      </c>
      <c r="AJ602" t="n">
        <v>0</v>
      </c>
    </row>
    <row r="603">
      <c r="A603" t="inlineStr">
        <is>
          <t>2024-12-26</t>
        </is>
      </c>
      <c r="B603" t="n">
        <v>1</v>
      </c>
      <c r="C603" t="n">
        <v>-0.8289045074786273</v>
      </c>
      <c r="D603" t="n">
        <v>-0.2435875557253347</v>
      </c>
      <c r="E603" t="n">
        <v>-0.4573063849780802</v>
      </c>
      <c r="F603" t="n">
        <v>-0.736646739928956</v>
      </c>
      <c r="G603" t="n">
        <v>-0.5287595856749322</v>
      </c>
      <c r="H603" t="n">
        <v>-0.3531823240636915</v>
      </c>
      <c r="I603" t="n">
        <v>0.6320887126658882</v>
      </c>
      <c r="J603" t="n">
        <v>-0.03209915332924944</v>
      </c>
      <c r="K603" t="n">
        <v>0.2476624534817884</v>
      </c>
      <c r="L603" t="n">
        <v>0.6710335143830511</v>
      </c>
      <c r="M603" t="n">
        <v>-1.530719620144387</v>
      </c>
      <c r="N603" t="n">
        <v>-0.8168445489274107</v>
      </c>
      <c r="O603" t="n">
        <v>-0.5317465927208302</v>
      </c>
      <c r="P603" t="n">
        <v>0.5720881782624337</v>
      </c>
      <c r="Q603" t="n">
        <v>-0.529835132645691</v>
      </c>
      <c r="R603" t="n">
        <v>0.5566928212286624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inlineStr">
        <is>
          <t>2024-12-30</t>
        </is>
      </c>
      <c r="B604" t="n">
        <v>1</v>
      </c>
      <c r="C604" t="n">
        <v>-0.2703019703657333</v>
      </c>
      <c r="D604" t="n">
        <v>-0.2095164610856707</v>
      </c>
      <c r="E604" t="n">
        <v>-0.6422605465265616</v>
      </c>
      <c r="F604" t="n">
        <v>-0.2648639376065941</v>
      </c>
      <c r="G604" t="n">
        <v>0.4512921767777203</v>
      </c>
      <c r="H604" t="n">
        <v>0.4237065041999598</v>
      </c>
      <c r="I604" t="n">
        <v>0.9227125097138964</v>
      </c>
      <c r="J604" t="n">
        <v>1.744687366500746</v>
      </c>
      <c r="K604" t="n">
        <v>-0.6465860216186484</v>
      </c>
      <c r="L604" t="n">
        <v>-0.4179715931064859</v>
      </c>
      <c r="M604" t="n">
        <v>-1.689913524261011</v>
      </c>
      <c r="N604" t="n">
        <v>-0.9532842496270436</v>
      </c>
      <c r="O604" t="n">
        <v>-0.2107825027527799</v>
      </c>
      <c r="P604" t="n">
        <v>-0.553665622388163</v>
      </c>
      <c r="Q604" t="n">
        <v>-0.3487380532714804</v>
      </c>
      <c r="R604" t="n">
        <v>-0.5490854787027297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inlineStr">
        <is>
          <t>2024-12-31</t>
        </is>
      </c>
      <c r="B605" t="n">
        <v>1</v>
      </c>
      <c r="C605" t="n">
        <v>0.2379112208586773</v>
      </c>
      <c r="D605" t="n">
        <v>-0.4010146467871162</v>
      </c>
      <c r="E605" t="n">
        <v>-0.6813420797763275</v>
      </c>
      <c r="F605" t="n">
        <v>0.5461329712083328</v>
      </c>
      <c r="G605" t="n">
        <v>1.193050228055607</v>
      </c>
      <c r="H605" t="n">
        <v>0.9893432125477633</v>
      </c>
      <c r="I605" t="n">
        <v>-0.5449512518300147</v>
      </c>
      <c r="J605" t="n">
        <v>0.3884153793673588</v>
      </c>
      <c r="K605" t="n">
        <v>-1.034458530260712</v>
      </c>
      <c r="L605" t="n">
        <v>-1.121560538816672</v>
      </c>
      <c r="M605" t="n">
        <v>1.101061145519184</v>
      </c>
      <c r="N605" t="n">
        <v>-0.01711064060968369</v>
      </c>
      <c r="O605" t="n">
        <v>-0.6693984105926684</v>
      </c>
      <c r="P605" t="n">
        <v>-0.8137541430513332</v>
      </c>
      <c r="Q605" t="n">
        <v>-0.5993603819458174</v>
      </c>
      <c r="R605" t="n">
        <v>-0.2503108802379279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2025-01-01</t>
        </is>
      </c>
      <c r="B606" t="n">
        <v>1</v>
      </c>
      <c r="C606" t="n">
        <v>0.06583202167115637</v>
      </c>
      <c r="D606" t="n">
        <v>-0.3671332526265279</v>
      </c>
      <c r="E606" t="n">
        <v>-0.7260329360344288</v>
      </c>
      <c r="F606" t="n">
        <v>0.3079871400709885</v>
      </c>
      <c r="G606" t="n">
        <v>1.0714237201753</v>
      </c>
      <c r="H606" t="n">
        <v>0.8611172745444455</v>
      </c>
      <c r="I606" t="n">
        <v>-1.006455683859815</v>
      </c>
      <c r="J606" t="n">
        <v>-0.06765948474604597</v>
      </c>
      <c r="K606" t="n">
        <v>-0.1497664428833674</v>
      </c>
      <c r="L606" t="n">
        <v>0.1316982601018331</v>
      </c>
      <c r="M606" t="n">
        <v>-0.1079746375497218</v>
      </c>
      <c r="N606" t="n">
        <v>-0.180160192575284</v>
      </c>
      <c r="O606" t="n">
        <v>-0.3191853322512164</v>
      </c>
      <c r="P606" t="n">
        <v>-0.3351766071331188</v>
      </c>
      <c r="Q606" t="n">
        <v>-0.3009448500247113</v>
      </c>
      <c r="R606" t="n">
        <v>-0.2488136175062554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</row>
    <row r="607">
      <c r="A607" t="inlineStr">
        <is>
          <t>2025-01-02</t>
        </is>
      </c>
      <c r="B607" t="n">
        <v>1</v>
      </c>
      <c r="C607" t="n">
        <v>0.9472263809003411</v>
      </c>
      <c r="D607" t="n">
        <v>-0.4177361543137178</v>
      </c>
      <c r="E607" t="n">
        <v>-0.7494225002320892</v>
      </c>
      <c r="F607" t="n">
        <v>1.30735673800663</v>
      </c>
      <c r="G607" t="n">
        <v>2.322862233311097</v>
      </c>
      <c r="H607" t="n">
        <v>1.793594186012525</v>
      </c>
      <c r="I607" t="n">
        <v>-0.7219889380921047</v>
      </c>
      <c r="J607" t="n">
        <v>1.462311946285072</v>
      </c>
      <c r="K607" t="n">
        <v>0.2475375718582702</v>
      </c>
      <c r="L607" t="n">
        <v>0.3036906193856742</v>
      </c>
      <c r="M607" t="n">
        <v>2.726957305859014</v>
      </c>
      <c r="N607" t="n">
        <v>0.05973943177233827</v>
      </c>
      <c r="O607" t="n">
        <v>-0.4854582783918093</v>
      </c>
      <c r="P607" t="n">
        <v>0.3362312989297344</v>
      </c>
      <c r="Q607" t="n">
        <v>0.5156730803540244</v>
      </c>
      <c r="R607" t="n">
        <v>0.6983555197958082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0.5312877964039096</v>
      </c>
      <c r="AJ607" t="n">
        <v>0.3333333333333333</v>
      </c>
    </row>
    <row r="608">
      <c r="A608" t="inlineStr">
        <is>
          <t>2025-01-06</t>
        </is>
      </c>
      <c r="B608" t="n">
        <v>1</v>
      </c>
      <c r="C608" t="n">
        <v>0.221195381814357</v>
      </c>
      <c r="D608" t="n">
        <v>0.01067563531841157</v>
      </c>
      <c r="E608" t="n">
        <v>-0.4854081053008704</v>
      </c>
      <c r="F608" t="n">
        <v>-0.1356817260781097</v>
      </c>
      <c r="G608" t="n">
        <v>0.7515993333999059</v>
      </c>
      <c r="H608" t="n">
        <v>0.758034738892019</v>
      </c>
      <c r="I608" t="n">
        <v>1.038133808960291</v>
      </c>
      <c r="J608" t="n">
        <v>0.9494432723219114</v>
      </c>
      <c r="K608" t="n">
        <v>-1.233144481045234</v>
      </c>
      <c r="L608" t="n">
        <v>0.452307629174325</v>
      </c>
      <c r="M608" t="n">
        <v>-0.7366614681245013</v>
      </c>
      <c r="N608" t="n">
        <v>-0.2920448567785216</v>
      </c>
      <c r="O608" t="n">
        <v>0.1372586669167007</v>
      </c>
      <c r="P608" t="n">
        <v>-0.4136187132264418</v>
      </c>
      <c r="Q608" t="n">
        <v>-0.2451333965895934</v>
      </c>
      <c r="R608" t="n">
        <v>-0.8058888300495296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0.5580702615722112</v>
      </c>
      <c r="AJ608" t="n">
        <v>0.6666666666666666</v>
      </c>
    </row>
    <row r="609">
      <c r="A609" t="inlineStr">
        <is>
          <t>2025-01-09</t>
        </is>
      </c>
      <c r="B609" t="n">
        <v>1</v>
      </c>
      <c r="C609" t="n">
        <v>-0.2458971721823561</v>
      </c>
      <c r="D609" t="n">
        <v>-0.05428300101634587</v>
      </c>
      <c r="E609" t="n">
        <v>-0.2745618631330444</v>
      </c>
      <c r="F609" t="n">
        <v>-0.4433657503565036</v>
      </c>
      <c r="G609" t="n">
        <v>-0.1217016094242579</v>
      </c>
      <c r="H609" t="n">
        <v>0.04701203863530739</v>
      </c>
      <c r="I609" t="n">
        <v>1.480013899571627</v>
      </c>
      <c r="J609" t="n">
        <v>-0.06765948474604597</v>
      </c>
      <c r="K609" t="n">
        <v>-0.1497664428833674</v>
      </c>
      <c r="L609" t="n">
        <v>0.1316982601018331</v>
      </c>
      <c r="M609" t="n">
        <v>-0.1079746375497218</v>
      </c>
      <c r="N609" t="n">
        <v>-0.180160192575284</v>
      </c>
      <c r="O609" t="n">
        <v>-0.3191853322512164</v>
      </c>
      <c r="P609" t="n">
        <v>-0.3351766071331188</v>
      </c>
      <c r="Q609" t="n">
        <v>-0.3009448500247113</v>
      </c>
      <c r="R609" t="n">
        <v>-0.2488136175062554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1.087326283533888</v>
      </c>
      <c r="AJ609" t="n">
        <v>1</v>
      </c>
    </row>
    <row r="610">
      <c r="A610" t="inlineStr">
        <is>
          <t>2025-01-10</t>
        </is>
      </c>
      <c r="B610" t="n">
        <v>1</v>
      </c>
      <c r="C610" t="n">
        <v>-0.4148019261175486</v>
      </c>
      <c r="D610" t="n">
        <v>-0.0204313982389824</v>
      </c>
      <c r="E610" t="n">
        <v>-0.2818976268409226</v>
      </c>
      <c r="F610" t="n">
        <v>-0.6237954198143875</v>
      </c>
      <c r="G610" t="n">
        <v>-0.2936714520105086</v>
      </c>
      <c r="H610" t="n">
        <v>-0.1187676352494329</v>
      </c>
      <c r="I610" t="n">
        <v>-0.02807236497124264</v>
      </c>
      <c r="J610" t="n">
        <v>0.700984667224122</v>
      </c>
      <c r="K610" t="n">
        <v>-0.3368891516069137</v>
      </c>
      <c r="L610" t="n">
        <v>-0.06233167172693357</v>
      </c>
      <c r="M610" t="n">
        <v>0.009903357497362</v>
      </c>
      <c r="N610" t="n">
        <v>-0.7256107731583791</v>
      </c>
      <c r="O610" t="n">
        <v>-0.6985905609534745</v>
      </c>
      <c r="P610" t="n">
        <v>-0.5683411993679746</v>
      </c>
      <c r="Q610" t="n">
        <v>-0.4718790096932605</v>
      </c>
      <c r="R610" t="n">
        <v>-0.608821689516607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1.140189176480635</v>
      </c>
      <c r="AJ610" t="n">
        <v>1.333333333333333</v>
      </c>
    </row>
    <row r="611">
      <c r="A611" t="inlineStr">
        <is>
          <t>2025-01-13</t>
        </is>
      </c>
      <c r="B611" t="n">
        <v>1</v>
      </c>
      <c r="C611" t="n">
        <v>0.2773752025176202</v>
      </c>
      <c r="D611" t="n">
        <v>-0.01547009253504704</v>
      </c>
      <c r="E611" t="n">
        <v>-0.2710337331986503</v>
      </c>
      <c r="F611" t="n">
        <v>-0.05451478336448441</v>
      </c>
      <c r="G611" t="n">
        <v>0.4349803311503291</v>
      </c>
      <c r="H611" t="n">
        <v>0.5815819289536892</v>
      </c>
      <c r="I611" t="n">
        <v>-0.07887954132912643</v>
      </c>
      <c r="J611" t="n">
        <v>-0.07336597325513602</v>
      </c>
      <c r="K611" t="n">
        <v>-1.314718541255472</v>
      </c>
      <c r="L611" t="n">
        <v>-1.623886421645027</v>
      </c>
      <c r="M611" t="n">
        <v>-0.2063396393505174</v>
      </c>
      <c r="N611" t="n">
        <v>0.2757004640544382</v>
      </c>
      <c r="O611" t="n">
        <v>0.531773907209641</v>
      </c>
      <c r="P611" t="n">
        <v>0.4096549945363342</v>
      </c>
      <c r="Q611" t="n">
        <v>0.312779624016015</v>
      </c>
      <c r="R611" t="n">
        <v>-0.2819954684389644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1.685174459125628</v>
      </c>
      <c r="AJ611" t="n">
        <v>1.666666666666667</v>
      </c>
    </row>
    <row r="612">
      <c r="A612" t="inlineStr">
        <is>
          <t>2025-01-15</t>
        </is>
      </c>
      <c r="B612" t="n">
        <v>1</v>
      </c>
      <c r="C612" t="n">
        <v>-0.7840133236902138</v>
      </c>
      <c r="D612" t="n">
        <v>0.211741083313749</v>
      </c>
      <c r="E612" t="n">
        <v>-0.1963264576169828</v>
      </c>
      <c r="F612" t="n">
        <v>-1.129003339498954</v>
      </c>
      <c r="G612" t="n">
        <v>-0.7852849733913813</v>
      </c>
      <c r="H612" t="n">
        <v>-0.5921792983516067</v>
      </c>
      <c r="I612" t="n">
        <v>-0.3071001854513135</v>
      </c>
      <c r="J612" t="n">
        <v>-0.4187627864868038</v>
      </c>
      <c r="K612" t="n">
        <v>-0.5842998991210419</v>
      </c>
      <c r="L612" t="n">
        <v>0.4251622046714493</v>
      </c>
      <c r="M612" t="n">
        <v>-2.266338865885705</v>
      </c>
      <c r="N612" t="n">
        <v>-0.6023218869840122</v>
      </c>
      <c r="O612" t="n">
        <v>-0.557923497460634</v>
      </c>
      <c r="P612" t="n">
        <v>-0.1565392870626217</v>
      </c>
      <c r="Q612" t="n">
        <v>0.1444102894017294</v>
      </c>
      <c r="R612" t="n">
        <v>0.02324452771484802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1.081974539011304</v>
      </c>
      <c r="AJ612" t="n">
        <v>0</v>
      </c>
    </row>
    <row r="613">
      <c r="A613" t="inlineStr">
        <is>
          <t>2025-01-16</t>
        </is>
      </c>
      <c r="B613" t="n">
        <v>1</v>
      </c>
      <c r="C613" t="n">
        <v>-0.49441026049819</v>
      </c>
      <c r="D613" t="n">
        <v>0.1582534801349935</v>
      </c>
      <c r="E613" t="n">
        <v>-0.2787301179192299</v>
      </c>
      <c r="F613" t="n">
        <v>-0.8647739852933719</v>
      </c>
      <c r="G613" t="n">
        <v>-0.3835279918770712</v>
      </c>
      <c r="H613" t="n">
        <v>-0.2041425894401647</v>
      </c>
      <c r="I613" t="n">
        <v>-0.2377806162766218</v>
      </c>
      <c r="J613" t="n">
        <v>-0.06765948474604597</v>
      </c>
      <c r="K613" t="n">
        <v>-0.1497664428833674</v>
      </c>
      <c r="L613" t="n">
        <v>0.1316982601018331</v>
      </c>
      <c r="M613" t="n">
        <v>-0.1079746375497218</v>
      </c>
      <c r="N613" t="n">
        <v>-0.180160192575284</v>
      </c>
      <c r="O613" t="n">
        <v>-0.3191853322512164</v>
      </c>
      <c r="P613" t="n">
        <v>-0.3351766071331188</v>
      </c>
      <c r="Q613" t="n">
        <v>-0.3009448500247113</v>
      </c>
      <c r="R613" t="n">
        <v>-0.2488136175062554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0.4807476111070234</v>
      </c>
      <c r="AJ613" t="n">
        <v>0</v>
      </c>
    </row>
    <row r="614">
      <c r="A614" t="inlineStr">
        <is>
          <t>2025-01-17</t>
        </is>
      </c>
      <c r="B614" t="n">
        <v>1</v>
      </c>
      <c r="C614" t="n">
        <v>-0.217878538760384</v>
      </c>
      <c r="D614" t="n">
        <v>-0.3195489464787322</v>
      </c>
      <c r="E614" t="n">
        <v>-0.2477601396500355</v>
      </c>
      <c r="F614" t="n">
        <v>-0.0521849436384311</v>
      </c>
      <c r="G614" t="n">
        <v>-0.1284752888653691</v>
      </c>
      <c r="H614" t="n">
        <v>0.04655421548730398</v>
      </c>
      <c r="I614" t="n">
        <v>0.07784085745788723</v>
      </c>
      <c r="J614" t="n">
        <v>0.9882454056248253</v>
      </c>
      <c r="K614" t="n">
        <v>-0.5707149815343602</v>
      </c>
      <c r="L614" t="n">
        <v>-0.9578963236714826</v>
      </c>
      <c r="M614" t="n">
        <v>1.124826565930244</v>
      </c>
      <c r="N614" t="n">
        <v>-0.6670485522255549</v>
      </c>
      <c r="O614" t="n">
        <v>-0.7902783691033985</v>
      </c>
      <c r="P614" t="n">
        <v>-0.5203421395247364</v>
      </c>
      <c r="Q614" t="n">
        <v>-0.3144137689741869</v>
      </c>
      <c r="R614" t="n">
        <v>-0.03750972553759897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0.984961970269566</v>
      </c>
      <c r="AJ614" t="n">
        <v>0.3333333333333333</v>
      </c>
    </row>
    <row r="615">
      <c r="A615" t="inlineStr">
        <is>
          <t>2025-01-20</t>
        </is>
      </c>
      <c r="B615" t="n">
        <v>1</v>
      </c>
      <c r="C615" t="n">
        <v>-0.1190146069785766</v>
      </c>
      <c r="D615" t="n">
        <v>-0.3533615096717027</v>
      </c>
      <c r="E615" t="n">
        <v>-0.2967354466983128</v>
      </c>
      <c r="F615" t="n">
        <v>0.1002401365450826</v>
      </c>
      <c r="G615" t="n">
        <v>0.04688720485278627</v>
      </c>
      <c r="H615" t="n">
        <v>0.2017992454542149</v>
      </c>
      <c r="I615" t="n">
        <v>0.07244460967298746</v>
      </c>
      <c r="J615" t="n">
        <v>-0.5456183821396348</v>
      </c>
      <c r="K615" t="n">
        <v>-0.2102982588928128</v>
      </c>
      <c r="L615" t="n">
        <v>0.5694080411131326</v>
      </c>
      <c r="M615" t="n">
        <v>-0.3529057158645766</v>
      </c>
      <c r="N615" t="n">
        <v>0.1659733553592513</v>
      </c>
      <c r="O615" t="n">
        <v>-0.6657389026851387</v>
      </c>
      <c r="P615" t="n">
        <v>-0.6213828946707978</v>
      </c>
      <c r="Q615" t="n">
        <v>-0.5778934189607109</v>
      </c>
      <c r="R615" t="n">
        <v>-0.4329379224222523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0.5304037462804505</v>
      </c>
      <c r="AJ615" t="n">
        <v>0</v>
      </c>
    </row>
    <row r="616">
      <c r="A616" t="inlineStr">
        <is>
          <t>2025-01-21</t>
        </is>
      </c>
      <c r="B616" t="n">
        <v>1</v>
      </c>
      <c r="C616" t="n">
        <v>-0.2706712446405924</v>
      </c>
      <c r="D616" t="n">
        <v>-0.5861476858127748</v>
      </c>
      <c r="E616" t="n">
        <v>-0.4659262432608126</v>
      </c>
      <c r="F616" t="n">
        <v>0.3843699168169823</v>
      </c>
      <c r="G616" t="n">
        <v>0.1372719663539718</v>
      </c>
      <c r="H616" t="n">
        <v>0.2306356722788813</v>
      </c>
      <c r="I616" t="n">
        <v>-0.8852290126544264</v>
      </c>
      <c r="J616" t="n">
        <v>0.2292560153603561</v>
      </c>
      <c r="K616" t="n">
        <v>0.08274215937968647</v>
      </c>
      <c r="L616" t="n">
        <v>0.3321604037945132</v>
      </c>
      <c r="M616" t="n">
        <v>-0.1297695585172894</v>
      </c>
      <c r="N616" t="n">
        <v>-0.4030048543354522</v>
      </c>
      <c r="O616" t="n">
        <v>-0.7466839553432947</v>
      </c>
      <c r="P616" t="n">
        <v>-0.5494125604057852</v>
      </c>
      <c r="Q616" t="n">
        <v>-0.5196213493895399</v>
      </c>
      <c r="R616" t="n">
        <v>0.07297550773293682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1.102898592929244</v>
      </c>
      <c r="AJ616" t="n">
        <v>0.3333333333333333</v>
      </c>
    </row>
    <row r="617">
      <c r="A617" t="inlineStr">
        <is>
          <t>2025-01-22</t>
        </is>
      </c>
      <c r="B617" t="n">
        <v>1</v>
      </c>
      <c r="C617" t="n">
        <v>0.1520478693696231</v>
      </c>
      <c r="D617" t="n">
        <v>-0.421659857090234</v>
      </c>
      <c r="E617" t="n">
        <v>-0.3885928472603675</v>
      </c>
      <c r="F617" t="n">
        <v>0.4998750128972063</v>
      </c>
      <c r="G617" t="n">
        <v>0.4939625017967313</v>
      </c>
      <c r="H617" t="n">
        <v>0.5810891275877654</v>
      </c>
      <c r="I617" t="n">
        <v>0.144428135621792</v>
      </c>
      <c r="J617" t="n">
        <v>-0.06765948474604597</v>
      </c>
      <c r="K617" t="n">
        <v>-0.1497664428833674</v>
      </c>
      <c r="L617" t="n">
        <v>0.1316982601018331</v>
      </c>
      <c r="M617" t="n">
        <v>-0.1079746375497218</v>
      </c>
      <c r="N617" t="n">
        <v>-0.180160192575284</v>
      </c>
      <c r="O617" t="n">
        <v>-0.3191853322512164</v>
      </c>
      <c r="P617" t="n">
        <v>-0.3351766071331188</v>
      </c>
      <c r="Q617" t="n">
        <v>-0.3009448500247113</v>
      </c>
      <c r="R617" t="n">
        <v>-0.2488136175062554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1.567492171568592</v>
      </c>
      <c r="AJ617" t="n">
        <v>0.6666666666666666</v>
      </c>
    </row>
    <row r="618">
      <c r="A618" t="inlineStr">
        <is>
          <t>2025-01-23</t>
        </is>
      </c>
      <c r="B618" t="n">
        <v>1</v>
      </c>
      <c r="C618" t="n">
        <v>-0.1683274915790855</v>
      </c>
      <c r="D618" t="n">
        <v>-0.3535513130475437</v>
      </c>
      <c r="E618" t="n">
        <v>-0.3641847931108374</v>
      </c>
      <c r="F618" t="n">
        <v>0.05182790524608875</v>
      </c>
      <c r="G618" t="n">
        <v>0.09372084065439711</v>
      </c>
      <c r="H618" t="n">
        <v>0.2247642271830448</v>
      </c>
      <c r="I618" t="n">
        <v>0.2342604415440676</v>
      </c>
      <c r="J618" t="n">
        <v>-0.06765948474604597</v>
      </c>
      <c r="K618" t="n">
        <v>-0.1497664428833674</v>
      </c>
      <c r="L618" t="n">
        <v>0.1316982601018331</v>
      </c>
      <c r="M618" t="n">
        <v>-0.1079746375497218</v>
      </c>
      <c r="N618" t="n">
        <v>-0.180160192575284</v>
      </c>
      <c r="O618" t="n">
        <v>-0.3191853322512164</v>
      </c>
      <c r="P618" t="n">
        <v>-0.3351766071331188</v>
      </c>
      <c r="Q618" t="n">
        <v>-0.3009448500247113</v>
      </c>
      <c r="R618" t="n">
        <v>-0.2488136175062554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0.6937802925135839</v>
      </c>
      <c r="AJ618" t="n">
        <v>0</v>
      </c>
    </row>
    <row r="619">
      <c r="A619" t="inlineStr">
        <is>
          <t>2025-01-24</t>
        </is>
      </c>
      <c r="B619" t="n">
        <v>1</v>
      </c>
      <c r="C619" t="n">
        <v>-0.2138903937810455</v>
      </c>
      <c r="D619" t="n">
        <v>-0.3329974502906812</v>
      </c>
      <c r="E619" t="n">
        <v>-0.3473761590116492</v>
      </c>
      <c r="F619" t="n">
        <v>-0.0267676947855825</v>
      </c>
      <c r="G619" t="n">
        <v>0.01756115269942221</v>
      </c>
      <c r="H619" t="n">
        <v>0.1595141323196201</v>
      </c>
      <c r="I619" t="n">
        <v>0.1105482960211861</v>
      </c>
      <c r="J619" t="n">
        <v>1.761686509179838</v>
      </c>
      <c r="K619" t="n">
        <v>-0.5404643238145661</v>
      </c>
      <c r="L619" t="n">
        <v>0.3298148488179385</v>
      </c>
      <c r="M619" t="n">
        <v>0.3746669314512223</v>
      </c>
      <c r="N619" t="n">
        <v>-0.9169140282056052</v>
      </c>
      <c r="O619" t="n">
        <v>-0.4276955115173577</v>
      </c>
      <c r="P619" t="n">
        <v>-0.1277967152812289</v>
      </c>
      <c r="Q619" t="n">
        <v>0.3303651831646235</v>
      </c>
      <c r="R619" t="n">
        <v>0.2764215042342265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0.8123423454286482</v>
      </c>
      <c r="AJ619" t="n">
        <v>0.3333333333333333</v>
      </c>
    </row>
    <row r="620">
      <c r="A620" t="inlineStr">
        <is>
          <t>2025-01-27</t>
        </is>
      </c>
      <c r="B620" t="n">
        <v>1</v>
      </c>
      <c r="C620" t="n">
        <v>0.2619041637535643</v>
      </c>
      <c r="D620" t="n">
        <v>-0.3257477124391083</v>
      </c>
      <c r="E620" t="n">
        <v>-0.3406320153922531</v>
      </c>
      <c r="F620" t="n">
        <v>0.4245541707697879</v>
      </c>
      <c r="G620" t="n">
        <v>0.5341405052969382</v>
      </c>
      <c r="H620" t="n">
        <v>0.6417170165139651</v>
      </c>
      <c r="I620" t="n">
        <v>0.2077256639347748</v>
      </c>
      <c r="J620" t="n">
        <v>-0.01468654389091632</v>
      </c>
      <c r="K620" t="n">
        <v>-0.8475817614878125</v>
      </c>
      <c r="L620" t="n">
        <v>-1.163816143616245</v>
      </c>
      <c r="M620" t="n">
        <v>-0.1495082414239168</v>
      </c>
      <c r="N620" t="n">
        <v>0.2257684651538192</v>
      </c>
      <c r="O620" t="n">
        <v>1.937125780283905</v>
      </c>
      <c r="P620" t="n">
        <v>0.4279236058196023</v>
      </c>
      <c r="Q620" t="n">
        <v>0.4952983109131023</v>
      </c>
      <c r="R620" t="n">
        <v>-0.7134068663206764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0.7826093506314646</v>
      </c>
      <c r="AJ620" t="n">
        <v>0</v>
      </c>
    </row>
    <row r="621">
      <c r="A621" t="inlineStr">
        <is>
          <t>2025-01-28</t>
        </is>
      </c>
      <c r="B621" t="n">
        <v>1</v>
      </c>
      <c r="C621" t="n">
        <v>0.6156449127114789</v>
      </c>
      <c r="D621" t="n">
        <v>-0.418500688853027</v>
      </c>
      <c r="E621" t="n">
        <v>-0.2801979146219618</v>
      </c>
      <c r="F621" t="n">
        <v>0.9691096068556618</v>
      </c>
      <c r="G621" t="n">
        <v>0.81435176558988</v>
      </c>
      <c r="H621" t="n">
        <v>0.9396614865121371</v>
      </c>
      <c r="I621" t="n">
        <v>0.07265578859130047</v>
      </c>
      <c r="J621" t="n">
        <v>-0.2369099098151429</v>
      </c>
      <c r="K621" t="n">
        <v>-1.001669046352253</v>
      </c>
      <c r="L621" t="n">
        <v>1.05710456045907</v>
      </c>
      <c r="M621" t="n">
        <v>0.8342794649702122</v>
      </c>
      <c r="N621" t="n">
        <v>0.7162527506508427</v>
      </c>
      <c r="O621" t="n">
        <v>0.1761930412867337</v>
      </c>
      <c r="P621" t="n">
        <v>-0.5377407411865899</v>
      </c>
      <c r="Q621" t="n">
        <v>-0.3724849825375611</v>
      </c>
      <c r="R621" t="n">
        <v>-0.3713400787445486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0.3393820417645232</v>
      </c>
      <c r="AJ621" t="n">
        <v>0</v>
      </c>
    </row>
    <row r="622">
      <c r="A622" t="inlineStr">
        <is>
          <t>2025-01-29</t>
        </is>
      </c>
      <c r="B622" t="n">
        <v>1</v>
      </c>
      <c r="C622" t="n">
        <v>0.5939262192225655</v>
      </c>
      <c r="D622" t="n">
        <v>-0.4002361648955023</v>
      </c>
      <c r="E622" t="n">
        <v>-0.232793810683874</v>
      </c>
      <c r="F622" t="n">
        <v>0.9059158169237385</v>
      </c>
      <c r="G622" t="n">
        <v>0.7081736764996138</v>
      </c>
      <c r="H622" t="n">
        <v>0.8655126111158661</v>
      </c>
      <c r="I622" t="n">
        <v>-0.09258360682803933</v>
      </c>
      <c r="J622" t="n">
        <v>-0.03252083355965235</v>
      </c>
      <c r="K622" t="n">
        <v>-0.2476853113181135</v>
      </c>
      <c r="L622" t="n">
        <v>0.584718706282467</v>
      </c>
      <c r="M622" t="n">
        <v>1.135482958705188</v>
      </c>
      <c r="N622" t="n">
        <v>0.5567991245319955</v>
      </c>
      <c r="O622" t="n">
        <v>-0.6176479828773765</v>
      </c>
      <c r="P622" t="n">
        <v>-0.4099435208906375</v>
      </c>
      <c r="Q622" t="n">
        <v>-0.05242476940843353</v>
      </c>
      <c r="R622" t="n">
        <v>-0.3083263798588075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0.7948022938404756</v>
      </c>
      <c r="AJ622" t="n">
        <v>0.3333333333333333</v>
      </c>
    </row>
    <row r="623">
      <c r="A623" t="inlineStr">
        <is>
          <t>2025-01-30</t>
        </is>
      </c>
      <c r="B623" t="n">
        <v>1</v>
      </c>
      <c r="C623" t="n">
        <v>2.434747182291203</v>
      </c>
      <c r="D623" t="n">
        <v>-0.2736579530523587</v>
      </c>
      <c r="E623" t="n">
        <v>-0.1867890183269425</v>
      </c>
      <c r="F623" t="n">
        <v>2.385460173130295</v>
      </c>
      <c r="G623" t="n">
        <v>2.536408352582201</v>
      </c>
      <c r="H623" t="n">
        <v>2.709367887547797</v>
      </c>
      <c r="I623" t="n">
        <v>0.1040511196229934</v>
      </c>
      <c r="J623" t="n">
        <v>1.264629441103885</v>
      </c>
      <c r="K623" t="n">
        <v>-0.227433596558352</v>
      </c>
      <c r="L623" t="n">
        <v>0.1267825593665748</v>
      </c>
      <c r="M623" t="n">
        <v>3</v>
      </c>
      <c r="N623" t="n">
        <v>1.316258663366096</v>
      </c>
      <c r="O623" t="n">
        <v>0.04564107911208635</v>
      </c>
      <c r="P623" t="n">
        <v>2.142854174716555</v>
      </c>
      <c r="Q623" t="n">
        <v>2.345588119758056</v>
      </c>
      <c r="R623" t="n">
        <v>0.5763214642976053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1.289704386735102</v>
      </c>
      <c r="AJ623" t="n">
        <v>0.6666666666666666</v>
      </c>
    </row>
    <row r="624">
      <c r="A624" t="inlineStr">
        <is>
          <t>2025-01-31</t>
        </is>
      </c>
      <c r="B624" t="n">
        <v>1</v>
      </c>
      <c r="C624" t="n">
        <v>1.840493751146474</v>
      </c>
      <c r="D624" t="n">
        <v>-0.2559980883135298</v>
      </c>
      <c r="E624" t="n">
        <v>-0.424040821273103</v>
      </c>
      <c r="F624" t="n">
        <v>1.778665077870311</v>
      </c>
      <c r="G624" t="n">
        <v>2.4980110467337</v>
      </c>
      <c r="H624" t="n">
        <v>2.357165076670154</v>
      </c>
      <c r="I624" t="n">
        <v>0.5346115708480536</v>
      </c>
      <c r="J624" t="n">
        <v>2.571135014593728</v>
      </c>
      <c r="K624" t="n">
        <v>-0.8382925773196619</v>
      </c>
      <c r="L624" t="n">
        <v>0.232803812498724</v>
      </c>
      <c r="M624" t="n">
        <v>-0.4784568841843266</v>
      </c>
      <c r="N624" t="n">
        <v>0.2241246133381611</v>
      </c>
      <c r="O624" t="n">
        <v>1.106607353820576</v>
      </c>
      <c r="P624" t="n">
        <v>-0.3857960531580845</v>
      </c>
      <c r="Q624" t="n">
        <v>-0.2627422784770337</v>
      </c>
      <c r="R624" t="n">
        <v>-0.05897920801510333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inlineStr">
        <is>
          <t>2025-02-01</t>
        </is>
      </c>
      <c r="B625" t="n">
        <v>1</v>
      </c>
      <c r="C625" t="n">
        <v>0.6867150714838086</v>
      </c>
      <c r="D625" t="n">
        <v>-0.1368383552903169</v>
      </c>
      <c r="E625" t="n">
        <v>-0.3341049387822967</v>
      </c>
      <c r="F625" t="n">
        <v>0.4810007977412681</v>
      </c>
      <c r="G625" t="n">
        <v>0.9917550224295222</v>
      </c>
      <c r="H625" t="n">
        <v>1.07169706930563</v>
      </c>
      <c r="I625" t="n">
        <v>0.3953038927918172</v>
      </c>
      <c r="J625" t="n">
        <v>1.687367938406261</v>
      </c>
      <c r="K625" t="n">
        <v>0.2271000094013466</v>
      </c>
      <c r="L625" t="n">
        <v>0.1909945872194608</v>
      </c>
      <c r="M625" t="n">
        <v>-1.353503137550416</v>
      </c>
      <c r="N625" t="n">
        <v>-0.2293730063065518</v>
      </c>
      <c r="O625" t="n">
        <v>0.07161441384199201</v>
      </c>
      <c r="P625" t="n">
        <v>-0.3512501674397091</v>
      </c>
      <c r="Q625" t="n">
        <v>0.001815086109666214</v>
      </c>
      <c r="R625" t="n">
        <v>-0.3033219833665338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</row>
    <row r="626">
      <c r="A626" t="inlineStr">
        <is>
          <t>2025-02-04</t>
        </is>
      </c>
      <c r="B626" t="n">
        <v>1</v>
      </c>
      <c r="C626" t="n">
        <v>0.3174026275252013</v>
      </c>
      <c r="D626" t="n">
        <v>-0.4323651484745611</v>
      </c>
      <c r="E626" t="n">
        <v>-0.5609793929131658</v>
      </c>
      <c r="F626" t="n">
        <v>0.6924988580098056</v>
      </c>
      <c r="G626" t="n">
        <v>1.021904000793085</v>
      </c>
      <c r="H626" t="n">
        <v>0.939609142721328</v>
      </c>
      <c r="I626" t="n">
        <v>-0.05068996479687338</v>
      </c>
      <c r="J626" t="n">
        <v>0.360288176473225</v>
      </c>
      <c r="K626" t="n">
        <v>-2.686334818393632</v>
      </c>
      <c r="L626" t="n">
        <v>1.411356106831723</v>
      </c>
      <c r="M626" t="n">
        <v>-1.109427201414406</v>
      </c>
      <c r="N626" t="n">
        <v>0.06898609823541649</v>
      </c>
      <c r="O626" t="n">
        <v>-0.1943506810420818</v>
      </c>
      <c r="P626" t="n">
        <v>-0.4510423353840647</v>
      </c>
      <c r="Q626" t="n">
        <v>-0.4016519620638991</v>
      </c>
      <c r="R626" t="n">
        <v>-0.7686067812003323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0.1850972542965852</v>
      </c>
      <c r="AJ626" t="n">
        <v>0.3333333333333333</v>
      </c>
    </row>
    <row r="627">
      <c r="A627" t="inlineStr">
        <is>
          <t>2025-02-05</t>
        </is>
      </c>
      <c r="B627" t="n">
        <v>1</v>
      </c>
      <c r="C627" t="n">
        <v>-0.8559660278085872</v>
      </c>
      <c r="D627" t="n">
        <v>-0.1818853290428482</v>
      </c>
      <c r="E627" t="n">
        <v>-0.3641220785343626</v>
      </c>
      <c r="F627" t="n">
        <v>-0.8304302561879808</v>
      </c>
      <c r="G627" t="n">
        <v>-0.6755416964952718</v>
      </c>
      <c r="H627" t="n">
        <v>-0.4828554635932111</v>
      </c>
      <c r="I627" t="n">
        <v>0.2130668044404789</v>
      </c>
      <c r="J627" t="n">
        <v>-1.22929804068946</v>
      </c>
      <c r="K627" t="n">
        <v>0.1526758891529383</v>
      </c>
      <c r="L627" t="n">
        <v>0.6834666093164081</v>
      </c>
      <c r="M627" t="n">
        <v>0.1381479309785043</v>
      </c>
      <c r="N627" t="n">
        <v>-0.2345100432304837</v>
      </c>
      <c r="O627" t="n">
        <v>-0.8860430990646156</v>
      </c>
      <c r="P627" t="n">
        <v>-0.441251850372345</v>
      </c>
      <c r="Q627" t="n">
        <v>-0.1877752182699517</v>
      </c>
      <c r="R627" t="n">
        <v>-0.2236708559504823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inlineStr">
        <is>
          <t>2025-02-06</t>
        </is>
      </c>
      <c r="B628" t="n">
        <v>1</v>
      </c>
      <c r="C628" t="n">
        <v>-0.6298176606125224</v>
      </c>
      <c r="D628" t="n">
        <v>-0.173575543896705</v>
      </c>
      <c r="E628" t="n">
        <v>-0.3920926969405499</v>
      </c>
      <c r="F628" t="n">
        <v>-0.63640019611265</v>
      </c>
      <c r="G628" t="n">
        <v>-0.3857893255880966</v>
      </c>
      <c r="H628" t="n">
        <v>-0.2195931568012225</v>
      </c>
      <c r="I628" t="n">
        <v>0.3302015556004295</v>
      </c>
      <c r="J628" t="n">
        <v>0.6929692825654749</v>
      </c>
      <c r="K628" t="n">
        <v>0.2893021397019702</v>
      </c>
      <c r="L628" t="n">
        <v>0.3945376891882948</v>
      </c>
      <c r="M628" t="n">
        <v>1.126038032269401</v>
      </c>
      <c r="N628" t="n">
        <v>-0.906434472880784</v>
      </c>
      <c r="O628" t="n">
        <v>-0.7639151071771552</v>
      </c>
      <c r="P628" t="n">
        <v>0.7224430450806736</v>
      </c>
      <c r="Q628" t="n">
        <v>1.409747871515064</v>
      </c>
      <c r="R628" t="n">
        <v>0.03226362280045532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inlineStr">
        <is>
          <t>2025-02-07</t>
        </is>
      </c>
      <c r="B629" t="n">
        <v>1</v>
      </c>
      <c r="C629" t="n">
        <v>-0.1881909715909847</v>
      </c>
      <c r="D629" t="n">
        <v>-0.2503282087689366</v>
      </c>
      <c r="E629" t="n">
        <v>-0.4195543866585983</v>
      </c>
      <c r="F629" t="n">
        <v>-0.1303537102916272</v>
      </c>
      <c r="G629" t="n">
        <v>0.1580284223376467</v>
      </c>
      <c r="H629" t="n">
        <v>0.2648311523339463</v>
      </c>
      <c r="I629" t="n">
        <v>0.1163844076438872</v>
      </c>
      <c r="J629" t="n">
        <v>2.493673537615582</v>
      </c>
      <c r="K629" t="n">
        <v>-0.6585225178573041</v>
      </c>
      <c r="L629" t="n">
        <v>0.2529311204735119</v>
      </c>
      <c r="M629" t="n">
        <v>0.4681906761959314</v>
      </c>
      <c r="N629" t="n">
        <v>-1.095066468727565</v>
      </c>
      <c r="O629" t="n">
        <v>0.02091411168798746</v>
      </c>
      <c r="P629" t="n">
        <v>0.01501936813602176</v>
      </c>
      <c r="Q629" t="n">
        <v>-0.2065145487966375</v>
      </c>
      <c r="R629" t="n">
        <v>-0.2014011810324559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inlineStr">
        <is>
          <t>2025-02-11</t>
        </is>
      </c>
      <c r="B630" t="n">
        <v>1</v>
      </c>
      <c r="C630" t="n">
        <v>0.02876323865868807</v>
      </c>
      <c r="D630" t="n">
        <v>-0.4310093801988745</v>
      </c>
      <c r="E630" t="n">
        <v>-0.5824382336293025</v>
      </c>
      <c r="F630" t="n">
        <v>0.3913406311492693</v>
      </c>
      <c r="G630" t="n">
        <v>0.7100440468520111</v>
      </c>
      <c r="H630" t="n">
        <v>0.6660606776906175</v>
      </c>
      <c r="I630" t="n">
        <v>0.4752532879234215</v>
      </c>
      <c r="J630" t="n">
        <v>1.011437391104297</v>
      </c>
      <c r="K630" t="n">
        <v>-0.8507922850296239</v>
      </c>
      <c r="L630" t="n">
        <v>-0.2386973604126431</v>
      </c>
      <c r="M630" t="n">
        <v>0.6928037641620574</v>
      </c>
      <c r="N630" t="n">
        <v>-0.4747178897935422</v>
      </c>
      <c r="O630" t="n">
        <v>-0.7658547928765884</v>
      </c>
      <c r="P630" t="n">
        <v>-0.6151874271628985</v>
      </c>
      <c r="Q630" t="n">
        <v>-0.4367333657212387</v>
      </c>
      <c r="R630" t="n">
        <v>-0.1258098532005879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2025-02-12</t>
        </is>
      </c>
      <c r="B631" t="n">
        <v>1</v>
      </c>
      <c r="C631" t="n">
        <v>-0.1202488162184533</v>
      </c>
      <c r="D631" t="n">
        <v>-0.1680983802375247</v>
      </c>
      <c r="E631" t="n">
        <v>-0.4043365730260328</v>
      </c>
      <c r="F631" t="n">
        <v>-0.1868039149817711</v>
      </c>
      <c r="G631" t="n">
        <v>0.2112182953520632</v>
      </c>
      <c r="H631" t="n">
        <v>0.3181113752635629</v>
      </c>
      <c r="I631" t="n">
        <v>-0.8007404781770164</v>
      </c>
      <c r="J631" t="n">
        <v>-0.08474565423036079</v>
      </c>
      <c r="K631" t="n">
        <v>-0.1947687040961023</v>
      </c>
      <c r="L631" t="n">
        <v>-0.06930589497020292</v>
      </c>
      <c r="M631" t="n">
        <v>0.4502009428381575</v>
      </c>
      <c r="N631" t="n">
        <v>-0.1048512312704409</v>
      </c>
      <c r="O631" t="n">
        <v>-0.5551834218451143</v>
      </c>
      <c r="P631" t="n">
        <v>-0.5426180873240002</v>
      </c>
      <c r="Q631" t="n">
        <v>-0.2533671272406199</v>
      </c>
      <c r="R631" t="n">
        <v>-0.4557337595824765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inlineStr">
        <is>
          <t>2025-02-13</t>
        </is>
      </c>
      <c r="B632" t="n">
        <v>1</v>
      </c>
      <c r="C632" t="n">
        <v>-0.08750838003246879</v>
      </c>
      <c r="D632" t="n">
        <v>-0.2432607649575766</v>
      </c>
      <c r="E632" t="n">
        <v>-0.4327677843380467</v>
      </c>
      <c r="F632" t="n">
        <v>-0.04714578320209831</v>
      </c>
      <c r="G632" t="n">
        <v>0.295590672896512</v>
      </c>
      <c r="H632" t="n">
        <v>0.3828683651005304</v>
      </c>
      <c r="I632" t="n">
        <v>-0.9005398079526344</v>
      </c>
      <c r="J632" t="n">
        <v>-1.370568314338947</v>
      </c>
      <c r="K632" t="n">
        <v>0.2738336742603391</v>
      </c>
      <c r="L632" t="n">
        <v>0.67877211531401</v>
      </c>
      <c r="M632" t="n">
        <v>0.7912985821847905</v>
      </c>
      <c r="N632" t="n">
        <v>0.833582673993449</v>
      </c>
      <c r="O632" t="n">
        <v>-0.06378588980487582</v>
      </c>
      <c r="P632" t="n">
        <v>0.5890494997984009</v>
      </c>
      <c r="Q632" t="n">
        <v>-0.5040302939248494</v>
      </c>
      <c r="R632" t="n">
        <v>0.2005902984060746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0.5048784091108003</v>
      </c>
      <c r="AJ632" t="n">
        <v>0.3333333333333333</v>
      </c>
    </row>
    <row r="633">
      <c r="A633" t="inlineStr">
        <is>
          <t>2025-02-14</t>
        </is>
      </c>
      <c r="B633" t="n">
        <v>1</v>
      </c>
      <c r="C633" t="n">
        <v>-0.407022759377725</v>
      </c>
      <c r="D633" t="n">
        <v>-0.5037393165834554</v>
      </c>
      <c r="E633" t="n">
        <v>-0.445390700248182</v>
      </c>
      <c r="F633" t="n">
        <v>0.06931892803643801</v>
      </c>
      <c r="G633" t="n">
        <v>-0.05421921088892995</v>
      </c>
      <c r="H633" t="n">
        <v>0.06789529753264011</v>
      </c>
      <c r="I633" t="n">
        <v>-0.7309181074692658</v>
      </c>
      <c r="J633" t="n">
        <v>-0.6123117288195917</v>
      </c>
      <c r="K633" t="n">
        <v>-0.149933664875133</v>
      </c>
      <c r="L633" t="n">
        <v>1.080172909607973</v>
      </c>
      <c r="M633" t="n">
        <v>0.04787280292860461</v>
      </c>
      <c r="N633" t="n">
        <v>-0.1009470832082533</v>
      </c>
      <c r="O633" t="n">
        <v>-0.5115236636939352</v>
      </c>
      <c r="P633" t="n">
        <v>-0.6524828532303676</v>
      </c>
      <c r="Q633" t="n">
        <v>-0.5008842694781127</v>
      </c>
      <c r="R633" t="n">
        <v>-0.3557479630625028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0.02759830044172607</v>
      </c>
      <c r="AJ633" t="n">
        <v>0</v>
      </c>
    </row>
    <row r="634">
      <c r="A634" t="inlineStr">
        <is>
          <t>2025-02-17</t>
        </is>
      </c>
      <c r="B634" t="n">
        <v>1</v>
      </c>
      <c r="C634" t="n">
        <v>0.3041218159133778</v>
      </c>
      <c r="D634" t="n">
        <v>-0.4959580841738037</v>
      </c>
      <c r="E634" t="n">
        <v>-0.4819310485268321</v>
      </c>
      <c r="F634" t="n">
        <v>0.8191313562528049</v>
      </c>
      <c r="G634" t="n">
        <v>0.8428758044662582</v>
      </c>
      <c r="H634" t="n">
        <v>0.8395629705316041</v>
      </c>
      <c r="I634" t="n">
        <v>-0.7234502526749166</v>
      </c>
      <c r="J634" t="n">
        <v>-0.6366102715760833</v>
      </c>
      <c r="K634" t="n">
        <v>-0.9054384547567345</v>
      </c>
      <c r="L634" t="n">
        <v>-1.309213032644532</v>
      </c>
      <c r="M634" t="n">
        <v>0.1271098893004557</v>
      </c>
      <c r="N634" t="n">
        <v>0.6827592699068065</v>
      </c>
      <c r="O634" t="n">
        <v>1.111411922199856</v>
      </c>
      <c r="P634" t="n">
        <v>-0.3286466608796079</v>
      </c>
      <c r="Q634" t="n">
        <v>-0.016443594470951</v>
      </c>
      <c r="R634" t="n">
        <v>-1.299321550007029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0.5420753071530635</v>
      </c>
      <c r="AJ634" t="n">
        <v>0.3333333333333333</v>
      </c>
    </row>
    <row r="635">
      <c r="A635" t="inlineStr">
        <is>
          <t>2025-02-18</t>
        </is>
      </c>
      <c r="B635" t="n">
        <v>1</v>
      </c>
      <c r="C635" t="n">
        <v>0.265837323118975</v>
      </c>
      <c r="D635" t="n">
        <v>-0.4848752150512583</v>
      </c>
      <c r="E635" t="n">
        <v>-0.624367569408611</v>
      </c>
      <c r="F635" t="n">
        <v>0.7530300177775865</v>
      </c>
      <c r="G635" t="n">
        <v>1.097079438037913</v>
      </c>
      <c r="H635" t="n">
        <v>0.9558185998934035</v>
      </c>
      <c r="I635" t="n">
        <v>-0.2979289384151819</v>
      </c>
      <c r="J635" t="n">
        <v>-1.079449249584895</v>
      </c>
      <c r="K635" t="n">
        <v>-0.5301263761037409</v>
      </c>
      <c r="L635" t="n">
        <v>0.05974593127721657</v>
      </c>
      <c r="M635" t="n">
        <v>0.5063551943068045</v>
      </c>
      <c r="N635" t="n">
        <v>1.002899411006246</v>
      </c>
      <c r="O635" t="n">
        <v>0.1626010721545345</v>
      </c>
      <c r="P635" t="n">
        <v>0.2845704645097212</v>
      </c>
      <c r="Q635" t="n">
        <v>-0.007456399123479241</v>
      </c>
      <c r="R635" t="n">
        <v>-0.1017821900435827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0.6143835585980559</v>
      </c>
      <c r="AJ635" t="n">
        <v>0.6666666666666666</v>
      </c>
    </row>
    <row r="636">
      <c r="A636" t="inlineStr">
        <is>
          <t>2025-02-19</t>
        </is>
      </c>
      <c r="B636" t="n">
        <v>1</v>
      </c>
      <c r="C636" t="n">
        <v>0.0943193074174128</v>
      </c>
      <c r="D636" t="n">
        <v>-1.140307568475314</v>
      </c>
      <c r="E636" t="n">
        <v>-0.6439563486781489</v>
      </c>
      <c r="F636" t="n">
        <v>2.886857190925925</v>
      </c>
      <c r="G636" t="n">
        <v>0.9219101471586822</v>
      </c>
      <c r="H636" t="n">
        <v>0.8007395802220044</v>
      </c>
      <c r="I636" t="n">
        <v>-1.712097676454529</v>
      </c>
      <c r="J636" t="n">
        <v>0.416564736475776</v>
      </c>
      <c r="K636" t="n">
        <v>-0.3802086159785582</v>
      </c>
      <c r="L636" t="n">
        <v>-0.6222308856943101</v>
      </c>
      <c r="M636" t="n">
        <v>-0.2827368157107853</v>
      </c>
      <c r="N636" t="n">
        <v>-0.1597147856180343</v>
      </c>
      <c r="O636" t="n">
        <v>-0.1846796521588731</v>
      </c>
      <c r="P636" t="n">
        <v>0.4366895744209404</v>
      </c>
      <c r="Q636" t="n">
        <v>-0.1103125773732985</v>
      </c>
      <c r="R636" t="n">
        <v>-0.7199621024649501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0.01595298560656374</v>
      </c>
      <c r="AJ636" t="n">
        <v>0</v>
      </c>
    </row>
    <row r="637">
      <c r="A637" t="inlineStr">
        <is>
          <t>2025-02-20</t>
        </is>
      </c>
      <c r="B637" t="n">
        <v>1</v>
      </c>
      <c r="C637" t="n">
        <v>0.002687038119488054</v>
      </c>
      <c r="D637" t="n">
        <v>-1.134609322655262</v>
      </c>
      <c r="E637" t="n">
        <v>-0.6596210765815895</v>
      </c>
      <c r="F637" t="n">
        <v>2.691919189770378</v>
      </c>
      <c r="G637" t="n">
        <v>0.8380672201684802</v>
      </c>
      <c r="H637" t="n">
        <v>0.723571595042287</v>
      </c>
      <c r="I637" t="n">
        <v>-1.699436678448623</v>
      </c>
      <c r="J637" t="n">
        <v>-0.1785525354058559</v>
      </c>
      <c r="K637" t="n">
        <v>-0.3794764633568551</v>
      </c>
      <c r="L637" t="n">
        <v>-0.4123620312511125</v>
      </c>
      <c r="M637" t="n">
        <v>-0.1559657356300475</v>
      </c>
      <c r="N637" t="n">
        <v>0.06816417232758712</v>
      </c>
      <c r="O637" t="n">
        <v>0.1374451304365444</v>
      </c>
      <c r="P637" t="n">
        <v>0.6743939713821739</v>
      </c>
      <c r="Q637" t="n">
        <v>-0.289159011714063</v>
      </c>
      <c r="R637" t="n">
        <v>0.147770907878172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inlineStr">
        <is>
          <t>2025-02-24</t>
        </is>
      </c>
      <c r="B638" t="n">
        <v>1</v>
      </c>
      <c r="C638" t="n">
        <v>-0.3668071773461588</v>
      </c>
      <c r="D638" t="n">
        <v>-1.104152002063968</v>
      </c>
      <c r="E638" t="n">
        <v>-0.8117523493956547</v>
      </c>
      <c r="F638" t="n">
        <v>1.892586860924343</v>
      </c>
      <c r="G638" t="n">
        <v>0.6766930686199311</v>
      </c>
      <c r="H638" t="n">
        <v>0.5096203630004666</v>
      </c>
      <c r="I638" t="n">
        <v>-1.512706829268979</v>
      </c>
      <c r="J638" t="n">
        <v>0.06582128894565711</v>
      </c>
      <c r="K638" t="n">
        <v>-0.3392126629741215</v>
      </c>
      <c r="L638" t="n">
        <v>-0.9932337909487147</v>
      </c>
      <c r="M638" t="n">
        <v>-0.3336587400856184</v>
      </c>
      <c r="N638" t="n">
        <v>-0.4173885577224613</v>
      </c>
      <c r="O638" t="n">
        <v>0.3033647494228666</v>
      </c>
      <c r="P638" t="n">
        <v>-0.5727106310591704</v>
      </c>
      <c r="Q638" t="n">
        <v>-0.5332854698998521</v>
      </c>
      <c r="R638" t="n">
        <v>-0.3786550693532743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inlineStr">
        <is>
          <t>2025-02-28</t>
        </is>
      </c>
      <c r="B639" t="n">
        <v>1</v>
      </c>
      <c r="C639" t="n">
        <v>-0.6276547337530509</v>
      </c>
      <c r="D639" t="n">
        <v>-1.408252447922495</v>
      </c>
      <c r="E639" t="n">
        <v>-0.9415692950578521</v>
      </c>
      <c r="F639" t="n">
        <v>3</v>
      </c>
      <c r="G639" t="n">
        <v>0.597640128254798</v>
      </c>
      <c r="H639" t="n">
        <v>0.3830778000569645</v>
      </c>
      <c r="I639" t="n">
        <v>-0.8860145769506792</v>
      </c>
      <c r="J639" t="n">
        <v>3</v>
      </c>
      <c r="K639" t="n">
        <v>-1.215072704808938</v>
      </c>
      <c r="L639" t="n">
        <v>-2.461972599981375</v>
      </c>
      <c r="M639" t="n">
        <v>-0.4795880210680086</v>
      </c>
      <c r="N639" t="n">
        <v>-1.597057716934197</v>
      </c>
      <c r="O639" t="n">
        <v>3</v>
      </c>
      <c r="P639" t="n">
        <v>-0.3783560396002062</v>
      </c>
      <c r="Q639" t="n">
        <v>-0.3004801848153226</v>
      </c>
      <c r="R639" t="n">
        <v>-0.4048103670990819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inlineStr">
        <is>
          <t>2025-03-06</t>
        </is>
      </c>
      <c r="B640" t="n">
        <v>1</v>
      </c>
      <c r="C640" t="n">
        <v>-0.5388630132388585</v>
      </c>
      <c r="D640" t="n">
        <v>-0.3004737248119974</v>
      </c>
      <c r="E640" t="n">
        <v>-0.8986334843026073</v>
      </c>
      <c r="F640" t="n">
        <v>-0.3901901675465339</v>
      </c>
      <c r="G640" t="n">
        <v>0.6288730446363491</v>
      </c>
      <c r="H640" t="n">
        <v>0.4275222637295871</v>
      </c>
      <c r="I640" t="n">
        <v>2.348729135228456</v>
      </c>
      <c r="J640" t="n">
        <v>-0.06765948474604597</v>
      </c>
      <c r="K640" t="n">
        <v>-0.1497664428833674</v>
      </c>
      <c r="L640" t="n">
        <v>0.1316982601018331</v>
      </c>
      <c r="M640" t="n">
        <v>-0.1079746375497218</v>
      </c>
      <c r="N640" t="n">
        <v>-0.180160192575284</v>
      </c>
      <c r="O640" t="n">
        <v>-0.3191853322512164</v>
      </c>
      <c r="P640" t="n">
        <v>-0.3351766071331188</v>
      </c>
      <c r="Q640" t="n">
        <v>-0.3009448500247113</v>
      </c>
      <c r="R640" t="n">
        <v>-0.2488136175062554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</row>
    <row r="641">
      <c r="A641" t="inlineStr">
        <is>
          <t>2025-03-07</t>
        </is>
      </c>
      <c r="B641" t="n">
        <v>1</v>
      </c>
      <c r="C641" t="n">
        <v>-0.6046851536811874</v>
      </c>
      <c r="D641" t="n">
        <v>-0.1293173954534149</v>
      </c>
      <c r="E641" t="n">
        <v>-0.7664692867985822</v>
      </c>
      <c r="F641" t="n">
        <v>-0.6650326565985557</v>
      </c>
      <c r="G641" t="n">
        <v>0.2513401645760789</v>
      </c>
      <c r="H641" t="n">
        <v>0.215370455296645</v>
      </c>
      <c r="I641" t="n">
        <v>2.401679170523799</v>
      </c>
      <c r="J641" t="n">
        <v>-0.8713925583572407</v>
      </c>
      <c r="K641" t="n">
        <v>-0.412407624045749</v>
      </c>
      <c r="L641" t="n">
        <v>-0.2821133174708959</v>
      </c>
      <c r="M641" t="n">
        <v>-0.1816623855765505</v>
      </c>
      <c r="N641" t="n">
        <v>-0.1632079707263081</v>
      </c>
      <c r="O641" t="n">
        <v>0.2606537445314678</v>
      </c>
      <c r="P641" t="n">
        <v>-0.2893311099295517</v>
      </c>
      <c r="Q641" t="n">
        <v>-0.5585473394138103</v>
      </c>
      <c r="R641" t="n">
        <v>-0.5615507530497229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0.5565442069067407</v>
      </c>
      <c r="AJ641" t="n">
        <v>0.3333333333333333</v>
      </c>
    </row>
    <row r="642">
      <c r="A642" t="inlineStr">
        <is>
          <t>2025-03-11</t>
        </is>
      </c>
      <c r="B642" t="n">
        <v>1</v>
      </c>
      <c r="C642" t="n">
        <v>-0.4072363558191242</v>
      </c>
      <c r="D642" t="n">
        <v>-0.09955157499041954</v>
      </c>
      <c r="E642" t="n">
        <v>-0.7311501745775716</v>
      </c>
      <c r="F642" t="n">
        <v>-0.5274790191453509</v>
      </c>
      <c r="G642" t="n">
        <v>0.4483995916588937</v>
      </c>
      <c r="H642" t="n">
        <v>0.3799417001976994</v>
      </c>
      <c r="I642" t="n">
        <v>0.4602638435083422</v>
      </c>
      <c r="J642" t="n">
        <v>0.2729925425773412</v>
      </c>
      <c r="K642" t="n">
        <v>-0.3821493695792096</v>
      </c>
      <c r="L642" t="n">
        <v>-1.142722200639036</v>
      </c>
      <c r="M642" t="n">
        <v>0.3467009444813809</v>
      </c>
      <c r="N642" t="n">
        <v>-0.5478692955903335</v>
      </c>
      <c r="O642" t="n">
        <v>-0.2398180512022682</v>
      </c>
      <c r="P642" t="n">
        <v>-0.4482950498307049</v>
      </c>
      <c r="Q642" t="n">
        <v>-0.5486670412011162</v>
      </c>
      <c r="R642" t="n">
        <v>-0.5675833007783111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0.3763185931055099</v>
      </c>
      <c r="AJ642" t="n">
        <v>0</v>
      </c>
    </row>
    <row r="643">
      <c r="A643" t="inlineStr">
        <is>
          <t>2025-03-12</t>
        </is>
      </c>
      <c r="B643" t="n">
        <v>1</v>
      </c>
      <c r="C643" t="n">
        <v>-0.4789265254102802</v>
      </c>
      <c r="D643" t="n">
        <v>-0.178777017698405</v>
      </c>
      <c r="E643" t="n">
        <v>-0.7269177190056411</v>
      </c>
      <c r="F643" t="n">
        <v>-0.4945265954992329</v>
      </c>
      <c r="G643" t="n">
        <v>0.3437752287394586</v>
      </c>
      <c r="H643" t="n">
        <v>0.3015504750110395</v>
      </c>
      <c r="I643" t="n">
        <v>0.1763573514697236</v>
      </c>
      <c r="J643" t="n">
        <v>-0.06765948474604597</v>
      </c>
      <c r="K643" t="n">
        <v>-0.1497664428833674</v>
      </c>
      <c r="L643" t="n">
        <v>0.1316982601018331</v>
      </c>
      <c r="M643" t="n">
        <v>-0.1079746375497218</v>
      </c>
      <c r="N643" t="n">
        <v>-0.180160192575284</v>
      </c>
      <c r="O643" t="n">
        <v>-0.3191853322512164</v>
      </c>
      <c r="P643" t="n">
        <v>-0.3351766071331188</v>
      </c>
      <c r="Q643" t="n">
        <v>-0.3009448500247113</v>
      </c>
      <c r="R643" t="n">
        <v>-0.2488136175062554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0.570595857125445</v>
      </c>
      <c r="AJ643" t="n">
        <v>0.3333333333333333</v>
      </c>
    </row>
    <row r="644">
      <c r="A644" t="inlineStr">
        <is>
          <t>2025-03-13</t>
        </is>
      </c>
      <c r="B644" t="n">
        <v>1</v>
      </c>
      <c r="C644" t="n">
        <v>-0.6746893291155297</v>
      </c>
      <c r="D644" t="n">
        <v>-0.1793569223692431</v>
      </c>
      <c r="E644" t="n">
        <v>-0.8834237517881464</v>
      </c>
      <c r="F644" t="n">
        <v>-0.6699948850398406</v>
      </c>
      <c r="G644" t="n">
        <v>0.3945900092642235</v>
      </c>
      <c r="H644" t="n">
        <v>0.2711421229083901</v>
      </c>
      <c r="I644" t="n">
        <v>-0.3469609275718556</v>
      </c>
      <c r="J644" t="n">
        <v>-0.06765948474604597</v>
      </c>
      <c r="K644" t="n">
        <v>-0.1497664428833674</v>
      </c>
      <c r="L644" t="n">
        <v>0.1316982601018331</v>
      </c>
      <c r="M644" t="n">
        <v>-0.1079746375497218</v>
      </c>
      <c r="N644" t="n">
        <v>-0.180160192575284</v>
      </c>
      <c r="O644" t="n">
        <v>-0.3191853322512164</v>
      </c>
      <c r="P644" t="n">
        <v>-0.3351766071331188</v>
      </c>
      <c r="Q644" t="n">
        <v>-0.3009448500247113</v>
      </c>
      <c r="R644" t="n">
        <v>-0.2488136175062554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0.2014811666410484</v>
      </c>
      <c r="AJ644" t="n">
        <v>0</v>
      </c>
    </row>
    <row r="645">
      <c r="A645" t="inlineStr">
        <is>
          <t>2025-03-18</t>
        </is>
      </c>
      <c r="B645" t="n">
        <v>1</v>
      </c>
      <c r="C645" t="n">
        <v>-0.6244201133961383</v>
      </c>
      <c r="D645" t="n">
        <v>-0.7991665446416683</v>
      </c>
      <c r="E645" t="n">
        <v>-0.8198660823202766</v>
      </c>
      <c r="F645" t="n">
        <v>0.4478799202882944</v>
      </c>
      <c r="G645" t="n">
        <v>0.331608958676924</v>
      </c>
      <c r="H645" t="n">
        <v>0.2534138300002179</v>
      </c>
      <c r="I645" t="n">
        <v>-0.6154174621741407</v>
      </c>
      <c r="J645" t="n">
        <v>-0.5204334444278209</v>
      </c>
      <c r="K645" t="n">
        <v>-0.3136754861442442</v>
      </c>
      <c r="L645" t="n">
        <v>1.262974521626659</v>
      </c>
      <c r="M645" t="n">
        <v>-0.2105389715147458</v>
      </c>
      <c r="N645" t="n">
        <v>-0.38430603993234</v>
      </c>
      <c r="O645" t="n">
        <v>0.04713953089207393</v>
      </c>
      <c r="P645" t="n">
        <v>-0.1938902403684249</v>
      </c>
      <c r="Q645" t="n">
        <v>-0.1733062891837876</v>
      </c>
      <c r="R645" t="n">
        <v>-0.6412971110309473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2025-03-19</t>
        </is>
      </c>
      <c r="B646" t="n">
        <v>1</v>
      </c>
      <c r="C646" t="n">
        <v>-0.7203664664787587</v>
      </c>
      <c r="D646" t="n">
        <v>-0.5103330807827069</v>
      </c>
      <c r="E646" t="n">
        <v>-0.5786933282489842</v>
      </c>
      <c r="F646" t="n">
        <v>-0.2581381050192275</v>
      </c>
      <c r="G646" t="n">
        <v>-0.2260386672402066</v>
      </c>
      <c r="H646" t="n">
        <v>-0.1088545884606196</v>
      </c>
      <c r="I646" t="n">
        <v>0.1215718491120163</v>
      </c>
      <c r="J646" t="n">
        <v>-0.08173967644642229</v>
      </c>
      <c r="K646" t="n">
        <v>-0.2634921022821566</v>
      </c>
      <c r="L646" t="n">
        <v>0.3935867166487153</v>
      </c>
      <c r="M646" t="n">
        <v>-0.2488072256389272</v>
      </c>
      <c r="N646" t="n">
        <v>-0.6908844035525987</v>
      </c>
      <c r="O646" t="n">
        <v>-0.2152263738014686</v>
      </c>
      <c r="P646" t="n">
        <v>-0.5007564364374281</v>
      </c>
      <c r="Q646" t="n">
        <v>-0.4372202684319381</v>
      </c>
      <c r="R646" t="n">
        <v>-0.03252013501458423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0.4565927399877061</v>
      </c>
      <c r="AJ646" t="n">
        <v>0.3333333333333333</v>
      </c>
    </row>
    <row r="647">
      <c r="A647" t="inlineStr">
        <is>
          <t>2025-03-20</t>
        </is>
      </c>
      <c r="B647" t="n">
        <v>1</v>
      </c>
      <c r="C647" t="n">
        <v>-0.668022455515307</v>
      </c>
      <c r="D647" t="n">
        <v>-0.5962251401036377</v>
      </c>
      <c r="E647" t="n">
        <v>-0.5633697516449541</v>
      </c>
      <c r="F647" t="n">
        <v>-0.04871382508833359</v>
      </c>
      <c r="G647" t="n">
        <v>-0.1850432513576287</v>
      </c>
      <c r="H647" t="n">
        <v>-0.07173977410555754</v>
      </c>
      <c r="I647" t="n">
        <v>0.08058504793836735</v>
      </c>
      <c r="J647" t="n">
        <v>-0.06765948474604597</v>
      </c>
      <c r="K647" t="n">
        <v>-0.1497664428833674</v>
      </c>
      <c r="L647" t="n">
        <v>0.1316982601018331</v>
      </c>
      <c r="M647" t="n">
        <v>-0.1079746375497218</v>
      </c>
      <c r="N647" t="n">
        <v>-0.180160192575284</v>
      </c>
      <c r="O647" t="n">
        <v>-0.3191853322512164</v>
      </c>
      <c r="P647" t="n">
        <v>-0.3351766071331188</v>
      </c>
      <c r="Q647" t="n">
        <v>-0.3009448500247113</v>
      </c>
      <c r="R647" t="n">
        <v>-0.2488136175062554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0.7381869819999459</v>
      </c>
      <c r="AJ647" t="n">
        <v>0.6666666666666666</v>
      </c>
    </row>
    <row r="648">
      <c r="A648" t="inlineStr">
        <is>
          <t>2025-03-24</t>
        </is>
      </c>
      <c r="B648" t="n">
        <v>1</v>
      </c>
      <c r="C648" t="n">
        <v>-0.7923693015216355</v>
      </c>
      <c r="D648" t="n">
        <v>-0.6502691671631624</v>
      </c>
      <c r="E648" t="n">
        <v>-0.4143539988748078</v>
      </c>
      <c r="F648" t="n">
        <v>-0.09109571748385739</v>
      </c>
      <c r="G648" t="n">
        <v>-0.5418979316795416</v>
      </c>
      <c r="H648" t="n">
        <v>-0.3625257308835975</v>
      </c>
      <c r="I648" t="n">
        <v>-1.090376604735744</v>
      </c>
      <c r="J648" t="n">
        <v>-0.3404818930455465</v>
      </c>
      <c r="K648" t="n">
        <v>-0.3149016657826455</v>
      </c>
      <c r="L648" t="n">
        <v>1.552625246849708</v>
      </c>
      <c r="M648" t="n">
        <v>0.07415777269235313</v>
      </c>
      <c r="N648" t="n">
        <v>-0.6475278119146133</v>
      </c>
      <c r="O648" t="n">
        <v>-0.2132521628931753</v>
      </c>
      <c r="P648" t="n">
        <v>-0.2775233528782716</v>
      </c>
      <c r="Q648" t="n">
        <v>-0.4428839418177352</v>
      </c>
      <c r="R648" t="n">
        <v>-0.1473738408596614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0.6977373368364351</v>
      </c>
      <c r="AJ648" t="n">
        <v>0</v>
      </c>
    </row>
    <row r="649">
      <c r="A649" t="inlineStr">
        <is>
          <t>2025-03-25</t>
        </is>
      </c>
      <c r="B649" t="n">
        <v>1</v>
      </c>
      <c r="C649" t="n">
        <v>-0.09467357188960486</v>
      </c>
      <c r="D649" t="n">
        <v>-0.4690623467325647</v>
      </c>
      <c r="E649" t="n">
        <v>-0.2695607130297589</v>
      </c>
      <c r="F649" t="n">
        <v>0.3369095518630137</v>
      </c>
      <c r="G649" t="n">
        <v>0.03359421858347826</v>
      </c>
      <c r="H649" t="n">
        <v>0.1971497179878597</v>
      </c>
      <c r="I649" t="n">
        <v>-1.100569867072622</v>
      </c>
      <c r="J649" t="n">
        <v>0.224162241169264</v>
      </c>
      <c r="K649" t="n">
        <v>-0.8511502916517092</v>
      </c>
      <c r="L649" t="n">
        <v>1.023335396404963</v>
      </c>
      <c r="M649" t="n">
        <v>2.218076119739605</v>
      </c>
      <c r="N649" t="n">
        <v>-0.238208709815715</v>
      </c>
      <c r="O649" t="n">
        <v>-0.07307595621877348</v>
      </c>
      <c r="P649" t="n">
        <v>-0.1508926753429641</v>
      </c>
      <c r="Q649" t="n">
        <v>-0.1989162600745485</v>
      </c>
      <c r="R649" t="n">
        <v>-0.2257730750911906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1.164377993481273</v>
      </c>
      <c r="AJ649" t="n">
        <v>0.3333333333333333</v>
      </c>
    </row>
    <row r="650">
      <c r="A650" t="inlineStr">
        <is>
          <t>2025-03-26</t>
        </is>
      </c>
      <c r="B650" t="n">
        <v>1</v>
      </c>
      <c r="C650" t="n">
        <v>-0.5025070005249922</v>
      </c>
      <c r="D650" t="n">
        <v>-0.6685165794281138</v>
      </c>
      <c r="E650" t="n">
        <v>-0.3108446863873157</v>
      </c>
      <c r="F650" t="n">
        <v>0.2925448432964048</v>
      </c>
      <c r="G650" t="n">
        <v>-0.3510953039212496</v>
      </c>
      <c r="H650" t="n">
        <v>-0.1773803169282828</v>
      </c>
      <c r="I650" t="n">
        <v>-0.8540644036927021</v>
      </c>
      <c r="J650" t="n">
        <v>-1.162242724209277</v>
      </c>
      <c r="K650" t="n">
        <v>0.1170962243613899</v>
      </c>
      <c r="L650" t="n">
        <v>0.002831259459286603</v>
      </c>
      <c r="M650" t="n">
        <v>-0.2367691290364327</v>
      </c>
      <c r="N650" t="n">
        <v>0.1499458001565841</v>
      </c>
      <c r="O650" t="n">
        <v>-0.4280399776585711</v>
      </c>
      <c r="P650" t="n">
        <v>-0.5674615307250804</v>
      </c>
      <c r="Q650" t="n">
        <v>-0.5513893262903352</v>
      </c>
      <c r="R650" t="n">
        <v>-0.05868793160381867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0.4653665983497922</v>
      </c>
      <c r="AJ650" t="n">
        <v>0</v>
      </c>
    </row>
    <row r="651">
      <c r="A651" t="inlineStr">
        <is>
          <t>2025-03-27</t>
        </is>
      </c>
      <c r="B651" t="n">
        <v>1</v>
      </c>
      <c r="C651" t="n">
        <v>-0.7090287577434473</v>
      </c>
      <c r="D651" t="n">
        <v>-0.3445935072034173</v>
      </c>
      <c r="E651" t="n">
        <v>-0.3251623156944908</v>
      </c>
      <c r="F651" t="n">
        <v>-0.4948135967158803</v>
      </c>
      <c r="G651" t="n">
        <v>-0.5593541553294639</v>
      </c>
      <c r="H651" t="n">
        <v>-0.3742368113305275</v>
      </c>
      <c r="I651" t="n">
        <v>0.3923666311494131</v>
      </c>
      <c r="J651" t="n">
        <v>-0.9690977286104612</v>
      </c>
      <c r="K651" t="n">
        <v>1.61980415799101</v>
      </c>
      <c r="L651" t="n">
        <v>-0.4017153883644639</v>
      </c>
      <c r="M651" t="n">
        <v>0.8402508726250221</v>
      </c>
      <c r="N651" t="n">
        <v>-0.2230030805208766</v>
      </c>
      <c r="O651" t="n">
        <v>-0.626920826107476</v>
      </c>
      <c r="P651" t="n">
        <v>0.7203630192476652</v>
      </c>
      <c r="Q651" t="n">
        <v>-0.3680836819735959</v>
      </c>
      <c r="R651" t="n">
        <v>0.1109221287822705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0.5284558596969631</v>
      </c>
      <c r="AJ651" t="n">
        <v>0.3333333333333333</v>
      </c>
    </row>
    <row r="652">
      <c r="A652" t="inlineStr">
        <is>
          <t>2025-03-28</t>
        </is>
      </c>
      <c r="B652" t="n">
        <v>1</v>
      </c>
      <c r="C652" t="n">
        <v>-0.6503949702478614</v>
      </c>
      <c r="D652" t="n">
        <v>-0.3972775958341014</v>
      </c>
      <c r="E652" t="n">
        <v>-0.3302463170268603</v>
      </c>
      <c r="F652" t="n">
        <v>-0.3614286953645814</v>
      </c>
      <c r="G652" t="n">
        <v>-0.4885730475286937</v>
      </c>
      <c r="H652" t="n">
        <v>-0.308349520548848</v>
      </c>
      <c r="I652" t="n">
        <v>0.239327425946286</v>
      </c>
      <c r="J652" t="n">
        <v>0.5646406957121169</v>
      </c>
      <c r="K652" t="n">
        <v>-0.7030373901434213</v>
      </c>
      <c r="L652" t="n">
        <v>0.02230950295799275</v>
      </c>
      <c r="M652" t="n">
        <v>-0.1063435337869877</v>
      </c>
      <c r="N652" t="n">
        <v>-0.8793109179224232</v>
      </c>
      <c r="O652" t="n">
        <v>-0.1273739654036546</v>
      </c>
      <c r="P652" t="n">
        <v>0.1164809316994689</v>
      </c>
      <c r="Q652" t="n">
        <v>-0.2090437357752711</v>
      </c>
      <c r="R652" t="n">
        <v>-0.7263490258704653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1.055173756073006</v>
      </c>
      <c r="AJ652" t="n">
        <v>0.6666666666666666</v>
      </c>
    </row>
    <row r="653">
      <c r="A653" t="inlineStr">
        <is>
          <t>2025-04-02</t>
        </is>
      </c>
      <c r="B653" t="n">
        <v>1</v>
      </c>
      <c r="C653" t="n">
        <v>-0.2454631070511169</v>
      </c>
      <c r="D653" t="n">
        <v>0.1696343219281412</v>
      </c>
      <c r="E653" t="n">
        <v>-0.4320604546547487</v>
      </c>
      <c r="F653" t="n">
        <v>-0.6849317700942694</v>
      </c>
      <c r="G653" t="n">
        <v>0.1120894857677207</v>
      </c>
      <c r="H653" t="n">
        <v>0.2195666475875585</v>
      </c>
      <c r="I653" t="n">
        <v>0.0854513707408884</v>
      </c>
      <c r="J653" t="n">
        <v>-0.06765948474604597</v>
      </c>
      <c r="K653" t="n">
        <v>-0.1497664428833674</v>
      </c>
      <c r="L653" t="n">
        <v>0.1316982601018331</v>
      </c>
      <c r="M653" t="n">
        <v>-0.1079746375497218</v>
      </c>
      <c r="N653" t="n">
        <v>-0.180160192575284</v>
      </c>
      <c r="O653" t="n">
        <v>-0.3191853322512164</v>
      </c>
      <c r="P653" t="n">
        <v>-0.3351766071331188</v>
      </c>
      <c r="Q653" t="n">
        <v>-0.3009448500247113</v>
      </c>
      <c r="R653" t="n">
        <v>-0.2488136175062554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0.6916294982494583</v>
      </c>
      <c r="AJ653" t="n">
        <v>0</v>
      </c>
    </row>
    <row r="654">
      <c r="A654" t="inlineStr">
        <is>
          <t>2025-04-03</t>
        </is>
      </c>
      <c r="B654" t="n">
        <v>1</v>
      </c>
      <c r="C654" t="n">
        <v>-0.531408537605021</v>
      </c>
      <c r="D654" t="n">
        <v>-0.03670185048343102</v>
      </c>
      <c r="E654" t="n">
        <v>-0.4394682592943226</v>
      </c>
      <c r="F654" t="n">
        <v>-0.7036840694140357</v>
      </c>
      <c r="G654" t="n">
        <v>-0.2072801848957777</v>
      </c>
      <c r="H654" t="n">
        <v>-0.06656424106780709</v>
      </c>
      <c r="I654" t="n">
        <v>0.3904760445738233</v>
      </c>
      <c r="J654" t="n">
        <v>-0.2644637380142886</v>
      </c>
      <c r="K654" t="n">
        <v>0.1268783670579799</v>
      </c>
      <c r="L654" t="n">
        <v>-1.297997032045462</v>
      </c>
      <c r="M654" t="n">
        <v>0.2580615035240812</v>
      </c>
      <c r="N654" t="n">
        <v>-0.4192378910150769</v>
      </c>
      <c r="O654" t="n">
        <v>-0.03028409147566116</v>
      </c>
      <c r="P654" t="n">
        <v>2.434087646223319</v>
      </c>
      <c r="Q654" t="n">
        <v>0.9640041471396397</v>
      </c>
      <c r="R654" t="n">
        <v>-0.01586013834618928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0.6716316638969875</v>
      </c>
      <c r="AJ654" t="n">
        <v>0</v>
      </c>
    </row>
    <row r="655">
      <c r="A655" t="inlineStr">
        <is>
          <t>2025-04-04</t>
        </is>
      </c>
      <c r="B655" t="n">
        <v>1</v>
      </c>
      <c r="C655" t="n">
        <v>-0.3300201136998687</v>
      </c>
      <c r="D655" t="n">
        <v>0.003792475205983727</v>
      </c>
      <c r="E655" t="n">
        <v>-0.4243355213695595</v>
      </c>
      <c r="F655" t="n">
        <v>-0.5801946788531709</v>
      </c>
      <c r="G655" t="n">
        <v>0.002598930421802599</v>
      </c>
      <c r="H655" t="n">
        <v>0.1241195519335219</v>
      </c>
      <c r="I655" t="n">
        <v>0.2485449524974762</v>
      </c>
      <c r="J655" t="n">
        <v>0.04759032481078461</v>
      </c>
      <c r="K655" t="n">
        <v>-0.8138887379469922</v>
      </c>
      <c r="L655" t="n">
        <v>-1.547001675325847</v>
      </c>
      <c r="M655" t="n">
        <v>-0.151952519620778</v>
      </c>
      <c r="N655" t="n">
        <v>-0.3738264846075181</v>
      </c>
      <c r="O655" t="n">
        <v>-0.3624836238258674</v>
      </c>
      <c r="P655" t="n">
        <v>-0.3896186513333997</v>
      </c>
      <c r="Q655" t="n">
        <v>-0.2753553273970502</v>
      </c>
      <c r="R655" t="n">
        <v>-0.360922664101783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0.3811201842588586</v>
      </c>
      <c r="AJ655" t="n">
        <v>0</v>
      </c>
    </row>
    <row r="656">
      <c r="A656" t="inlineStr">
        <is>
          <t>2025-04-07</t>
        </is>
      </c>
      <c r="B656" t="n">
        <v>1</v>
      </c>
      <c r="C656" t="n">
        <v>3</v>
      </c>
      <c r="D656" t="n">
        <v>0.1969728668508519</v>
      </c>
      <c r="E656" t="n">
        <v>-0.2364307233978377</v>
      </c>
      <c r="F656" t="n">
        <v>2.952718486820419</v>
      </c>
      <c r="G656" t="n">
        <v>3</v>
      </c>
      <c r="H656" t="n">
        <v>3</v>
      </c>
      <c r="I656" t="n">
        <v>0.178811236607457</v>
      </c>
      <c r="J656" t="n">
        <v>3</v>
      </c>
      <c r="K656" t="n">
        <v>-3</v>
      </c>
      <c r="L656" t="n">
        <v>-3</v>
      </c>
      <c r="M656" t="n">
        <v>-1.465316640404615</v>
      </c>
      <c r="N656" t="n">
        <v>0.2159053542598703</v>
      </c>
      <c r="O656" t="n">
        <v>-0.3191853322512164</v>
      </c>
      <c r="P656" t="n">
        <v>-0.3351766071331188</v>
      </c>
      <c r="Q656" t="n">
        <v>-0.3009448500247113</v>
      </c>
      <c r="R656" t="n">
        <v>-0.2488136175062554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0.02223278524844015</v>
      </c>
      <c r="AJ656" t="n">
        <v>0</v>
      </c>
    </row>
    <row r="657">
      <c r="A657" t="inlineStr">
        <is>
          <t>2025-04-08</t>
        </is>
      </c>
      <c r="B657" t="n">
        <v>1</v>
      </c>
      <c r="C657" t="n">
        <v>1.378631800978726</v>
      </c>
      <c r="D657" t="n">
        <v>0.9263121429329446</v>
      </c>
      <c r="E657" t="n">
        <v>0.4492673793575371</v>
      </c>
      <c r="F657" t="n">
        <v>-0.3072860304213896</v>
      </c>
      <c r="G657" t="n">
        <v>0.4463037224972997</v>
      </c>
      <c r="H657" t="n">
        <v>0.9276133035159619</v>
      </c>
      <c r="I657" t="n">
        <v>0.816059773715381</v>
      </c>
      <c r="J657" t="n">
        <v>-0.06765948474604597</v>
      </c>
      <c r="K657" t="n">
        <v>-0.1497664428833674</v>
      </c>
      <c r="L657" t="n">
        <v>0.1316982601018331</v>
      </c>
      <c r="M657" t="n">
        <v>-0.1079746375497218</v>
      </c>
      <c r="N657" t="n">
        <v>-0.180160192575284</v>
      </c>
      <c r="O657" t="n">
        <v>-0.3191853322512164</v>
      </c>
      <c r="P657" t="n">
        <v>-0.3351766071331188</v>
      </c>
      <c r="Q657" t="n">
        <v>-0.3009448500247113</v>
      </c>
      <c r="R657" t="n">
        <v>-0.2488136175062554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0.05043554481635511</v>
      </c>
      <c r="AJ657" t="n">
        <v>0.3333333333333333</v>
      </c>
    </row>
    <row r="658">
      <c r="A658" t="inlineStr">
        <is>
          <t>2025-04-09</t>
        </is>
      </c>
      <c r="B658" t="n">
        <v>1</v>
      </c>
      <c r="C658" t="n">
        <v>2.931962637176752</v>
      </c>
      <c r="D658" t="n">
        <v>1.060378571937884</v>
      </c>
      <c r="E658" t="n">
        <v>0.6468614792398116</v>
      </c>
      <c r="F658" t="n">
        <v>0.4373293126506302</v>
      </c>
      <c r="G658" t="n">
        <v>1.407296499833193</v>
      </c>
      <c r="H658" t="n">
        <v>2.310002767877973</v>
      </c>
      <c r="I658" t="n">
        <v>1.799506394534466</v>
      </c>
      <c r="J658" t="n">
        <v>-1.123035364235646</v>
      </c>
      <c r="K658" t="n">
        <v>0.5939076072847905</v>
      </c>
      <c r="L658" t="n">
        <v>-0.5667924230397771</v>
      </c>
      <c r="M658" t="n">
        <v>-2.065753594451953</v>
      </c>
      <c r="N658" t="n">
        <v>3</v>
      </c>
      <c r="O658" t="n">
        <v>3</v>
      </c>
      <c r="P658" t="n">
        <v>1.997721777873996</v>
      </c>
      <c r="Q658" t="n">
        <v>0.3172582702696878</v>
      </c>
      <c r="R658" t="n">
        <v>0.5774451577358461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0.5731220843440193</v>
      </c>
      <c r="AJ658" t="n">
        <v>0.6666666666666666</v>
      </c>
    </row>
    <row r="659">
      <c r="A659" t="inlineStr">
        <is>
          <t>2025-04-16</t>
        </is>
      </c>
      <c r="B659" t="n">
        <v>1</v>
      </c>
      <c r="C659" t="n">
        <v>-0.3291466419659892</v>
      </c>
      <c r="D659" t="n">
        <v>1.902480249851442</v>
      </c>
      <c r="E659" t="n">
        <v>1.074163263814902</v>
      </c>
      <c r="F659" t="n">
        <v>-1.685036858303301</v>
      </c>
      <c r="G659" t="n">
        <v>-1.348458055262462</v>
      </c>
      <c r="H659" t="n">
        <v>-1.512479438528122</v>
      </c>
      <c r="I659" t="n">
        <v>2.072949433582066</v>
      </c>
      <c r="J659" t="n">
        <v>-0.06765948474604597</v>
      </c>
      <c r="K659" t="n">
        <v>-0.1497664428833674</v>
      </c>
      <c r="L659" t="n">
        <v>0.1316982601018331</v>
      </c>
      <c r="M659" t="n">
        <v>-0.1079746375497218</v>
      </c>
      <c r="N659" t="n">
        <v>-0.180160192575284</v>
      </c>
      <c r="O659" t="n">
        <v>-0.3191853322512164</v>
      </c>
      <c r="P659" t="n">
        <v>-0.3351766071331188</v>
      </c>
      <c r="Q659" t="n">
        <v>-0.3009448500247113</v>
      </c>
      <c r="R659" t="n">
        <v>-0.2488136175062554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</row>
    <row r="660">
      <c r="A660" t="inlineStr">
        <is>
          <t>2025-04-17</t>
        </is>
      </c>
      <c r="B660" t="n">
        <v>1</v>
      </c>
      <c r="C660" t="n">
        <v>-0.2701098550476123</v>
      </c>
      <c r="D660" t="n">
        <v>1.910014780130951</v>
      </c>
      <c r="E660" t="n">
        <v>1.060029319046652</v>
      </c>
      <c r="F660" t="n">
        <v>-1.661701016385819</v>
      </c>
      <c r="G660" t="n">
        <v>-1.300851081085238</v>
      </c>
      <c r="H660" t="n">
        <v>-1.436288072813469</v>
      </c>
      <c r="I660" t="n">
        <v>-0.07794419688731431</v>
      </c>
      <c r="J660" t="n">
        <v>-0.06765948474604597</v>
      </c>
      <c r="K660" t="n">
        <v>-0.1497664428833674</v>
      </c>
      <c r="L660" t="n">
        <v>0.1316982601018331</v>
      </c>
      <c r="M660" t="n">
        <v>-0.1079746375497218</v>
      </c>
      <c r="N660" t="n">
        <v>-0.180160192575284</v>
      </c>
      <c r="O660" t="n">
        <v>-0.3191853322512164</v>
      </c>
      <c r="P660" t="n">
        <v>-0.3351766071331188</v>
      </c>
      <c r="Q660" t="n">
        <v>-0.3009448500247113</v>
      </c>
      <c r="R660" t="n">
        <v>-0.2488136175062554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0.5113273380953129</v>
      </c>
      <c r="AJ660" t="n">
        <v>0.3333333333333333</v>
      </c>
    </row>
    <row r="661">
      <c r="A661" t="inlineStr">
        <is>
          <t>2025-04-21</t>
        </is>
      </c>
      <c r="B661" t="n">
        <v>1</v>
      </c>
      <c r="C661" t="n">
        <v>-0.03433429659131002</v>
      </c>
      <c r="D661" t="n">
        <v>1.96892708107457</v>
      </c>
      <c r="E661" t="n">
        <v>1.193927565223268</v>
      </c>
      <c r="F661" t="n">
        <v>-1.578915231371639</v>
      </c>
      <c r="G661" t="n">
        <v>-1.216963661424706</v>
      </c>
      <c r="H661" t="n">
        <v>-1.340003419335562</v>
      </c>
      <c r="I661" t="n">
        <v>-0.1305682616180421</v>
      </c>
      <c r="J661" t="n">
        <v>-0.535941112846165</v>
      </c>
      <c r="K661" t="n">
        <v>0.7416650007783966</v>
      </c>
      <c r="L661" t="n">
        <v>1.098919770554534</v>
      </c>
      <c r="M661" t="n">
        <v>-0.04163273535775662</v>
      </c>
      <c r="N661" t="n">
        <v>0.249604316480864</v>
      </c>
      <c r="O661" t="n">
        <v>-0.3697244412745359</v>
      </c>
      <c r="P661" t="n">
        <v>-0.4092305067761048</v>
      </c>
      <c r="Q661" t="n">
        <v>-0.5705318745912925</v>
      </c>
      <c r="R661" t="n">
        <v>-0.52255252346776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1.093564895318438</v>
      </c>
      <c r="AJ661" t="n">
        <v>0.6666666666666666</v>
      </c>
    </row>
    <row r="662">
      <c r="A662" t="inlineStr">
        <is>
          <t>2025-04-24</t>
        </is>
      </c>
      <c r="B662" t="n">
        <v>1</v>
      </c>
      <c r="C662" t="n">
        <v>-0.05264416794655587</v>
      </c>
      <c r="D662" t="n">
        <v>1.64412218300198</v>
      </c>
      <c r="E662" t="n">
        <v>1.143125435470835</v>
      </c>
      <c r="F662" t="n">
        <v>-1.471378090654168</v>
      </c>
      <c r="G662" t="n">
        <v>-1.200861292919162</v>
      </c>
      <c r="H662" t="n">
        <v>-1.303329032483059</v>
      </c>
      <c r="I662" t="n">
        <v>-1.163451648975434</v>
      </c>
      <c r="J662" t="n">
        <v>-0.06765948474604597</v>
      </c>
      <c r="K662" t="n">
        <v>-0.1497664428833674</v>
      </c>
      <c r="L662" t="n">
        <v>0.1316982601018331</v>
      </c>
      <c r="M662" t="n">
        <v>-0.1079746375497218</v>
      </c>
      <c r="N662" t="n">
        <v>-0.180160192575284</v>
      </c>
      <c r="O662" t="n">
        <v>-0.3191853322512164</v>
      </c>
      <c r="P662" t="n">
        <v>-0.3351766071331188</v>
      </c>
      <c r="Q662" t="n">
        <v>-0.3009448500247113</v>
      </c>
      <c r="R662" t="n">
        <v>-0.2488136175062554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0.4919182826674902</v>
      </c>
      <c r="AJ662" t="n">
        <v>0</v>
      </c>
    </row>
    <row r="663">
      <c r="A663" t="inlineStr">
        <is>
          <t>2025-04-25</t>
        </is>
      </c>
      <c r="B663" t="n">
        <v>1</v>
      </c>
      <c r="C663" t="n">
        <v>0.2067290647312074</v>
      </c>
      <c r="D663" t="n">
        <v>0.2399518649709272</v>
      </c>
      <c r="E663" t="n">
        <v>1.137739122376895</v>
      </c>
      <c r="F663" t="n">
        <v>-0.4165048575848427</v>
      </c>
      <c r="G663" t="n">
        <v>-1.025451608780657</v>
      </c>
      <c r="H663" t="n">
        <v>-1.030558933937114</v>
      </c>
      <c r="I663" t="n">
        <v>-0.8000933421426898</v>
      </c>
      <c r="J663" t="n">
        <v>2.051051282054092</v>
      </c>
      <c r="K663" t="n">
        <v>-0.7291495873490348</v>
      </c>
      <c r="L663" t="n">
        <v>1.149118551049574</v>
      </c>
      <c r="M663" t="n">
        <v>0.8131246379682627</v>
      </c>
      <c r="N663" t="n">
        <v>-0.7023913662622068</v>
      </c>
      <c r="O663" t="n">
        <v>1.096784344593139</v>
      </c>
      <c r="P663" t="n">
        <v>-0.3392917325926776</v>
      </c>
      <c r="Q663" t="n">
        <v>-0.0810397616078548</v>
      </c>
      <c r="R663" t="n">
        <v>-0.6849519484628802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0.6787140858658677</v>
      </c>
      <c r="AJ663" t="n">
        <v>0.3333333333333333</v>
      </c>
    </row>
    <row r="664">
      <c r="A664" t="inlineStr">
        <is>
          <t>2025-05-07</t>
        </is>
      </c>
      <c r="B664" t="n">
        <v>1</v>
      </c>
      <c r="C664" t="n">
        <v>-0.6579054527560763</v>
      </c>
      <c r="D664" t="n">
        <v>-0.6932918797827272</v>
      </c>
      <c r="E664" t="n">
        <v>0.9759104932704639</v>
      </c>
      <c r="F664" t="n">
        <v>0.1581768085537889</v>
      </c>
      <c r="G664" t="n">
        <v>-1.523376285602666</v>
      </c>
      <c r="H664" t="n">
        <v>-1.743391859152948</v>
      </c>
      <c r="I664" t="n">
        <v>-1.786007991844826</v>
      </c>
      <c r="J664" t="n">
        <v>1.837611340562618</v>
      </c>
      <c r="K664" t="n">
        <v>-1.982298465531467</v>
      </c>
      <c r="L664" t="n">
        <v>-0.023375242913925</v>
      </c>
      <c r="M664" t="n">
        <v>-0.5311434783822273</v>
      </c>
      <c r="N664" t="n">
        <v>-1.260479057678175</v>
      </c>
      <c r="O664" t="n">
        <v>-0.4063868557412826</v>
      </c>
      <c r="P664" t="n">
        <v>-0.2219178018895353</v>
      </c>
      <c r="Q664" t="n">
        <v>-0.2707591235668291</v>
      </c>
      <c r="R664" t="n">
        <v>-0.2031424937319287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0.2179347641114388</v>
      </c>
      <c r="AJ664" t="n">
        <v>0</v>
      </c>
    </row>
    <row r="665">
      <c r="A665" t="inlineStr">
        <is>
          <t>2025-05-09</t>
        </is>
      </c>
      <c r="B665" t="n">
        <v>1</v>
      </c>
      <c r="C665" t="n">
        <v>1.014966033727022</v>
      </c>
      <c r="D665" t="n">
        <v>-0.6537790801942043</v>
      </c>
      <c r="E665" t="n">
        <v>0.8105427506484013</v>
      </c>
      <c r="F665" t="n">
        <v>2.065179816278301</v>
      </c>
      <c r="G665" t="n">
        <v>-0.2176909999379997</v>
      </c>
      <c r="H665" t="n">
        <v>0.1586296639540809</v>
      </c>
      <c r="I665" t="n">
        <v>-1.439954848183425</v>
      </c>
      <c r="J665" t="n">
        <v>2.925797378416313</v>
      </c>
      <c r="K665" t="n">
        <v>-0.5351548989644394</v>
      </c>
      <c r="L665" t="n">
        <v>-0.6413352156315596</v>
      </c>
      <c r="M665" t="n">
        <v>3</v>
      </c>
      <c r="N665" t="n">
        <v>-0.4348544832638303</v>
      </c>
      <c r="O665" t="n">
        <v>0.2402303026500923</v>
      </c>
      <c r="P665" t="n">
        <v>-0.2228256075894191</v>
      </c>
      <c r="Q665" t="n">
        <v>-0.230051227268157</v>
      </c>
      <c r="R665" t="n">
        <v>-0.9179562847940151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1</v>
      </c>
      <c r="AH665" t="n">
        <v>0</v>
      </c>
      <c r="AI665" t="n">
        <v>0.07926829983232891</v>
      </c>
      <c r="AJ665" t="n">
        <v>0</v>
      </c>
    </row>
    <row r="666">
      <c r="A666" t="inlineStr">
        <is>
          <t>2025-05-13</t>
        </is>
      </c>
      <c r="B666" t="n">
        <v>1</v>
      </c>
      <c r="C666" t="n">
        <v>1.391485927776723</v>
      </c>
      <c r="D666" t="n">
        <v>1.295118064799716</v>
      </c>
      <c r="E666" t="n">
        <v>0.8877457431001219</v>
      </c>
      <c r="F666" t="n">
        <v>-0.5828398980549384</v>
      </c>
      <c r="G666" t="n">
        <v>-0.0177876760520754</v>
      </c>
      <c r="H666" t="n">
        <v>0.4616885628649079</v>
      </c>
      <c r="I666" t="n">
        <v>1.970099678753985</v>
      </c>
      <c r="J666" t="n">
        <v>-1.700638382628274</v>
      </c>
      <c r="K666" t="n">
        <v>-0.9462594540486801</v>
      </c>
      <c r="L666" t="n">
        <v>0.2075864484576295</v>
      </c>
      <c r="M666" t="n">
        <v>-0.5561224967698885</v>
      </c>
      <c r="N666" t="n">
        <v>3</v>
      </c>
      <c r="O666" t="n">
        <v>-0.4809375132395442</v>
      </c>
      <c r="P666" t="n">
        <v>-0.6970294183491749</v>
      </c>
      <c r="Q666" t="n">
        <v>-0.3734240517049697</v>
      </c>
      <c r="R666" t="n">
        <v>-0.347170143959386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1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inlineStr">
        <is>
          <t>2025-05-14</t>
        </is>
      </c>
      <c r="B667" t="n">
        <v>1</v>
      </c>
      <c r="C667" t="n">
        <v>0.3278851812042051</v>
      </c>
      <c r="D667" t="n">
        <v>1.501219379919964</v>
      </c>
      <c r="E667" t="n">
        <v>1.047906634510944</v>
      </c>
      <c r="F667" t="n">
        <v>-1.230111576804328</v>
      </c>
      <c r="G667" t="n">
        <v>-0.8868821546999639</v>
      </c>
      <c r="H667" t="n">
        <v>-0.8077291381734881</v>
      </c>
      <c r="I667" t="n">
        <v>2.131874245068925</v>
      </c>
      <c r="J667" t="n">
        <v>-0.06765948474604597</v>
      </c>
      <c r="K667" t="n">
        <v>-0.1497664428833674</v>
      </c>
      <c r="L667" t="n">
        <v>0.1316982601018331</v>
      </c>
      <c r="M667" t="n">
        <v>-0.1079746375497218</v>
      </c>
      <c r="N667" t="n">
        <v>-0.180160192575284</v>
      </c>
      <c r="O667" t="n">
        <v>-0.3191853322512164</v>
      </c>
      <c r="P667" t="n">
        <v>-0.3351766071331188</v>
      </c>
      <c r="Q667" t="n">
        <v>-0.3009448500247113</v>
      </c>
      <c r="R667" t="n">
        <v>-0.2488136175062554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</row>
    <row r="668">
      <c r="A668" t="inlineStr">
        <is>
          <t>2025-05-15</t>
        </is>
      </c>
      <c r="B668" t="n">
        <v>1</v>
      </c>
      <c r="C668" t="n">
        <v>-0.3610269405370886</v>
      </c>
      <c r="D668" t="n">
        <v>1.501589561393639</v>
      </c>
      <c r="E668" t="n">
        <v>0.9173498207958919</v>
      </c>
      <c r="F668" t="n">
        <v>-1.563301648676461</v>
      </c>
      <c r="G668" t="n">
        <v>-1.284042623045474</v>
      </c>
      <c r="H668" t="n">
        <v>-1.373923654025717</v>
      </c>
      <c r="I668" t="n">
        <v>2.306201339898016</v>
      </c>
      <c r="J668" t="n">
        <v>-0.9200389219918235</v>
      </c>
      <c r="K668" t="n">
        <v>1.293818684983426</v>
      </c>
      <c r="L668" t="n">
        <v>0.2119271128507059</v>
      </c>
      <c r="M668" t="n">
        <v>-0.8336022631142234</v>
      </c>
      <c r="N668" t="n">
        <v>0.1462471335713529</v>
      </c>
      <c r="O668" t="n">
        <v>-0.2036492377543632</v>
      </c>
      <c r="P668" t="n">
        <v>0.5670155683691633</v>
      </c>
      <c r="Q668" t="n">
        <v>0.03822599183253303</v>
      </c>
      <c r="R668" t="n">
        <v>0.2822810667953098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inlineStr">
        <is>
          <t>2025-05-16</t>
        </is>
      </c>
      <c r="B669" t="n">
        <v>1</v>
      </c>
      <c r="C669" t="n">
        <v>-0.2494572895936286</v>
      </c>
      <c r="D669" t="n">
        <v>1.653648150435821</v>
      </c>
      <c r="E669" t="n">
        <v>0.8507195909302913</v>
      </c>
      <c r="F669" t="n">
        <v>-1.566358738759023</v>
      </c>
      <c r="G669" t="n">
        <v>-1.164734403148146</v>
      </c>
      <c r="H669" t="n">
        <v>-1.186312400412399</v>
      </c>
      <c r="I669" t="n">
        <v>2.373939185333285</v>
      </c>
      <c r="J669" t="n">
        <v>-1.537537159868398</v>
      </c>
      <c r="K669" t="n">
        <v>-0.5752199863173335</v>
      </c>
      <c r="L669" t="n">
        <v>0.1039968692967623</v>
      </c>
      <c r="M669" t="n">
        <v>-0.5763162717132428</v>
      </c>
      <c r="N669" t="n">
        <v>0.7793355640767274</v>
      </c>
      <c r="O669" t="n">
        <v>0.3813765771901814</v>
      </c>
      <c r="P669" t="n">
        <v>-0.201554495008487</v>
      </c>
      <c r="Q669" t="n">
        <v>-0.4994999081066089</v>
      </c>
      <c r="R669" t="n">
        <v>-0.1681067363201239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0.5634945679788022</v>
      </c>
      <c r="AJ669" t="n">
        <v>0.3333333333333333</v>
      </c>
    </row>
    <row r="670">
      <c r="A670" t="inlineStr">
        <is>
          <t>2025-05-19</t>
        </is>
      </c>
      <c r="B670" t="n">
        <v>1</v>
      </c>
      <c r="C670" t="n">
        <v>-0.03409635121726115</v>
      </c>
      <c r="D670" t="n">
        <v>1.651411494041643</v>
      </c>
      <c r="E670" t="n">
        <v>0.8582315811672654</v>
      </c>
      <c r="F670" t="n">
        <v>-1.465574210552316</v>
      </c>
      <c r="G670" t="n">
        <v>-1.014546686206046</v>
      </c>
      <c r="H670" t="n">
        <v>-0.972923837942488</v>
      </c>
      <c r="I670" t="n">
        <v>2.078002458443227</v>
      </c>
      <c r="J670" t="n">
        <v>0.3493035286950367</v>
      </c>
      <c r="K670" t="n">
        <v>-0.3415657240109122</v>
      </c>
      <c r="L670" t="n">
        <v>-0.2525131770932232</v>
      </c>
      <c r="M670" t="n">
        <v>-0.218565494953694</v>
      </c>
      <c r="N670" t="n">
        <v>-0.242934783785732</v>
      </c>
      <c r="O670" t="n">
        <v>-0.5721085523368118</v>
      </c>
      <c r="P670" t="n">
        <v>-0.5183954736648205</v>
      </c>
      <c r="Q670" t="n">
        <v>-0.4619643399216085</v>
      </c>
      <c r="R670" t="n">
        <v>-0.005916611559335217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0.1671301062387647</v>
      </c>
      <c r="AJ670" t="n">
        <v>0</v>
      </c>
    </row>
    <row r="671">
      <c r="A671" t="inlineStr">
        <is>
          <t>2025-05-20</t>
        </is>
      </c>
      <c r="B671" t="n">
        <v>1</v>
      </c>
      <c r="C671" t="n">
        <v>-0.3146244152853129</v>
      </c>
      <c r="D671" t="n">
        <v>1.674477827528188</v>
      </c>
      <c r="E671" t="n">
        <v>0.7388681184848799</v>
      </c>
      <c r="F671" t="n">
        <v>-1.603880451744247</v>
      </c>
      <c r="G671" t="n">
        <v>-1.141686094881106</v>
      </c>
      <c r="H671" t="n">
        <v>-1.131139951954115</v>
      </c>
      <c r="I671" t="n">
        <v>0.04176223033711728</v>
      </c>
      <c r="J671" t="n">
        <v>0.2200085865966261</v>
      </c>
      <c r="K671" t="n">
        <v>0.5637390101187426</v>
      </c>
      <c r="L671" t="n">
        <v>0.7053645088365168</v>
      </c>
      <c r="M671" t="n">
        <v>0.2109907480552571</v>
      </c>
      <c r="N671" t="n">
        <v>-0.4393750757568904</v>
      </c>
      <c r="O671" t="n">
        <v>-0.6287215079730115</v>
      </c>
      <c r="P671" t="n">
        <v>-0.3948547413026676</v>
      </c>
      <c r="Q671" t="n">
        <v>-0.4681449795019797</v>
      </c>
      <c r="R671" t="n">
        <v>-0.323828340940759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inlineStr">
        <is>
          <t>2025-05-21</t>
        </is>
      </c>
      <c r="B672" t="n">
        <v>1</v>
      </c>
      <c r="C672" t="n">
        <v>-0.3205225656773695</v>
      </c>
      <c r="D672" t="n">
        <v>1.728386768943224</v>
      </c>
      <c r="E672" t="n">
        <v>0.7291103264939388</v>
      </c>
      <c r="F672" t="n">
        <v>-1.625056270730467</v>
      </c>
      <c r="G672" t="n">
        <v>-1.139760285268381</v>
      </c>
      <c r="H672" t="n">
        <v>-1.126545987655257</v>
      </c>
      <c r="I672" t="n">
        <v>-0.4829870423592261</v>
      </c>
      <c r="J672" t="n">
        <v>0.0360090014299848</v>
      </c>
      <c r="K672" t="n">
        <v>0.05917700325736389</v>
      </c>
      <c r="L672" t="n">
        <v>0.3191382798884703</v>
      </c>
      <c r="M672" t="n">
        <v>-0.5203131796731222</v>
      </c>
      <c r="N672" t="n">
        <v>-0.3592372997435521</v>
      </c>
      <c r="O672" t="n">
        <v>-0.02587619700362865</v>
      </c>
      <c r="P672" t="n">
        <v>-0.3996116291527539</v>
      </c>
      <c r="Q672" t="n">
        <v>-0.1289955140536884</v>
      </c>
      <c r="R672" t="n">
        <v>0.09349161748790993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0.2096511160871887</v>
      </c>
      <c r="AJ672" t="n">
        <v>0.3333333333333333</v>
      </c>
    </row>
    <row r="673">
      <c r="A673" t="inlineStr">
        <is>
          <t>2025-05-22</t>
        </is>
      </c>
      <c r="B673" t="n">
        <v>1</v>
      </c>
      <c r="C673" t="n">
        <v>0.3874291744316851</v>
      </c>
      <c r="D673" t="n">
        <v>1.728728724386765</v>
      </c>
      <c r="E673" t="n">
        <v>0.73038837408769</v>
      </c>
      <c r="F673" t="n">
        <v>-1.303097049034311</v>
      </c>
      <c r="G673" t="n">
        <v>-0.6118700374879559</v>
      </c>
      <c r="H673" t="n">
        <v>-0.3994899933375702</v>
      </c>
      <c r="I673" t="n">
        <v>-0.4877284351880221</v>
      </c>
      <c r="J673" t="n">
        <v>-0.103298877726762</v>
      </c>
      <c r="K673" t="n">
        <v>0.6253717397888998</v>
      </c>
      <c r="L673" t="n">
        <v>-0.5554900440564963</v>
      </c>
      <c r="M673" t="n">
        <v>3</v>
      </c>
      <c r="N673" t="n">
        <v>0.4014551279522928</v>
      </c>
      <c r="O673" t="n">
        <v>-0.36161387924762</v>
      </c>
      <c r="P673" t="n">
        <v>0.4060517204156555</v>
      </c>
      <c r="Q673" t="n">
        <v>0.08502249478800336</v>
      </c>
      <c r="R673" t="n">
        <v>0.1871217708037298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0.6558317922778466</v>
      </c>
      <c r="AJ673" t="n">
        <v>0.6666666666666666</v>
      </c>
    </row>
    <row r="674">
      <c r="A674" t="inlineStr">
        <is>
          <t>2025-05-23</t>
        </is>
      </c>
      <c r="B674" t="n">
        <v>1</v>
      </c>
      <c r="C674" t="n">
        <v>-0.2455913995916458</v>
      </c>
      <c r="D674" t="n">
        <v>1.725224946138005</v>
      </c>
      <c r="E674" t="n">
        <v>0.7535498791314478</v>
      </c>
      <c r="F674" t="n">
        <v>-1.589868085112711</v>
      </c>
      <c r="G674" t="n">
        <v>-1.099947861350498</v>
      </c>
      <c r="H674" t="n">
        <v>-1.076151502966998</v>
      </c>
      <c r="I674" t="n">
        <v>-1.479753394500418</v>
      </c>
      <c r="J674" t="n">
        <v>-0.260137307606582</v>
      </c>
      <c r="K674" t="n">
        <v>-0.2315028875241898</v>
      </c>
      <c r="L674" t="n">
        <v>0.3735370870351428</v>
      </c>
      <c r="M674" t="n">
        <v>-0.5811604884405499</v>
      </c>
      <c r="N674" t="n">
        <v>-0.1338241195214176</v>
      </c>
      <c r="O674" t="n">
        <v>-0.3489766617366802</v>
      </c>
      <c r="P674" t="n">
        <v>-0.7117659763659969</v>
      </c>
      <c r="Q674" t="n">
        <v>-0.5249960007958897</v>
      </c>
      <c r="R674" t="n">
        <v>-0.5521641572164637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inlineStr">
        <is>
          <t>2025-05-26</t>
        </is>
      </c>
      <c r="B675" t="n">
        <v>1</v>
      </c>
      <c r="C675" t="n">
        <v>0.529681674298551</v>
      </c>
      <c r="D675" t="n">
        <v>1.645370708236324</v>
      </c>
      <c r="E675" t="n">
        <v>0.7879061029593964</v>
      </c>
      <c r="F675" t="n">
        <v>-1.201087214810871</v>
      </c>
      <c r="G675" t="n">
        <v>-0.5532209858304132</v>
      </c>
      <c r="H675" t="n">
        <v>-0.3159711537148235</v>
      </c>
      <c r="I675" t="n">
        <v>-0.8617781394263003</v>
      </c>
      <c r="J675" t="n">
        <v>0.4890787764120646</v>
      </c>
      <c r="K675" t="n">
        <v>-0.6121806465262564</v>
      </c>
      <c r="L675" t="n">
        <v>1.239247354984546</v>
      </c>
      <c r="M675" t="n">
        <v>0.8161300114751449</v>
      </c>
      <c r="N675" t="n">
        <v>0.1902201696402105</v>
      </c>
      <c r="O675" t="n">
        <v>-0.5512207064425468</v>
      </c>
      <c r="P675" t="n">
        <v>-0.6156127851019368</v>
      </c>
      <c r="Q675" t="n">
        <v>-0.4993819447485158</v>
      </c>
      <c r="R675" t="n">
        <v>-0.7230901012971552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0.5172394573454706</v>
      </c>
      <c r="AJ675" t="n">
        <v>0.3333333333333333</v>
      </c>
    </row>
    <row r="676">
      <c r="A676" t="inlineStr">
        <is>
          <t>2025-05-27</t>
        </is>
      </c>
      <c r="B676" t="n">
        <v>1</v>
      </c>
      <c r="C676" t="n">
        <v>1.298114962681775</v>
      </c>
      <c r="D676" t="n">
        <v>0.09119112525969983</v>
      </c>
      <c r="E676" t="n">
        <v>0.7376018904380682</v>
      </c>
      <c r="F676" t="n">
        <v>0.6142906280860081</v>
      </c>
      <c r="G676" t="n">
        <v>0.06094448632629316</v>
      </c>
      <c r="H676" t="n">
        <v>0.5296847817300715</v>
      </c>
      <c r="I676" t="n">
        <v>-0.6975342375469424</v>
      </c>
      <c r="J676" t="n">
        <v>1.110202529642256</v>
      </c>
      <c r="K676" t="n">
        <v>-0.9620727911937099</v>
      </c>
      <c r="L676" t="n">
        <v>-0.3403244760631301</v>
      </c>
      <c r="M676" t="n">
        <v>1.56798765470951</v>
      </c>
      <c r="N676" t="n">
        <v>0.5052232738157184</v>
      </c>
      <c r="O676" t="n">
        <v>2.110401890733084</v>
      </c>
      <c r="P676" t="n">
        <v>0.6066653247039396</v>
      </c>
      <c r="Q676" t="n">
        <v>-0.4754433788052417</v>
      </c>
      <c r="R676" t="n">
        <v>-0.1147903940281021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0.9885655538155698</v>
      </c>
      <c r="AJ676" t="n">
        <v>0.6666666666666666</v>
      </c>
    </row>
    <row r="677">
      <c r="A677" t="inlineStr">
        <is>
          <t>2025-05-28</t>
        </is>
      </c>
      <c r="B677" t="n">
        <v>1</v>
      </c>
      <c r="C677" t="n">
        <v>1.93889550037294</v>
      </c>
      <c r="D677" t="n">
        <v>-0.2436113398930191</v>
      </c>
      <c r="E677" t="n">
        <v>0.7077394878795221</v>
      </c>
      <c r="F677" t="n">
        <v>1.839339909297305</v>
      </c>
      <c r="G677" t="n">
        <v>0.5732990529079433</v>
      </c>
      <c r="H677" t="n">
        <v>1.221653432721194</v>
      </c>
      <c r="I677" t="n">
        <v>-0.768885840000653</v>
      </c>
      <c r="J677" t="n">
        <v>0.4845014643785676</v>
      </c>
      <c r="K677" t="n">
        <v>-1.103484106613485</v>
      </c>
      <c r="L677" t="n">
        <v>-0.07548618881974051</v>
      </c>
      <c r="M677" t="n">
        <v>1.366511384299905</v>
      </c>
      <c r="N677" t="n">
        <v>1.438314660678719</v>
      </c>
      <c r="O677" t="n">
        <v>1.938553758075845</v>
      </c>
      <c r="P677" t="n">
        <v>1.590318638499822</v>
      </c>
      <c r="Q677" t="n">
        <v>1.863789569475138</v>
      </c>
      <c r="R677" t="n">
        <v>0.05730431149004788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1.558074609607793</v>
      </c>
      <c r="AJ677" t="n">
        <v>1</v>
      </c>
    </row>
    <row r="678">
      <c r="A678" t="inlineStr">
        <is>
          <t>2025-05-29</t>
        </is>
      </c>
      <c r="B678" t="n">
        <v>1</v>
      </c>
      <c r="C678" t="n">
        <v>0.09680325942306933</v>
      </c>
      <c r="D678" t="n">
        <v>-0.2163878115821069</v>
      </c>
      <c r="E678" t="n">
        <v>0.7202494592862716</v>
      </c>
      <c r="F678" t="n">
        <v>0.08149707046810305</v>
      </c>
      <c r="G678" t="n">
        <v>-0.821355023612521</v>
      </c>
      <c r="H678" t="n">
        <v>-0.6874524591175818</v>
      </c>
      <c r="I678" t="n">
        <v>-0.7322046905542636</v>
      </c>
      <c r="J678" t="n">
        <v>-0.07175092735251258</v>
      </c>
      <c r="K678" t="n">
        <v>1.484055557721894</v>
      </c>
      <c r="L678" t="n">
        <v>1.086736887106786</v>
      </c>
      <c r="M678" t="n">
        <v>-1.362701896364304</v>
      </c>
      <c r="N678" t="n">
        <v>0.09919187534813639</v>
      </c>
      <c r="O678" t="n">
        <v>1.795058210466493</v>
      </c>
      <c r="P678" t="n">
        <v>2.232796937465808</v>
      </c>
      <c r="Q678" t="n">
        <v>2.330166113029006</v>
      </c>
      <c r="R678" t="n">
        <v>0.5944617345932436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0.4720718844137445</v>
      </c>
      <c r="AJ678" t="n">
        <v>0</v>
      </c>
    </row>
    <row r="679">
      <c r="A679" t="inlineStr">
        <is>
          <t>2025-06-02</t>
        </is>
      </c>
      <c r="B679" t="n">
        <v>1</v>
      </c>
      <c r="C679" t="n">
        <v>0.8236031680412189</v>
      </c>
      <c r="D679" t="n">
        <v>-0.6441942851686884</v>
      </c>
      <c r="E679" t="n">
        <v>0.7300667165621412</v>
      </c>
      <c r="F679" t="n">
        <v>1.806840309488036</v>
      </c>
      <c r="G679" t="n">
        <v>-0.2858296675720097</v>
      </c>
      <c r="H679" t="n">
        <v>0.04966621193681487</v>
      </c>
      <c r="I679" t="n">
        <v>-1.265932731146202</v>
      </c>
      <c r="J679" t="n">
        <v>2.401549949903845</v>
      </c>
      <c r="K679" t="n">
        <v>-1.028973741734802</v>
      </c>
      <c r="L679" t="n">
        <v>-1.232477468351172</v>
      </c>
      <c r="M679" t="n">
        <v>0.9780401910930344</v>
      </c>
      <c r="N679" t="n">
        <v>-0.3908814471949726</v>
      </c>
      <c r="O679" t="n">
        <v>3</v>
      </c>
      <c r="P679" t="n">
        <v>0.1531167401496628</v>
      </c>
      <c r="Q679" t="n">
        <v>0.4303450558119049</v>
      </c>
      <c r="R679" t="n">
        <v>0.1191950134625574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inlineStr">
        <is>
          <t>2025-06-03</t>
        </is>
      </c>
      <c r="B680" t="n">
        <v>1</v>
      </c>
      <c r="C680" t="n">
        <v>1.548142948640576</v>
      </c>
      <c r="D680" t="n">
        <v>-0.6602372124928618</v>
      </c>
      <c r="E680" t="n">
        <v>0.7195937035838496</v>
      </c>
      <c r="F680" t="n">
        <v>2.724035571806411</v>
      </c>
      <c r="G680" t="n">
        <v>0.2666050766355297</v>
      </c>
      <c r="H680" t="n">
        <v>0.8066316779023414</v>
      </c>
      <c r="I680" t="n">
        <v>-1.66874924841686</v>
      </c>
      <c r="J680" t="n">
        <v>0.8769860607577415</v>
      </c>
      <c r="K680" t="n">
        <v>-0.6664362820184176</v>
      </c>
      <c r="L680" t="n">
        <v>0.6539692889428849</v>
      </c>
      <c r="M680" t="n">
        <v>2.593532935504901</v>
      </c>
      <c r="N680" t="n">
        <v>0.8413909701178255</v>
      </c>
      <c r="O680" t="n">
        <v>1.583643424943734</v>
      </c>
      <c r="P680" t="n">
        <v>1.01094532983621</v>
      </c>
      <c r="Q680" t="n">
        <v>1.267881796254357</v>
      </c>
      <c r="R680" t="n">
        <v>-0.4751270792044023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inlineStr">
        <is>
          <t>2025-06-04</t>
        </is>
      </c>
      <c r="B681" t="n">
        <v>1</v>
      </c>
      <c r="C681" t="n">
        <v>-0.05257065600066182</v>
      </c>
      <c r="D681" t="n">
        <v>-0.7129471298423622</v>
      </c>
      <c r="E681" t="n">
        <v>0.7361809628364977</v>
      </c>
      <c r="F681" t="n">
        <v>0.9509986335559729</v>
      </c>
      <c r="G681" t="n">
        <v>-0.9445797970705423</v>
      </c>
      <c r="H681" t="n">
        <v>-0.8585612322573475</v>
      </c>
      <c r="I681" t="n">
        <v>-1.696698240944102</v>
      </c>
      <c r="J681" t="n">
        <v>-0.9756714727583359</v>
      </c>
      <c r="K681" t="n">
        <v>0.7334831809287314</v>
      </c>
      <c r="L681" t="n">
        <v>0.2928383554710212</v>
      </c>
      <c r="M681" t="n">
        <v>-2.232570554903669</v>
      </c>
      <c r="N681" t="n">
        <v>0.5426209026219428</v>
      </c>
      <c r="O681" t="n">
        <v>-0.6120635596836086</v>
      </c>
      <c r="P681" t="n">
        <v>0.8854346610234314</v>
      </c>
      <c r="Q681" t="n">
        <v>1.230231405256823</v>
      </c>
      <c r="R681" t="n">
        <v>-0.08080227119671927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inlineStr">
        <is>
          <t>2025-06-05</t>
        </is>
      </c>
      <c r="B682" t="n">
        <v>1</v>
      </c>
      <c r="C682" t="n">
        <v>-0.5889666056974375</v>
      </c>
      <c r="D682" t="n">
        <v>-0.7269595156733202</v>
      </c>
      <c r="E682" t="n">
        <v>0.7370504211513546</v>
      </c>
      <c r="F682" t="n">
        <v>0.3185028518772283</v>
      </c>
      <c r="G682" t="n">
        <v>-1.344982867135958</v>
      </c>
      <c r="H682" t="n">
        <v>-1.411440233110681</v>
      </c>
      <c r="I682" t="n">
        <v>-1.649549398311839</v>
      </c>
      <c r="J682" t="n">
        <v>0.9605808191414403</v>
      </c>
      <c r="K682" t="n">
        <v>0.9215259408215205</v>
      </c>
      <c r="L682" t="n">
        <v>0.4554653365030296</v>
      </c>
      <c r="M682" t="n">
        <v>-1.741936876882653</v>
      </c>
      <c r="N682" t="n">
        <v>-0.9612980272283774</v>
      </c>
      <c r="O682" t="n">
        <v>-0.2816365823518069</v>
      </c>
      <c r="P682" t="n">
        <v>0.7922764613800833</v>
      </c>
      <c r="Q682" t="n">
        <v>0.3798165650145698</v>
      </c>
      <c r="R682" t="n">
        <v>-0.6328357960995029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inlineStr">
        <is>
          <t>2025-06-09</t>
        </is>
      </c>
      <c r="B683" t="n">
        <v>1</v>
      </c>
      <c r="C683" t="n">
        <v>-0.3001955348954334</v>
      </c>
      <c r="D683" t="n">
        <v>-0.7473628451767144</v>
      </c>
      <c r="E683" t="n">
        <v>0.6791555106628051</v>
      </c>
      <c r="F683" t="n">
        <v>0.7331096224512612</v>
      </c>
      <c r="G683" t="n">
        <v>-1.091391588587749</v>
      </c>
      <c r="H683" t="n">
        <v>-1.051041761801492</v>
      </c>
      <c r="I683" t="n">
        <v>-1.056360519854844</v>
      </c>
      <c r="J683" t="n">
        <v>-0.5822418210725997</v>
      </c>
      <c r="K683" t="n">
        <v>-0.1544775062335161</v>
      </c>
      <c r="L683" t="n">
        <v>1.009530457481501</v>
      </c>
      <c r="M683" t="n">
        <v>-0.338955861824562</v>
      </c>
      <c r="N683" t="n">
        <v>-0.004370789038331668</v>
      </c>
      <c r="O683" t="n">
        <v>-0.6497869457023523</v>
      </c>
      <c r="P683" t="n">
        <v>-0.4229484184359057</v>
      </c>
      <c r="Q683" t="n">
        <v>-0.5268929267557457</v>
      </c>
      <c r="R683" t="n">
        <v>-0.3341845161769984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0.4974330162501428</v>
      </c>
      <c r="AJ683" t="n">
        <v>0.3333333333333333</v>
      </c>
    </row>
    <row r="684">
      <c r="A684" t="inlineStr">
        <is>
          <t>2025-06-10</t>
        </is>
      </c>
      <c r="B684" t="n">
        <v>1</v>
      </c>
      <c r="C684" t="n">
        <v>-0.5578582488352377</v>
      </c>
      <c r="D684" t="n">
        <v>-0.8198137246445474</v>
      </c>
      <c r="E684" t="n">
        <v>-0.5019895024970373</v>
      </c>
      <c r="F684" t="n">
        <v>0.5902817136640931</v>
      </c>
      <c r="G684" t="n">
        <v>-0.14569105051397</v>
      </c>
      <c r="H684" t="n">
        <v>-0.02545924288451776</v>
      </c>
      <c r="I684" t="n">
        <v>-0.3207379229923867</v>
      </c>
      <c r="J684" t="n">
        <v>0.8957412856794131</v>
      </c>
      <c r="K684" t="n">
        <v>0.002747353536113555</v>
      </c>
      <c r="L684" t="n">
        <v>0.6130353116834754</v>
      </c>
      <c r="M684" t="n">
        <v>-0.6810867737587083</v>
      </c>
      <c r="N684" t="n">
        <v>-0.9144482504821179</v>
      </c>
      <c r="O684" t="n">
        <v>-0.3346103875641569</v>
      </c>
      <c r="P684" t="n">
        <v>0.02512834398723019</v>
      </c>
      <c r="Q684" t="n">
        <v>-0.06711691430961254</v>
      </c>
      <c r="R684" t="n">
        <v>-0.6615120842138618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inlineStr">
        <is>
          <t>2025-06-12</t>
        </is>
      </c>
      <c r="B685" t="n">
        <v>1</v>
      </c>
      <c r="C685" t="n">
        <v>-0.7419845450839864</v>
      </c>
      <c r="D685" t="n">
        <v>-1.026441667035311</v>
      </c>
      <c r="E685" t="n">
        <v>-0.7911833342805398</v>
      </c>
      <c r="F685" t="n">
        <v>0.9561408524362232</v>
      </c>
      <c r="G685" t="n">
        <v>0.1099762047406005</v>
      </c>
      <c r="H685" t="n">
        <v>0.1011016441615096</v>
      </c>
      <c r="I685" t="n">
        <v>-0.8421971973085594</v>
      </c>
      <c r="J685" t="n">
        <v>0.8186538985968552</v>
      </c>
      <c r="K685" t="n">
        <v>0.6373336018038509</v>
      </c>
      <c r="L685" t="n">
        <v>0.03606455583067294</v>
      </c>
      <c r="M685" t="n">
        <v>1.77123671266934</v>
      </c>
      <c r="N685" t="n">
        <v>-1.042874173580417</v>
      </c>
      <c r="O685" t="n">
        <v>-0.6308311283585601</v>
      </c>
      <c r="P685" t="n">
        <v>0.846150105616155</v>
      </c>
      <c r="Q685" t="n">
        <v>0.1746057191108855</v>
      </c>
      <c r="R685" t="n">
        <v>-0.2327466657952296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inlineStr">
        <is>
          <t>2025-06-13</t>
        </is>
      </c>
      <c r="B686" t="n">
        <v>1</v>
      </c>
      <c r="C686" t="n">
        <v>-0.08076025086233254</v>
      </c>
      <c r="D686" t="n">
        <v>-0.7010572056480553</v>
      </c>
      <c r="E686" t="n">
        <v>-0.9141663025160679</v>
      </c>
      <c r="F686" t="n">
        <v>0.8840843106973364</v>
      </c>
      <c r="G686" t="n">
        <v>1.349028290549013</v>
      </c>
      <c r="H686" t="n">
        <v>0.915864380529493</v>
      </c>
      <c r="I686" t="n">
        <v>0.9337615696286501</v>
      </c>
      <c r="J686" t="n">
        <v>1.203320682159236</v>
      </c>
      <c r="K686" t="n">
        <v>-1.683161113396498</v>
      </c>
      <c r="L686" t="n">
        <v>-3</v>
      </c>
      <c r="M686" t="n">
        <v>0.8540291595215862</v>
      </c>
      <c r="N686" t="n">
        <v>-0.6345824788663049</v>
      </c>
      <c r="O686" t="n">
        <v>-0.1958196641899453</v>
      </c>
      <c r="P686" t="n">
        <v>-0.001905975149473828</v>
      </c>
      <c r="Q686" t="n">
        <v>0.1154266017163763</v>
      </c>
      <c r="R686" t="n">
        <v>-0.4365599395023423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0.2308529558848871</v>
      </c>
      <c r="AJ686" t="n">
        <v>0.3333333333333333</v>
      </c>
    </row>
    <row r="687">
      <c r="A687" t="inlineStr">
        <is>
          <t>2025-06-17</t>
        </is>
      </c>
      <c r="B687" t="n">
        <v>1</v>
      </c>
      <c r="C687" t="n">
        <v>-0.3933945721014174</v>
      </c>
      <c r="D687" t="n">
        <v>-0.3110950212898616</v>
      </c>
      <c r="E687" t="n">
        <v>-0.6812547546034632</v>
      </c>
      <c r="F687" t="n">
        <v>-0.2349626614474193</v>
      </c>
      <c r="G687" t="n">
        <v>0.3676827382571422</v>
      </c>
      <c r="H687" t="n">
        <v>0.3396606540199581</v>
      </c>
      <c r="I687" t="n">
        <v>1.084948939131654</v>
      </c>
      <c r="J687" t="n">
        <v>0.3564227497160356</v>
      </c>
      <c r="K687" t="n">
        <v>-0.2614841585068186</v>
      </c>
      <c r="L687" t="n">
        <v>-0.1416672776560138</v>
      </c>
      <c r="M687" t="n">
        <v>-1.225740577418282</v>
      </c>
      <c r="N687" t="n">
        <v>-0.5706777395325914</v>
      </c>
      <c r="O687" t="n">
        <v>-0.5308694397585838</v>
      </c>
      <c r="P687" t="n">
        <v>0.3427667901753527</v>
      </c>
      <c r="Q687" t="n">
        <v>0.5538167246481279</v>
      </c>
      <c r="R687" t="n">
        <v>-0.2761539119287645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inlineStr">
        <is>
          <t>2025-06-18</t>
        </is>
      </c>
      <c r="B688" t="n">
        <v>1</v>
      </c>
      <c r="C688" t="n">
        <v>-0.693044053520576</v>
      </c>
      <c r="D688" t="n">
        <v>-0.3493140493083852</v>
      </c>
      <c r="E688" t="n">
        <v>-0.7313066503387339</v>
      </c>
      <c r="F688" t="n">
        <v>-0.4726039289045992</v>
      </c>
      <c r="G688" t="n">
        <v>0.06493999813147276</v>
      </c>
      <c r="H688" t="n">
        <v>0.08602857931048447</v>
      </c>
      <c r="I688" t="n">
        <v>1.23014114921076</v>
      </c>
      <c r="J688" t="n">
        <v>0.5798995306529429</v>
      </c>
      <c r="K688" t="n">
        <v>0.34964675801777</v>
      </c>
      <c r="L688" t="n">
        <v>-0.19634666065124</v>
      </c>
      <c r="M688" t="n">
        <v>-0.3692836636094241</v>
      </c>
      <c r="N688" t="n">
        <v>-0.92184558365258</v>
      </c>
      <c r="O688" t="n">
        <v>-0.1881323778792017</v>
      </c>
      <c r="P688" t="n">
        <v>0.3114467089472776</v>
      </c>
      <c r="Q688" t="n">
        <v>-0.5764896929084992</v>
      </c>
      <c r="R688" t="n">
        <v>-0.4249873110743651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inlineStr">
        <is>
          <t>2025-06-25</t>
        </is>
      </c>
      <c r="B689" t="n">
        <v>1</v>
      </c>
      <c r="C689" t="n">
        <v>-0.4560850011305221</v>
      </c>
      <c r="D689" t="n">
        <v>-0.2416474880429697</v>
      </c>
      <c r="E689" t="n">
        <v>-0.7807988453021245</v>
      </c>
      <c r="F689" t="n">
        <v>-0.3922799486768161</v>
      </c>
      <c r="G689" t="n">
        <v>0.4847967769658065</v>
      </c>
      <c r="H689" t="n">
        <v>0.3839325193836606</v>
      </c>
      <c r="I689" t="n">
        <v>0.2977380315052529</v>
      </c>
      <c r="J689" t="n">
        <v>-0.06765948474604597</v>
      </c>
      <c r="K689" t="n">
        <v>-0.1497664428833674</v>
      </c>
      <c r="L689" t="n">
        <v>0.1316982601018331</v>
      </c>
      <c r="M689" t="n">
        <v>-0.1079746375497218</v>
      </c>
      <c r="N689" t="n">
        <v>-0.180160192575284</v>
      </c>
      <c r="O689" t="n">
        <v>-0.3191853322512164</v>
      </c>
      <c r="P689" t="n">
        <v>-0.3351766071331188</v>
      </c>
      <c r="Q689" t="n">
        <v>-0.3009448500247113</v>
      </c>
      <c r="R689" t="n">
        <v>-0.2488136175062554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</row>
    <row r="690">
      <c r="A690" t="inlineStr">
        <is>
          <t>2025-06-26</t>
        </is>
      </c>
      <c r="B690" t="n">
        <v>1</v>
      </c>
      <c r="C690" t="n">
        <v>-0.8264304404439996</v>
      </c>
      <c r="D690" t="n">
        <v>-0.1597584118619957</v>
      </c>
      <c r="E690" t="n">
        <v>-0.7517213678773068</v>
      </c>
      <c r="F690" t="n">
        <v>-0.8276648829396215</v>
      </c>
      <c r="G690" t="n">
        <v>-0.07850903162759054</v>
      </c>
      <c r="H690" t="n">
        <v>-0.02891204533424143</v>
      </c>
      <c r="I690" t="n">
        <v>0.2918355859612107</v>
      </c>
      <c r="J690" t="n">
        <v>0.2300556135711385</v>
      </c>
      <c r="K690" t="n">
        <v>-0.3318838610684339</v>
      </c>
      <c r="L690" t="n">
        <v>0.6510165860703642</v>
      </c>
      <c r="M690" t="n">
        <v>-1.222917092188371</v>
      </c>
      <c r="N690" t="n">
        <v>-0.9158866208208186</v>
      </c>
      <c r="O690" t="n">
        <v>-0.6623975279976436</v>
      </c>
      <c r="P690" t="n">
        <v>0.4686658812506491</v>
      </c>
      <c r="Q690" t="n">
        <v>0.8338529898459747</v>
      </c>
      <c r="R690" t="n">
        <v>-0.2758091248231483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2025-06-27</t>
        </is>
      </c>
      <c r="B691" t="n">
        <v>1</v>
      </c>
      <c r="C691" t="n">
        <v>-0.8239957853670694</v>
      </c>
      <c r="D691" t="n">
        <v>-0.2575602748242917</v>
      </c>
      <c r="E691" t="n">
        <v>-0.644864931759539</v>
      </c>
      <c r="F691" t="n">
        <v>-0.7156940120668471</v>
      </c>
      <c r="G691" t="n">
        <v>-0.253630515770659</v>
      </c>
      <c r="H691" t="n">
        <v>-0.1431752000295183</v>
      </c>
      <c r="I691" t="n">
        <v>0.2157015266634145</v>
      </c>
      <c r="J691" t="n">
        <v>-1.065313145896742</v>
      </c>
      <c r="K691" t="n">
        <v>-0.2087960993481884</v>
      </c>
      <c r="L691" t="n">
        <v>1.491847390397232</v>
      </c>
      <c r="M691" t="n">
        <v>-0.2316356660549361</v>
      </c>
      <c r="N691" t="n">
        <v>-0.2988257455181117</v>
      </c>
      <c r="O691" t="n">
        <v>-0.6314729050645173</v>
      </c>
      <c r="P691" t="n">
        <v>-0.6214440790223715</v>
      </c>
      <c r="Q691" t="n">
        <v>-0.4039897506988271</v>
      </c>
      <c r="R691" t="n">
        <v>-1.106189151308951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0.5905820129084896</v>
      </c>
      <c r="AJ691" t="n">
        <v>0.3333333333333333</v>
      </c>
    </row>
    <row r="692">
      <c r="A692" t="inlineStr">
        <is>
          <t>2025-07-01</t>
        </is>
      </c>
      <c r="B692" t="n">
        <v>1</v>
      </c>
      <c r="C692" t="n">
        <v>-0.5996769718071031</v>
      </c>
      <c r="D692" t="n">
        <v>-0.5259890524720856</v>
      </c>
      <c r="E692" t="n">
        <v>-0.6105360143234959</v>
      </c>
      <c r="F692" t="n">
        <v>-0.09997797092924636</v>
      </c>
      <c r="G692" t="n">
        <v>-0.02422698030550198</v>
      </c>
      <c r="H692" t="n">
        <v>0.05012620601281812</v>
      </c>
      <c r="I692" t="n">
        <v>-0.1830819363125681</v>
      </c>
      <c r="J692" t="n">
        <v>1.024809554747382</v>
      </c>
      <c r="K692" t="n">
        <v>-0.4004239378754736</v>
      </c>
      <c r="L692" t="n">
        <v>0.1168188331762792</v>
      </c>
      <c r="M692" t="n">
        <v>0.7667799626971484</v>
      </c>
      <c r="N692" t="n">
        <v>-0.9904763969563111</v>
      </c>
      <c r="O692" t="n">
        <v>-0.5345358829905211</v>
      </c>
      <c r="P692" t="n">
        <v>0.04203766348975817</v>
      </c>
      <c r="Q692" t="n">
        <v>0.06008373160236545</v>
      </c>
      <c r="R692" t="n">
        <v>-0.3351409819590558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0.2523283970575964</v>
      </c>
      <c r="AJ692" t="n">
        <v>0</v>
      </c>
    </row>
    <row r="693">
      <c r="A693" t="inlineStr">
        <is>
          <t>2025-07-04</t>
        </is>
      </c>
      <c r="B693" t="n">
        <v>1</v>
      </c>
      <c r="C693" t="n">
        <v>-0.9047169433083033</v>
      </c>
      <c r="D693" t="n">
        <v>-0.5675589242788021</v>
      </c>
      <c r="E693" t="n">
        <v>-0.6560975048441587</v>
      </c>
      <c r="F693" t="n">
        <v>-0.3675102416981463</v>
      </c>
      <c r="G693" t="n">
        <v>-0.3399312155376269</v>
      </c>
      <c r="H693" t="n">
        <v>-0.2139593863593986</v>
      </c>
      <c r="I693" t="n">
        <v>-0.8452081263903967</v>
      </c>
      <c r="J693" t="n">
        <v>-0.2900388420358311</v>
      </c>
      <c r="K693" t="n">
        <v>-0.5007846099367554</v>
      </c>
      <c r="L693" t="n">
        <v>0.1239940254193019</v>
      </c>
      <c r="M693" t="n">
        <v>-0.14101114933214</v>
      </c>
      <c r="N693" t="n">
        <v>-0.7841729940912032</v>
      </c>
      <c r="O693" t="n">
        <v>-0.7362575473698393</v>
      </c>
      <c r="P693" t="n">
        <v>-0.6367829202035349</v>
      </c>
      <c r="Q693" t="n">
        <v>-0.531574286425278</v>
      </c>
      <c r="R693" t="n">
        <v>-0.8121956490662179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inlineStr">
        <is>
          <t>2025-07-07</t>
        </is>
      </c>
      <c r="B694" t="n">
        <v>1</v>
      </c>
      <c r="C694" t="n">
        <v>-0.9459111443727094</v>
      </c>
      <c r="D694" t="n">
        <v>-0.824529651975367</v>
      </c>
      <c r="E694" t="n">
        <v>-0.7412619613254637</v>
      </c>
      <c r="F694" t="n">
        <v>0.08108545647134353</v>
      </c>
      <c r="G694" t="n">
        <v>-0.2581926281410518</v>
      </c>
      <c r="H694" t="n">
        <v>-0.1632822777437991</v>
      </c>
      <c r="I694" t="n">
        <v>-1.28257779597159</v>
      </c>
      <c r="J694" t="n">
        <v>0.2605311003447678</v>
      </c>
      <c r="K694" t="n">
        <v>0.1699548643987631</v>
      </c>
      <c r="L694" t="n">
        <v>-0.3811552369021615</v>
      </c>
      <c r="M694" t="n">
        <v>-0.5782132516596594</v>
      </c>
      <c r="N694" t="n">
        <v>-1.036709729271698</v>
      </c>
      <c r="O694" t="n">
        <v>-0.45396504302127</v>
      </c>
      <c r="P694" t="n">
        <v>-0.4709061409360655</v>
      </c>
      <c r="Q694" t="n">
        <v>-0.5606439045366075</v>
      </c>
      <c r="R694" t="n">
        <v>-0.4953879908874851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inlineStr">
        <is>
          <t>2025-07-08</t>
        </is>
      </c>
      <c r="B695" t="n">
        <v>1</v>
      </c>
      <c r="C695" t="n">
        <v>-0.9334663188821741</v>
      </c>
      <c r="D695" t="n">
        <v>-0.9180106162846832</v>
      </c>
      <c r="E695" t="n">
        <v>-0.7477508296428915</v>
      </c>
      <c r="F695" t="n">
        <v>0.3312142337661873</v>
      </c>
      <c r="G695" t="n">
        <v>-0.2305355176941103</v>
      </c>
      <c r="H695" t="n">
        <v>-0.1433863072011146</v>
      </c>
      <c r="I695" t="n">
        <v>-1.581761944405098</v>
      </c>
      <c r="J695" t="n">
        <v>0.531643734590354</v>
      </c>
      <c r="K695" t="n">
        <v>-0.109497424018528</v>
      </c>
      <c r="L695" t="n">
        <v>-0.004472780459008253</v>
      </c>
      <c r="M695" t="n">
        <v>-0.1969552162980635</v>
      </c>
      <c r="N695" t="n">
        <v>-1.115820097900251</v>
      </c>
      <c r="O695" t="n">
        <v>-0.7165852862390071</v>
      </c>
      <c r="P695" t="n">
        <v>-0.4826041483886918</v>
      </c>
      <c r="Q695" t="n">
        <v>-0.5478966223356698</v>
      </c>
      <c r="R695" t="n">
        <v>-0.4383581608179161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2025-07-14</t>
        </is>
      </c>
      <c r="B696" t="n">
        <v>1</v>
      </c>
      <c r="C696" t="n">
        <v>-1.130088277615321</v>
      </c>
      <c r="D696" t="n">
        <v>-1.282313218057507</v>
      </c>
      <c r="E696" t="n">
        <v>-0.8833793636033366</v>
      </c>
      <c r="F696" t="n">
        <v>1.324826866678743</v>
      </c>
      <c r="G696" t="n">
        <v>-0.2723727693323432</v>
      </c>
      <c r="H696" t="n">
        <v>-0.1974927645898815</v>
      </c>
      <c r="I696" t="n">
        <v>-0.6001057702275145</v>
      </c>
      <c r="J696" t="n">
        <v>-0.3676996610466428</v>
      </c>
      <c r="K696" t="n">
        <v>0.02395916435652486</v>
      </c>
      <c r="L696" t="n">
        <v>-0.4712024650674682</v>
      </c>
      <c r="M696" t="n">
        <v>-0.3394880578577814</v>
      </c>
      <c r="N696" t="n">
        <v>-0.9816406934471478</v>
      </c>
      <c r="O696" t="n">
        <v>-0.7426482655070019</v>
      </c>
      <c r="P696" t="n">
        <v>-0.6566461464610547</v>
      </c>
      <c r="Q696" t="n">
        <v>-0.4198813027950766</v>
      </c>
      <c r="R696" t="n">
        <v>0.001832095900705445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inlineStr">
        <is>
          <t>2025-07-15</t>
        </is>
      </c>
      <c r="B697" t="n">
        <v>1</v>
      </c>
      <c r="C697" t="n">
        <v>-1.21068397675963</v>
      </c>
      <c r="D697" t="n">
        <v>-1.324186420172984</v>
      </c>
      <c r="E697" t="n">
        <v>-1.020565877306236</v>
      </c>
      <c r="F697" t="n">
        <v>1.370237508495768</v>
      </c>
      <c r="G697" t="n">
        <v>-0.1335590885233326</v>
      </c>
      <c r="H697" t="n">
        <v>-0.1305105802458092</v>
      </c>
      <c r="I697" t="n">
        <v>-0.5221611288370632</v>
      </c>
      <c r="J697" t="n">
        <v>-0.3416599772230134</v>
      </c>
      <c r="K697" t="n">
        <v>0.2442271845338898</v>
      </c>
      <c r="L697" t="n">
        <v>0.6230914441190086</v>
      </c>
      <c r="M697" t="n">
        <v>-0.2063396393505175</v>
      </c>
      <c r="N697" t="n">
        <v>-1.074312839554881</v>
      </c>
      <c r="O697" t="n">
        <v>-0.7033747329257055</v>
      </c>
      <c r="P697" t="n">
        <v>-0.4925076074915718</v>
      </c>
      <c r="Q697" t="n">
        <v>-0.4994619352681098</v>
      </c>
      <c r="R697" t="n">
        <v>-0.8229909996633695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inlineStr">
        <is>
          <t>2025-07-18</t>
        </is>
      </c>
      <c r="B698" t="n">
        <v>1</v>
      </c>
      <c r="C698" t="n">
        <v>-1.070797174649469</v>
      </c>
      <c r="D698" t="n">
        <v>-1.258722138611155</v>
      </c>
      <c r="E698" t="n">
        <v>-1.034720429052788</v>
      </c>
      <c r="F698" t="n">
        <v>1.329148001543341</v>
      </c>
      <c r="G698" t="n">
        <v>0.1206927358413079</v>
      </c>
      <c r="H698" t="n">
        <v>0.02889457220089168</v>
      </c>
      <c r="I698" t="n">
        <v>-0.4113986797549966</v>
      </c>
      <c r="J698" t="n">
        <v>1.397324933475015</v>
      </c>
      <c r="K698" t="n">
        <v>-1.052101947867004</v>
      </c>
      <c r="L698" t="n">
        <v>-0.05266308955460321</v>
      </c>
      <c r="M698" t="n">
        <v>0.1711674684400068</v>
      </c>
      <c r="N698" t="n">
        <v>-1.46390571986588</v>
      </c>
      <c r="O698" t="n">
        <v>-0.5655171830559813</v>
      </c>
      <c r="P698" t="n">
        <v>-0.4446676085828128</v>
      </c>
      <c r="Q698" t="n">
        <v>-0.2802699412149059</v>
      </c>
      <c r="R698" t="n">
        <v>-0.3783478528286817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inlineStr">
        <is>
          <t>2025-07-21</t>
        </is>
      </c>
      <c r="B699" t="n">
        <v>1</v>
      </c>
      <c r="C699" t="n">
        <v>-1.183563146603497</v>
      </c>
      <c r="D699" t="n">
        <v>-1.22525308175776</v>
      </c>
      <c r="E699" t="n">
        <v>-1.208780126449497</v>
      </c>
      <c r="F699" t="n">
        <v>0.9527729102504535</v>
      </c>
      <c r="G699" t="n">
        <v>0.3527292290658214</v>
      </c>
      <c r="H699" t="n">
        <v>0.1030683941381165</v>
      </c>
      <c r="I699" t="n">
        <v>-0.5396494535550785</v>
      </c>
      <c r="J699" t="n">
        <v>-0.09009559716536777</v>
      </c>
      <c r="K699" t="n">
        <v>0.6575327640559858</v>
      </c>
      <c r="L699" t="n">
        <v>-0.3443757043996309</v>
      </c>
      <c r="M699" t="n">
        <v>0.4735608038531275</v>
      </c>
      <c r="N699" t="n">
        <v>-1.139039504796423</v>
      </c>
      <c r="O699" t="n">
        <v>-0.5000908577494735</v>
      </c>
      <c r="P699" t="n">
        <v>-0.7569403210479509</v>
      </c>
      <c r="Q699" t="n">
        <v>-0.511892693801685</v>
      </c>
      <c r="R699" t="n">
        <v>-0.8190102026810691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inlineStr">
        <is>
          <t>2025-07-29</t>
        </is>
      </c>
      <c r="B700" t="n">
        <v>1</v>
      </c>
      <c r="C700" t="n">
        <v>-0.9948802317451672</v>
      </c>
      <c r="D700" t="n">
        <v>-0.8793843790159739</v>
      </c>
      <c r="E700" t="n">
        <v>-1.374110332889298</v>
      </c>
      <c r="F700" t="n">
        <v>0.144324488793241</v>
      </c>
      <c r="G700" t="n">
        <v>1.247967346929378</v>
      </c>
      <c r="H700" t="n">
        <v>0.4778812253843873</v>
      </c>
      <c r="I700" t="n">
        <v>1.336063320425154</v>
      </c>
      <c r="J700" t="n">
        <v>-0.9264768351769374</v>
      </c>
      <c r="K700" t="n">
        <v>-0.2404414075058322</v>
      </c>
      <c r="L700" t="n">
        <v>-0.4056955703585601</v>
      </c>
      <c r="M700" t="n">
        <v>0.3300172905052047</v>
      </c>
      <c r="N700" t="n">
        <v>-0.5770476653182671</v>
      </c>
      <c r="O700" t="n">
        <v>-0.2251755226519024</v>
      </c>
      <c r="P700" t="n">
        <v>-0.6115514516404266</v>
      </c>
      <c r="Q700" t="n">
        <v>-0.2866265555807188</v>
      </c>
      <c r="R700" t="n">
        <v>-0.3427002449391611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2025-07-31</t>
        </is>
      </c>
      <c r="B701" t="n">
        <v>1</v>
      </c>
      <c r="C701" t="n">
        <v>-0.7603105753019559</v>
      </c>
      <c r="D701" t="n">
        <v>-0.8190942084363805</v>
      </c>
      <c r="E701" t="n">
        <v>-1.309369120630467</v>
      </c>
      <c r="F701" t="n">
        <v>0.3171942937108356</v>
      </c>
      <c r="G701" t="n">
        <v>1.474443115018135</v>
      </c>
      <c r="H701" t="n">
        <v>0.6484970147684116</v>
      </c>
      <c r="I701" t="n">
        <v>1.179522310543234</v>
      </c>
      <c r="J701" t="n">
        <v>0.4896156963530721</v>
      </c>
      <c r="K701" t="n">
        <v>-1.349724183840613</v>
      </c>
      <c r="L701" t="n">
        <v>-2.270563551082389</v>
      </c>
      <c r="M701" t="n">
        <v>0.7125013306482196</v>
      </c>
      <c r="N701" t="n">
        <v>-0.9493801015648554</v>
      </c>
      <c r="O701" t="n">
        <v>-0.1494483871411315</v>
      </c>
      <c r="P701" t="n">
        <v>0.2506332402551679</v>
      </c>
      <c r="Q701" t="n">
        <v>-0.1419357887463201</v>
      </c>
      <c r="R701" t="n">
        <v>-0.2541754111762837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inlineStr">
        <is>
          <t>2025-08-06</t>
        </is>
      </c>
      <c r="B702" t="n">
        <v>1</v>
      </c>
      <c r="C702" t="n">
        <v>-0.8879386135664447</v>
      </c>
      <c r="D702" t="n">
        <v>-0.6440058762023072</v>
      </c>
      <c r="E702" t="n">
        <v>-1.166985978600423</v>
      </c>
      <c r="F702" t="n">
        <v>-0.2159690110666958</v>
      </c>
      <c r="G702" t="n">
        <v>0.7648719345597849</v>
      </c>
      <c r="H702" t="n">
        <v>0.3615826928840728</v>
      </c>
      <c r="I702" t="n">
        <v>0.5843407412716441</v>
      </c>
      <c r="J702" t="n">
        <v>0.7103731010289771</v>
      </c>
      <c r="K702" t="n">
        <v>-0.2878209183601865</v>
      </c>
      <c r="L702" t="n">
        <v>0.06616112322164854</v>
      </c>
      <c r="M702" t="n">
        <v>-0.4475501378931897</v>
      </c>
      <c r="N702" t="n">
        <v>-1.13246409753379</v>
      </c>
      <c r="O702" t="n">
        <v>-0.6234668191649357</v>
      </c>
      <c r="P702" t="n">
        <v>-0.357425662909136</v>
      </c>
      <c r="Q702" t="n">
        <v>-0.1739205264423503</v>
      </c>
      <c r="R702" t="n">
        <v>-0.4976278750042211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0.1799293056507061</v>
      </c>
      <c r="AJ702" t="n">
        <v>0.3333333333333333</v>
      </c>
    </row>
    <row r="703">
      <c r="A703" t="inlineStr">
        <is>
          <t>2025-08-11</t>
        </is>
      </c>
      <c r="B703" t="n">
        <v>1</v>
      </c>
      <c r="C703" t="n">
        <v>-0.842519995966711</v>
      </c>
      <c r="D703" t="n">
        <v>-0.7965745830760054</v>
      </c>
      <c r="E703" t="n">
        <v>-1.123373111622191</v>
      </c>
      <c r="F703" t="n">
        <v>0.1541381649393173</v>
      </c>
      <c r="G703" t="n">
        <v>0.7199904277931464</v>
      </c>
      <c r="H703" t="n">
        <v>0.3606581970612285</v>
      </c>
      <c r="I703" t="n">
        <v>0.5984989070337278</v>
      </c>
      <c r="J703" t="n">
        <v>-0.016195249092191</v>
      </c>
      <c r="K703" t="n">
        <v>-0.1132229220293583</v>
      </c>
      <c r="L703" t="n">
        <v>-0.09217609920290304</v>
      </c>
      <c r="M703" t="n">
        <v>0.9689139754377194</v>
      </c>
      <c r="N703" t="n">
        <v>-0.8363652892383522</v>
      </c>
      <c r="O703" t="n">
        <v>-0.5992066350079369</v>
      </c>
      <c r="P703" t="n">
        <v>-0.729515797984655</v>
      </c>
      <c r="Q703" t="n">
        <v>-0.5073256828031234</v>
      </c>
      <c r="R703" t="n">
        <v>-0.8188275627756905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0.09990432039567775</v>
      </c>
      <c r="AJ703" t="n">
        <v>0</v>
      </c>
    </row>
    <row r="704">
      <c r="A704" t="inlineStr">
        <is>
          <t>2025-08-18</t>
        </is>
      </c>
      <c r="B704" t="n">
        <v>1</v>
      </c>
      <c r="C704" t="n">
        <v>-0.6844706063265213</v>
      </c>
      <c r="D704" t="n">
        <v>-0.6839087440195273</v>
      </c>
      <c r="E704" t="n">
        <v>-0.997285154040581</v>
      </c>
      <c r="F704" t="n">
        <v>0.1058984375705658</v>
      </c>
      <c r="G704" t="n">
        <v>0.6463046278403978</v>
      </c>
      <c r="H704" t="n">
        <v>0.3855006506260055</v>
      </c>
      <c r="I704" t="n">
        <v>0.7474698576726698</v>
      </c>
      <c r="J704" t="n">
        <v>1.14852259538891</v>
      </c>
      <c r="K704" t="n">
        <v>-0.3491772472006704</v>
      </c>
      <c r="L704" t="n">
        <v>3</v>
      </c>
      <c r="M704" t="n">
        <v>0.5309304290289539</v>
      </c>
      <c r="N704" t="n">
        <v>-1.096299357589309</v>
      </c>
      <c r="O704" t="n">
        <v>0.9609195329640043</v>
      </c>
      <c r="P704" t="n">
        <v>0.7948528644159358</v>
      </c>
      <c r="Q704" t="n">
        <v>0.7294470951089738</v>
      </c>
      <c r="R704" t="n">
        <v>-0.1919117658624254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inlineStr">
        <is>
          <t>2025-08-25</t>
        </is>
      </c>
      <c r="B705" t="n">
        <v>1</v>
      </c>
      <c r="C705" t="n">
        <v>-1.386141153416153</v>
      </c>
      <c r="D705" t="n">
        <v>-0.5080109180101356</v>
      </c>
      <c r="E705" t="n">
        <v>-0.7784846927662437</v>
      </c>
      <c r="F705" t="n">
        <v>-0.9826145654694869</v>
      </c>
      <c r="G705" t="n">
        <v>-0.801962859727115</v>
      </c>
      <c r="H705" t="n">
        <v>-0.5755849904823243</v>
      </c>
      <c r="I705" t="n">
        <v>0.6636205421325853</v>
      </c>
      <c r="J705" t="n">
        <v>-0.4930442733803361</v>
      </c>
      <c r="K705" t="n">
        <v>0.7404696227144721</v>
      </c>
      <c r="L705" t="n">
        <v>0.774801178235846</v>
      </c>
      <c r="M705" t="n">
        <v>0.5269704805820704</v>
      </c>
      <c r="N705" t="n">
        <v>-1.19965654049882</v>
      </c>
      <c r="O705" t="n">
        <v>-0.6010836982227136</v>
      </c>
      <c r="P705" t="n">
        <v>-0.6293389655202196</v>
      </c>
      <c r="Q705" t="n">
        <v>-0.5251767994530354</v>
      </c>
      <c r="R705" t="n">
        <v>0.1482148098403046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2025-09-03</t>
        </is>
      </c>
      <c r="B706" t="n">
        <v>1</v>
      </c>
      <c r="C706" t="n">
        <v>-1.202585101731933</v>
      </c>
      <c r="D706" t="n">
        <v>-0.3942788105759126</v>
      </c>
      <c r="E706" t="n">
        <v>-0.7500353001828631</v>
      </c>
      <c r="F706" t="n">
        <v>-0.9243978286029088</v>
      </c>
      <c r="G706" t="n">
        <v>-0.5917966705875127</v>
      </c>
      <c r="H706" t="n">
        <v>-0.4178018509304049</v>
      </c>
      <c r="I706" t="n">
        <v>0.3361183343046918</v>
      </c>
      <c r="J706" t="n">
        <v>-0.2179502087413292</v>
      </c>
      <c r="K706" t="n">
        <v>-0.4107707185037787</v>
      </c>
      <c r="L706" t="n">
        <v>-0.01129499647905156</v>
      </c>
      <c r="M706" t="n">
        <v>0.4635366233776067</v>
      </c>
      <c r="N706" t="n">
        <v>-1.112121431315019</v>
      </c>
      <c r="O706" t="n">
        <v>-0.007153187869701563</v>
      </c>
      <c r="P706" t="n">
        <v>-0.510266444315382</v>
      </c>
      <c r="Q706" t="n">
        <v>-0.3214279704690103</v>
      </c>
      <c r="R706" t="n">
        <v>-0.2605087053908821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inlineStr">
        <is>
          <t>2025-09-11</t>
        </is>
      </c>
      <c r="B707" t="n">
        <v>1</v>
      </c>
      <c r="C707" t="n">
        <v>-1.54498768915203</v>
      </c>
      <c r="D707" t="n">
        <v>-1.00250503123433</v>
      </c>
      <c r="E707" t="n">
        <v>-0.8396854861186531</v>
      </c>
      <c r="F707" t="n">
        <v>-0.3768420335407951</v>
      </c>
      <c r="G707" t="n">
        <v>-0.9407371968285785</v>
      </c>
      <c r="H707" t="n">
        <v>-0.6721536945487042</v>
      </c>
      <c r="I707" t="n">
        <v>-1.75612305504982</v>
      </c>
      <c r="J707" t="n">
        <v>-0.5824348356675637</v>
      </c>
      <c r="K707" t="n">
        <v>0.1450325618451378</v>
      </c>
      <c r="L707" t="n">
        <v>-0.08228826360556232</v>
      </c>
      <c r="M707" t="n">
        <v>-0.5710639010332992</v>
      </c>
      <c r="N707" t="n">
        <v>-1.33630172267541</v>
      </c>
      <c r="O707" t="n">
        <v>-0.9341929508292156</v>
      </c>
      <c r="P707" t="n">
        <v>-0.7438871948520568</v>
      </c>
      <c r="Q707" t="n">
        <v>-0.5328624952227433</v>
      </c>
      <c r="R707" t="n">
        <v>-0.1007890702961678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inlineStr">
        <is>
          <t>2025-09-17</t>
        </is>
      </c>
      <c r="B708" t="n">
        <v>1</v>
      </c>
      <c r="C708" t="n">
        <v>-1.534706009809718</v>
      </c>
      <c r="D708" t="n">
        <v>-1.554204688529453</v>
      </c>
      <c r="E708" t="n">
        <v>-1.011381994773946</v>
      </c>
      <c r="F708" t="n">
        <v>2.09963321027959</v>
      </c>
      <c r="G708" t="n">
        <v>-0.665795956318801</v>
      </c>
      <c r="H708" t="n">
        <v>-0.4739514052782252</v>
      </c>
      <c r="I708" t="n">
        <v>-1.049626230993848</v>
      </c>
      <c r="J708" t="n">
        <v>0.9845060963117337</v>
      </c>
      <c r="K708" t="n">
        <v>0.2218332737615508</v>
      </c>
      <c r="L708" t="n">
        <v>1.262005929109286</v>
      </c>
      <c r="M708" t="n">
        <v>0.04894879341676503</v>
      </c>
      <c r="N708" t="n">
        <v>-1.741922158189078</v>
      </c>
      <c r="O708" t="n">
        <v>-0.6705959938459588</v>
      </c>
      <c r="P708" t="n">
        <v>-0.5619102865315645</v>
      </c>
      <c r="Q708" t="n">
        <v>-0.3005001474272121</v>
      </c>
      <c r="R708" t="n">
        <v>-0.6701926472443475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inlineStr">
        <is>
          <t>2025-10-09</t>
        </is>
      </c>
      <c r="B709" t="n">
        <v>1</v>
      </c>
      <c r="C709" t="n">
        <v>-1.517453219584509</v>
      </c>
      <c r="D709" t="n">
        <v>-0.6781265449732998</v>
      </c>
      <c r="E709" t="n">
        <v>-1.143857682605021</v>
      </c>
      <c r="F709" t="n">
        <v>-0.9134985878837957</v>
      </c>
      <c r="G709" t="n">
        <v>-0.392041224416487</v>
      </c>
      <c r="H709" t="n">
        <v>-0.311435033510124</v>
      </c>
      <c r="I709" t="n">
        <v>0.1424505185496887</v>
      </c>
      <c r="J709" t="n">
        <v>-1.053261949888678</v>
      </c>
      <c r="K709" t="n">
        <v>-0.7657920086963504</v>
      </c>
      <c r="L709" t="n">
        <v>0.8420716789906517</v>
      </c>
      <c r="M709" t="n">
        <v>-0.07151767884033591</v>
      </c>
      <c r="N709" t="n">
        <v>-1.124244838455499</v>
      </c>
      <c r="O709" t="n">
        <v>-0.6753301669269597</v>
      </c>
      <c r="P709" t="n">
        <v>-0.6620660923004698</v>
      </c>
      <c r="Q709" t="n">
        <v>-0.5840231552199007</v>
      </c>
      <c r="R709" t="n">
        <v>-0.7316405193490649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inlineStr">
        <is>
          <t>2025-10-17</t>
        </is>
      </c>
      <c r="B710" t="n">
        <v>1</v>
      </c>
      <c r="C710" t="n">
        <v>-1.326579935972928</v>
      </c>
      <c r="D710" t="n">
        <v>-0.8416419556927829</v>
      </c>
      <c r="E710" t="n">
        <v>-0.9343278345613394</v>
      </c>
      <c r="F710" t="n">
        <v>-0.39772347506238</v>
      </c>
      <c r="G710" t="n">
        <v>-0.4750820412343336</v>
      </c>
      <c r="H710" t="n">
        <v>-0.3440000336339889</v>
      </c>
      <c r="I710" t="n">
        <v>0.4796620551146122</v>
      </c>
      <c r="J710" t="n">
        <v>0.1695411316055908</v>
      </c>
      <c r="K710" t="n">
        <v>-0.4273769852151856</v>
      </c>
      <c r="L710" t="n">
        <v>-0.6804985127965663</v>
      </c>
      <c r="M710" t="n">
        <v>0.1320102360513306</v>
      </c>
      <c r="N710" t="n">
        <v>-1.359315648094626</v>
      </c>
      <c r="O710" t="n">
        <v>-0.6777154790758135</v>
      </c>
      <c r="P710" t="n">
        <v>-0.5418625122922166</v>
      </c>
      <c r="Q710" t="n">
        <v>-0.2033340416629973</v>
      </c>
      <c r="R710" t="n">
        <v>-0.3182522270450652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2025-10-28</t>
        </is>
      </c>
      <c r="B711" t="n">
        <v>1</v>
      </c>
      <c r="C711" t="n">
        <v>-0.6669343146868136</v>
      </c>
      <c r="D711" t="n">
        <v>-0.7370049563335369</v>
      </c>
      <c r="E711" t="n">
        <v>-0.9512869398703562</v>
      </c>
      <c r="F711" t="n">
        <v>0.2436437195661872</v>
      </c>
      <c r="G711" t="n">
        <v>0.5610654302695376</v>
      </c>
      <c r="H711" t="n">
        <v>0.353279803849449</v>
      </c>
      <c r="I711" t="n">
        <v>0.1690281542378146</v>
      </c>
      <c r="J711" t="n">
        <v>0.1026228469477486</v>
      </c>
      <c r="K711" t="n">
        <v>-0.8824163667169053</v>
      </c>
      <c r="L711" t="n">
        <v>0.2963069542831674</v>
      </c>
      <c r="M711" t="n">
        <v>0.3741374782998514</v>
      </c>
      <c r="N711" t="n">
        <v>-0.7173915140800879</v>
      </c>
      <c r="O711" t="n">
        <v>0.07837588093610937</v>
      </c>
      <c r="P711" t="n">
        <v>2.311329267304365</v>
      </c>
      <c r="Q711" t="n">
        <v>2.574536913052799</v>
      </c>
      <c r="R711" t="n">
        <v>0.693503909826273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0.5259008718018837</v>
      </c>
      <c r="AJ711" t="n">
        <v>0.3333333333333333</v>
      </c>
    </row>
    <row r="712">
      <c r="A712" t="inlineStr">
        <is>
          <t>2025-10-30</t>
        </is>
      </c>
      <c r="B712" t="n">
        <v>1</v>
      </c>
      <c r="C712" t="n">
        <v>-1.141631115702098</v>
      </c>
      <c r="D712" t="n">
        <v>-0.8692749984752176</v>
      </c>
      <c r="E712" t="n">
        <v>-1.154788734946723</v>
      </c>
      <c r="F712" t="n">
        <v>-0.08468980059090854</v>
      </c>
      <c r="G712" t="n">
        <v>0.2867619224748422</v>
      </c>
      <c r="H712" t="n">
        <v>0.08721512295408139</v>
      </c>
      <c r="I712" t="n">
        <v>0.6864250391746191</v>
      </c>
      <c r="J712" t="n">
        <v>-0.4745843405131537</v>
      </c>
      <c r="K712" t="n">
        <v>0.2874207660287017</v>
      </c>
      <c r="L712" t="n">
        <v>-1.060187626980368</v>
      </c>
      <c r="M712" t="n">
        <v>-0.4405489871289015</v>
      </c>
      <c r="N712" t="n">
        <v>-0.9502020274726841</v>
      </c>
      <c r="O712" t="n">
        <v>-0.9216530347981343</v>
      </c>
      <c r="P712" t="n">
        <v>-0.5460715994642269</v>
      </c>
      <c r="Q712" t="n">
        <v>-0.5864402914866901</v>
      </c>
      <c r="R712" t="n">
        <v>-1.026341394246219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0.616975609876099</v>
      </c>
      <c r="AJ712" t="n">
        <v>0.6666666666666666</v>
      </c>
    </row>
    <row r="713">
      <c r="A713" t="inlineStr">
        <is>
          <t>2025-10-31</t>
        </is>
      </c>
      <c r="B713" t="n">
        <v>1</v>
      </c>
      <c r="C713" t="n">
        <v>-1.220270407409261</v>
      </c>
      <c r="D713" t="n">
        <v>-0.6945775505921216</v>
      </c>
      <c r="E713" t="n">
        <v>-1.038004034362306</v>
      </c>
      <c r="F713" t="n">
        <v>-0.5269149010777578</v>
      </c>
      <c r="G713" t="n">
        <v>-0.1130633387330043</v>
      </c>
      <c r="H713" t="n">
        <v>-0.1213189147244054</v>
      </c>
      <c r="I713" t="n">
        <v>0.9670878831903713</v>
      </c>
      <c r="J713" t="n">
        <v>-0.5843930667440567</v>
      </c>
      <c r="K713" t="n">
        <v>0.2765516634528158</v>
      </c>
      <c r="L713" t="n">
        <v>-0.6822040869655547</v>
      </c>
      <c r="M713" t="n">
        <v>-0.5164552083678959</v>
      </c>
      <c r="N713" t="n">
        <v>-0.9880106192328235</v>
      </c>
      <c r="O713" t="n">
        <v>-0.8173756006270051</v>
      </c>
      <c r="P713" t="n">
        <v>-0.7320639163021158</v>
      </c>
      <c r="Q713" t="n">
        <v>-0.5357623420718653</v>
      </c>
      <c r="R713" t="n">
        <v>-0.4807658188118363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0.6077685886474259</v>
      </c>
      <c r="AJ713" t="n">
        <v>0</v>
      </c>
    </row>
    <row r="714">
      <c r="A714" t="inlineStr">
        <is>
          <t>2025-11-04</t>
        </is>
      </c>
      <c r="B714" t="n">
        <v>1</v>
      </c>
      <c r="C714" t="n">
        <v>-0.8730380788446216</v>
      </c>
      <c r="D714" t="n">
        <v>-0.7974310711285806</v>
      </c>
      <c r="E714" t="n">
        <v>-1.011192950147485</v>
      </c>
      <c r="F714" t="n">
        <v>0.1159091924845166</v>
      </c>
      <c r="G714" t="n">
        <v>0.3826036885714991</v>
      </c>
      <c r="H714" t="n">
        <v>0.2066705118904252</v>
      </c>
      <c r="I714" t="n">
        <v>-0.1286797841296717</v>
      </c>
      <c r="J714" t="n">
        <v>-0.2126171582482282</v>
      </c>
      <c r="K714" t="n">
        <v>-0.005083458229871289</v>
      </c>
      <c r="L714" t="n">
        <v>0.159826000180977</v>
      </c>
      <c r="M714" t="n">
        <v>0.06030614672830484</v>
      </c>
      <c r="N714" t="n">
        <v>-0.785405882952947</v>
      </c>
      <c r="O714" t="n">
        <v>0.2630043863917816</v>
      </c>
      <c r="P714" t="n">
        <v>0.1670139414762894</v>
      </c>
      <c r="Q714" t="n">
        <v>0.07849322566419982</v>
      </c>
      <c r="R714" t="n">
        <v>0.0210238193415744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0.6703570039478411</v>
      </c>
      <c r="AJ714" t="n">
        <v>0.3333333333333333</v>
      </c>
    </row>
    <row r="715">
      <c r="A715" t="inlineStr">
        <is>
          <t>2025-11-14</t>
        </is>
      </c>
      <c r="B715" t="n">
        <v>1</v>
      </c>
      <c r="C715" t="n">
        <v>-0.8829469415454355</v>
      </c>
      <c r="D715" t="n">
        <v>-0.94139475163768</v>
      </c>
      <c r="E715" t="n">
        <v>-1.027072345312825</v>
      </c>
      <c r="F715" t="n">
        <v>0.4699662031844589</v>
      </c>
      <c r="G715" t="n">
        <v>0.4045822078337354</v>
      </c>
      <c r="H715" t="n">
        <v>0.2138270575839637</v>
      </c>
      <c r="I715" t="n">
        <v>-0.7387716303135012</v>
      </c>
      <c r="J715" t="n">
        <v>-0.01795506336599592</v>
      </c>
      <c r="K715" t="n">
        <v>-0.2599905436888693</v>
      </c>
      <c r="L715" t="n">
        <v>-0.4873359765853799</v>
      </c>
      <c r="M715" t="n">
        <v>1.444565690097435</v>
      </c>
      <c r="N715" t="n">
        <v>-0.8745848439524057</v>
      </c>
      <c r="O715" t="n">
        <v>-0.5292667411619227</v>
      </c>
      <c r="P715" t="n">
        <v>-0.5659377024542628</v>
      </c>
      <c r="Q715" t="n">
        <v>-0.3566412255785414</v>
      </c>
      <c r="R715" t="n">
        <v>-0.8715557452562733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1</v>
      </c>
      <c r="AH715" t="n">
        <v>0</v>
      </c>
      <c r="AI715" t="n">
        <v>0.3744619240439837</v>
      </c>
      <c r="AJ715" t="n">
        <v>0</v>
      </c>
    </row>
    <row r="716">
      <c r="A716" t="inlineStr">
        <is>
          <t>2025-11-20</t>
        </is>
      </c>
      <c r="B716" t="n">
        <v>1</v>
      </c>
      <c r="C716" t="n">
        <v>-1.169844911068402</v>
      </c>
      <c r="D716" t="n">
        <v>-1.209601280149362</v>
      </c>
      <c r="E716" t="n">
        <v>-1.217504608621885</v>
      </c>
      <c r="F716" t="n">
        <v>0.9129390497212965</v>
      </c>
      <c r="G716" t="n">
        <v>0.4013484552415393</v>
      </c>
      <c r="H716" t="n">
        <v>0.1267176368533778</v>
      </c>
      <c r="I716" t="n">
        <v>-0.4718092564980606</v>
      </c>
      <c r="J716" t="n">
        <v>0.01187009194685108</v>
      </c>
      <c r="K716" t="n">
        <v>0.4227945847062806</v>
      </c>
      <c r="L716" t="n">
        <v>1.057694910049638</v>
      </c>
      <c r="M716" t="n">
        <v>-0.2377130058039737</v>
      </c>
      <c r="N716" t="n">
        <v>-1.161026022830852</v>
      </c>
      <c r="O716" t="n">
        <v>-0.684502692063386</v>
      </c>
      <c r="P716" t="n">
        <v>-0.7243732954280896</v>
      </c>
      <c r="Q716" t="n">
        <v>-0.4841254748692175</v>
      </c>
      <c r="R716" t="n">
        <v>-0.8565584502464695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0.325656049892253</v>
      </c>
      <c r="AJ716" t="n">
        <v>0</v>
      </c>
    </row>
    <row r="717">
      <c r="A717" t="inlineStr">
        <is>
          <t>2025-12-03</t>
        </is>
      </c>
      <c r="B717" t="n">
        <v>1</v>
      </c>
      <c r="C717" t="n">
        <v>-1.273107046714387</v>
      </c>
      <c r="D717" t="n">
        <v>-0.7958643622237017</v>
      </c>
      <c r="E717" t="n">
        <v>-1.188472358069792</v>
      </c>
      <c r="F717" t="n">
        <v>-0.4141689756484144</v>
      </c>
      <c r="G717" t="n">
        <v>0.1388598136146694</v>
      </c>
      <c r="H717" t="n">
        <v>-0.01126000929888178</v>
      </c>
      <c r="I717" t="n">
        <v>0.8720820259720755</v>
      </c>
      <c r="J717" t="n">
        <v>0.08250166730030016</v>
      </c>
      <c r="K717" t="n">
        <v>-0.2463907705292252</v>
      </c>
      <c r="L717" t="n">
        <v>-0.657234730558507</v>
      </c>
      <c r="M717" t="n">
        <v>-0.2860028897817971</v>
      </c>
      <c r="N717" t="n">
        <v>-1.282465575712603</v>
      </c>
      <c r="O717" t="n">
        <v>-0.8356358770481841</v>
      </c>
      <c r="P717" t="n">
        <v>-0.7101208626283521</v>
      </c>
      <c r="Q717" t="n">
        <v>-0.5330050143176353</v>
      </c>
      <c r="R717" t="n">
        <v>-0.4414062569491423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0.2423281742814531</v>
      </c>
      <c r="AJ717" t="n">
        <v>0</v>
      </c>
    </row>
    <row r="718">
      <c r="A718" t="inlineStr">
        <is>
          <t>2025-12-04</t>
        </is>
      </c>
      <c r="B718" t="n">
        <v>1</v>
      </c>
      <c r="C718" t="n">
        <v>-1.380495732844753</v>
      </c>
      <c r="D718" t="n">
        <v>-0.8260403363471274</v>
      </c>
      <c r="E718" t="n">
        <v>-1.258775339446767</v>
      </c>
      <c r="F718" t="n">
        <v>-0.5005943122819144</v>
      </c>
      <c r="G718" t="n">
        <v>0.1205277259760356</v>
      </c>
      <c r="H718" t="n">
        <v>-0.04493425220943271</v>
      </c>
      <c r="I718" t="n">
        <v>-1.216268375400464</v>
      </c>
      <c r="J718" t="n">
        <v>-0.1222229589678353</v>
      </c>
      <c r="K718" t="n">
        <v>0.07121849097857727</v>
      </c>
      <c r="L718" t="n">
        <v>-0.7814563182432281</v>
      </c>
      <c r="M718" t="n">
        <v>-0.299444036704054</v>
      </c>
      <c r="N718" t="n">
        <v>-1.320890611903614</v>
      </c>
      <c r="O718" t="n">
        <v>-0.6662245294947091</v>
      </c>
      <c r="P718" t="n">
        <v>-0.7522235231754212</v>
      </c>
      <c r="Q718" t="n">
        <v>-0.5782392389183565</v>
      </c>
      <c r="R718" t="n">
        <v>-1.054046505686341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0.1132179413257351</v>
      </c>
      <c r="AJ718" t="n">
        <v>0</v>
      </c>
    </row>
    <row r="719">
      <c r="A719" t="inlineStr">
        <is>
          <t>2025-12-11</t>
        </is>
      </c>
      <c r="B719" t="n">
        <v>1</v>
      </c>
      <c r="C719" t="n">
        <v>-1.209213815217853</v>
      </c>
      <c r="D719" t="n">
        <v>-1.140188661350481</v>
      </c>
      <c r="E719" t="n">
        <v>-1.175299715510509</v>
      </c>
      <c r="F719" t="n">
        <v>0.5737052825326953</v>
      </c>
      <c r="G719" t="n">
        <v>0.2196687628058489</v>
      </c>
      <c r="H719" t="n">
        <v>0.04008891981779589</v>
      </c>
      <c r="I719" t="n">
        <v>0.5853702149781238</v>
      </c>
      <c r="J719" t="n">
        <v>-0.5692757528059752</v>
      </c>
      <c r="K719" t="n">
        <v>-0.370741295218307</v>
      </c>
      <c r="L719" t="n">
        <v>0.2433248824171283</v>
      </c>
      <c r="M719" t="n">
        <v>0.4789854524393667</v>
      </c>
      <c r="N719" t="n">
        <v>-0.9824626193549769</v>
      </c>
      <c r="O719" t="n">
        <v>-0.1736797417654477</v>
      </c>
      <c r="P719" t="n">
        <v>-0.1502426246156166</v>
      </c>
      <c r="Q719" t="n">
        <v>-0.3328360402546625</v>
      </c>
      <c r="R719" t="n">
        <v>-0.4966686885040166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inlineStr">
        <is>
          <t>2025-12-18</t>
        </is>
      </c>
      <c r="B720" t="n">
        <v>1</v>
      </c>
      <c r="C720" t="n">
        <v>-1.460046297439638</v>
      </c>
      <c r="D720" t="n">
        <v>-0.876990584505181</v>
      </c>
      <c r="E720" t="n">
        <v>-1.116692613086147</v>
      </c>
      <c r="F720" t="n">
        <v>-0.5133641555199041</v>
      </c>
      <c r="G720" t="n">
        <v>-0.3486230218741769</v>
      </c>
      <c r="H720" t="n">
        <v>-0.2820505920560796</v>
      </c>
      <c r="I720" t="n">
        <v>0.07263373820034684</v>
      </c>
      <c r="J720" t="n">
        <v>0.000883767809613321</v>
      </c>
      <c r="K720" t="n">
        <v>-0.06174962695952792</v>
      </c>
      <c r="L720" t="n">
        <v>-0.823264392550439</v>
      </c>
      <c r="M720" t="n">
        <v>-0.1901837202906404</v>
      </c>
      <c r="N720" t="n">
        <v>-1.435754757522733</v>
      </c>
      <c r="O720" t="n">
        <v>-0.8180426508902169</v>
      </c>
      <c r="P720" t="n">
        <v>-0.6882710881068741</v>
      </c>
      <c r="Q720" t="n">
        <v>-0.5387215120122848</v>
      </c>
      <c r="R720" t="n">
        <v>-0.2599475016741752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2026-01-01</t>
        </is>
      </c>
      <c r="B721" t="n">
        <v>1</v>
      </c>
      <c r="C721" t="n">
        <v>-1.778575386405026</v>
      </c>
      <c r="D721" t="n">
        <v>-1.119043664283419</v>
      </c>
      <c r="E721" t="n">
        <v>-1.243283286593531</v>
      </c>
      <c r="F721" t="n">
        <v>-0.488453255540914</v>
      </c>
      <c r="G721" t="n">
        <v>-0.6612629951185999</v>
      </c>
      <c r="H721" t="n">
        <v>-0.4714705655313096</v>
      </c>
      <c r="I721" t="n">
        <v>0.06609391172682291</v>
      </c>
      <c r="J721" t="n">
        <v>-0.3660657440055154</v>
      </c>
      <c r="K721" t="n">
        <v>0.3123714089876905</v>
      </c>
      <c r="L721" t="n">
        <v>0.7963846749257698</v>
      </c>
      <c r="M721" t="n">
        <v>-0.2244193447113457</v>
      </c>
      <c r="N721" t="n">
        <v>-1.647811641742644</v>
      </c>
      <c r="O721" t="n">
        <v>-0.8372864797575259</v>
      </c>
      <c r="P721" t="n">
        <v>-0.7310648623503799</v>
      </c>
      <c r="Q721" t="n">
        <v>-0.4178641880149455</v>
      </c>
      <c r="R721" t="n">
        <v>-0.3207165753120081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0.03165190991433822</v>
      </c>
      <c r="AJ721" t="n">
        <v>0.3333333333333333</v>
      </c>
    </row>
    <row r="722">
      <c r="A722" t="inlineStr">
        <is>
          <t>2026-01-08</t>
        </is>
      </c>
      <c r="B722" t="n">
        <v>1</v>
      </c>
      <c r="C722" t="n">
        <v>-1.473258437892305</v>
      </c>
      <c r="D722" t="n">
        <v>-1.181129579002025</v>
      </c>
      <c r="E722" t="n">
        <v>-1.401416715650793</v>
      </c>
      <c r="F722" t="n">
        <v>0.2361854499812281</v>
      </c>
      <c r="G722" t="n">
        <v>0.3414500376683852</v>
      </c>
      <c r="H722" t="n">
        <v>0.01548944340430266</v>
      </c>
      <c r="I722" t="n">
        <v>-0.07630101550881369</v>
      </c>
      <c r="J722" t="n">
        <v>-0.4127399970147795</v>
      </c>
      <c r="K722" t="n">
        <v>-1.24036881596657</v>
      </c>
      <c r="L722" t="n">
        <v>-0.8612906666080472</v>
      </c>
      <c r="M722" t="n">
        <v>-0.5763162717132428</v>
      </c>
      <c r="N722" t="n">
        <v>-1.318835797134041</v>
      </c>
      <c r="O722" t="n">
        <v>-0.4824911504821285</v>
      </c>
      <c r="P722" t="n">
        <v>-0.6019875136636328</v>
      </c>
      <c r="Q722" t="n">
        <v>-0.3854219158942266</v>
      </c>
      <c r="R722" t="n">
        <v>-0.555016863739114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inlineStr">
        <is>
          <t>2026-01-21</t>
        </is>
      </c>
      <c r="B723" t="n">
        <v>1</v>
      </c>
      <c r="C723" t="n">
        <v>-0.8361710016890062</v>
      </c>
      <c r="D723" t="n">
        <v>-0.9011932369343825</v>
      </c>
      <c r="E723" t="n">
        <v>-1.088573579914702</v>
      </c>
      <c r="F723" t="n">
        <v>0.4256286320707455</v>
      </c>
      <c r="G723" t="n">
        <v>0.6362200901798861</v>
      </c>
      <c r="H723" t="n">
        <v>0.3291635503679384</v>
      </c>
      <c r="I723" t="n">
        <v>0.2676803894821471</v>
      </c>
      <c r="J723" t="n">
        <v>0.1661674909469523</v>
      </c>
      <c r="K723" t="n">
        <v>-0.6193547939961972</v>
      </c>
      <c r="L723" t="n">
        <v>-0.2991353713393896</v>
      </c>
      <c r="M723" t="n">
        <v>1.309642830601632</v>
      </c>
      <c r="N723" t="n">
        <v>-0.9010919544798945</v>
      </c>
      <c r="O723" t="n">
        <v>-0.5408409939500188</v>
      </c>
      <c r="P723" t="n">
        <v>-0.6895528500926246</v>
      </c>
      <c r="Q723" t="n">
        <v>-0.5753512428223123</v>
      </c>
      <c r="R723" t="n">
        <v>-0.9688949969385446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inlineStr">
        <is>
          <t>2026-01-23</t>
        </is>
      </c>
      <c r="B724" t="n">
        <v>1</v>
      </c>
      <c r="C724" t="n">
        <v>-0.8925212397721677</v>
      </c>
      <c r="D724" t="n">
        <v>-0.6437715319693568</v>
      </c>
      <c r="E724" t="n">
        <v>-1.090858559116666</v>
      </c>
      <c r="F724" t="n">
        <v>-0.2218101989640126</v>
      </c>
      <c r="G724" t="n">
        <v>0.5481496217139202</v>
      </c>
      <c r="H724" t="n">
        <v>0.2736784544092531</v>
      </c>
      <c r="I724" t="n">
        <v>1.398654976897941</v>
      </c>
      <c r="J724" t="n">
        <v>-1.862590094518132</v>
      </c>
      <c r="K724" t="n">
        <v>-1.10541216341128</v>
      </c>
      <c r="L724" t="n">
        <v>-0.1772301529427702</v>
      </c>
      <c r="M724" t="n">
        <v>-1.656020242591815</v>
      </c>
      <c r="N724" t="n">
        <v>0.1906311325941249</v>
      </c>
      <c r="O724" t="n">
        <v>-0.4669464178038246</v>
      </c>
      <c r="P724" t="n">
        <v>-0.621948402916735</v>
      </c>
      <c r="Q724" t="n">
        <v>-0.3699734021965793</v>
      </c>
      <c r="R724" t="n">
        <v>-0.9956883792876768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inlineStr">
        <is>
          <t>2026-01-27</t>
        </is>
      </c>
      <c r="B725" t="n">
        <v>1</v>
      </c>
      <c r="C725" t="n">
        <v>0.09984288801441461</v>
      </c>
      <c r="D725" t="n">
        <v>-0.6084336888133963</v>
      </c>
      <c r="E725" t="n">
        <v>-0.9940575085319078</v>
      </c>
      <c r="F725" t="n">
        <v>0.8604162373603635</v>
      </c>
      <c r="G725" t="n">
        <v>1.86776149855286</v>
      </c>
      <c r="H725" t="n">
        <v>1.188999240983307</v>
      </c>
      <c r="I725" t="n">
        <v>1.271869940220422</v>
      </c>
      <c r="J725" t="n">
        <v>-0.3022700301649409</v>
      </c>
      <c r="K725" t="n">
        <v>1.173553909262328</v>
      </c>
      <c r="L725" t="n">
        <v>0.5855380327433772</v>
      </c>
      <c r="M725" t="n">
        <v>0.5033272176124739</v>
      </c>
      <c r="N725" t="n">
        <v>0.2397412055869145</v>
      </c>
      <c r="O725" t="n">
        <v>1.796258319242869</v>
      </c>
      <c r="P725" t="n">
        <v>1.869332886970486</v>
      </c>
      <c r="Q725" t="n">
        <v>1.20461276443877</v>
      </c>
      <c r="R725" t="n">
        <v>-1.215264826962442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inlineStr">
        <is>
          <t>2026-01-28</t>
        </is>
      </c>
      <c r="B726" t="n">
        <v>1</v>
      </c>
      <c r="C726" t="n">
        <v>0.3403419769757205</v>
      </c>
      <c r="D726" t="n">
        <v>-0.4695198990320157</v>
      </c>
      <c r="E726" t="n">
        <v>-0.8962759607019432</v>
      </c>
      <c r="F726" t="n">
        <v>0.7977656551546689</v>
      </c>
      <c r="G726" t="n">
        <v>1.920776736245595</v>
      </c>
      <c r="H726" t="n">
        <v>1.3296110493382</v>
      </c>
      <c r="I726" t="n">
        <v>1.801121973927491</v>
      </c>
      <c r="J726" t="n">
        <v>-0.9037823181483271</v>
      </c>
      <c r="K726" t="n">
        <v>-0.4643825447787271</v>
      </c>
      <c r="L726" t="n">
        <v>0.6954946168061873</v>
      </c>
      <c r="M726" t="n">
        <v>-0.5799203868609161</v>
      </c>
      <c r="N726" t="n">
        <v>0.9365288939490458</v>
      </c>
      <c r="O726" t="n">
        <v>-0.3831080127101069</v>
      </c>
      <c r="P726" t="n">
        <v>-0.421277814863002</v>
      </c>
      <c r="Q726" t="n">
        <v>-0.1095538239968268</v>
      </c>
      <c r="R726" t="n">
        <v>-1.104850804499315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0.4929356431597504</v>
      </c>
      <c r="AJ726" t="n">
        <v>0.3333333333333333</v>
      </c>
    </row>
    <row r="727">
      <c r="A727" t="inlineStr">
        <is>
          <t>2026-01-29</t>
        </is>
      </c>
      <c r="B727" t="n">
        <v>1</v>
      </c>
      <c r="C727" t="n">
        <v>0.09803636042981148</v>
      </c>
      <c r="D727" t="n">
        <v>-0.4829915098092864</v>
      </c>
      <c r="E727" t="n">
        <v>-0.8767013505228139</v>
      </c>
      <c r="F727" t="n">
        <v>0.5699468847295671</v>
      </c>
      <c r="G727" t="n">
        <v>1.507012862193803</v>
      </c>
      <c r="H727" t="n">
        <v>1.058898423898342</v>
      </c>
      <c r="I727" t="n">
        <v>0.8553232878777995</v>
      </c>
      <c r="J727" t="n">
        <v>0.3874537167993873</v>
      </c>
      <c r="K727" t="n">
        <v>-0.2944516837870483</v>
      </c>
      <c r="L727" t="n">
        <v>-0.5301064457807322</v>
      </c>
      <c r="M727" t="n">
        <v>-0.6727872713563799</v>
      </c>
      <c r="N727" t="n">
        <v>-0.1422488600766659</v>
      </c>
      <c r="O727" t="n">
        <v>-0.3665243917936568</v>
      </c>
      <c r="P727" t="n">
        <v>-0.7159203732723006</v>
      </c>
      <c r="Q727" t="n">
        <v>-0.5090909414555815</v>
      </c>
      <c r="R727" t="n">
        <v>-1.511611971075053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0.02437301216717363</v>
      </c>
      <c r="AJ727" t="n">
        <v>0</v>
      </c>
    </row>
    <row r="728">
      <c r="A728" t="inlineStr">
        <is>
          <t>2026-01-30</t>
        </is>
      </c>
      <c r="B728" t="n">
        <v>1</v>
      </c>
      <c r="C728" t="n">
        <v>0.3381944019581336</v>
      </c>
      <c r="D728" t="n">
        <v>-0.4358076980766581</v>
      </c>
      <c r="E728" t="n">
        <v>-0.8502556187940099</v>
      </c>
      <c r="F728" t="n">
        <v>0.7214019093368129</v>
      </c>
      <c r="G728" t="n">
        <v>1.778004951224319</v>
      </c>
      <c r="H728" t="n">
        <v>1.277112150616636</v>
      </c>
      <c r="I728" t="n">
        <v>0.6817366818588509</v>
      </c>
      <c r="J728" t="n">
        <v>0.6287994399227457</v>
      </c>
      <c r="K728" t="n">
        <v>-0.9408769150702492</v>
      </c>
      <c r="L728" t="n">
        <v>-1.393015161994833</v>
      </c>
      <c r="M728" t="n">
        <v>-0.2391372527265005</v>
      </c>
      <c r="N728" t="n">
        <v>-0.04813834363023238</v>
      </c>
      <c r="O728" t="n">
        <v>0.2670582665378166</v>
      </c>
      <c r="P728" t="n">
        <v>-0.1939833251645293</v>
      </c>
      <c r="Q728" t="n">
        <v>-0.008852883807249724</v>
      </c>
      <c r="R728" t="n">
        <v>-0.4562475636601586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inlineStr">
        <is>
          <t>2026-02-01</t>
        </is>
      </c>
      <c r="B729" t="n">
        <v>1</v>
      </c>
      <c r="C729" t="n">
        <v>1.866747641011125</v>
      </c>
      <c r="D729" t="n">
        <v>-0.4232360609572182</v>
      </c>
      <c r="E729" t="n">
        <v>-0.9289985388765465</v>
      </c>
      <c r="F729" t="n">
        <v>2.266875565448966</v>
      </c>
      <c r="G729" t="n">
        <v>3</v>
      </c>
      <c r="H729" t="n">
        <v>2.935976223049058</v>
      </c>
      <c r="I729" t="n">
        <v>0.7456348878368192</v>
      </c>
      <c r="J729" t="n">
        <v>1.715688236667964</v>
      </c>
      <c r="K729" t="n">
        <v>-0.6262695408829426</v>
      </c>
      <c r="L729" t="n">
        <v>-0.03386147285095541</v>
      </c>
      <c r="M729" t="n">
        <v>1.960363362272445</v>
      </c>
      <c r="N729" t="n">
        <v>0.628306678513128</v>
      </c>
      <c r="O729" t="n">
        <v>-0.5051650566675325</v>
      </c>
      <c r="P729" t="n">
        <v>-0.7724682482942236</v>
      </c>
      <c r="Q729" t="n">
        <v>-0.5802559113786979</v>
      </c>
      <c r="R729" t="n">
        <v>-0.8847408368047535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1</v>
      </c>
      <c r="AH729" t="n">
        <v>0</v>
      </c>
      <c r="AI729" t="n">
        <v>0</v>
      </c>
      <c r="AJ729" t="n">
        <v>0</v>
      </c>
    </row>
    <row r="730">
      <c r="A730" t="inlineStr">
        <is>
          <t>2026-02-02</t>
        </is>
      </c>
      <c r="B730" t="n">
        <v>1</v>
      </c>
      <c r="C730" t="n">
        <v>1.174984586235375</v>
      </c>
      <c r="D730" t="n">
        <v>0.154599721276945</v>
      </c>
      <c r="E730" t="n">
        <v>-0.5018860141823314</v>
      </c>
      <c r="F730" t="n">
        <v>0.4213615870436188</v>
      </c>
      <c r="G730" t="n">
        <v>1.921994752871561</v>
      </c>
      <c r="H730" t="n">
        <v>1.757450131725198</v>
      </c>
      <c r="I730" t="n">
        <v>1.734453033424028</v>
      </c>
      <c r="J730" t="n">
        <v>-1.600543058910433</v>
      </c>
      <c r="K730" t="n">
        <v>-1.208097663914192</v>
      </c>
      <c r="L730" t="n">
        <v>-0.2460640657961106</v>
      </c>
      <c r="M730" t="n">
        <v>-0.08848741409636719</v>
      </c>
      <c r="N730" t="n">
        <v>2.747231668896582</v>
      </c>
      <c r="O730" t="n">
        <v>0.7659534235000429</v>
      </c>
      <c r="P730" t="n">
        <v>0.6865476927329514</v>
      </c>
      <c r="Q730" t="n">
        <v>-0.04984959247398609</v>
      </c>
      <c r="R730" t="n">
        <v>-0.7815322821021016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0.1784357935681328</v>
      </c>
      <c r="AJ730" t="n">
        <v>0.3333333333333333</v>
      </c>
    </row>
    <row r="731">
      <c r="A731" t="inlineStr">
        <is>
          <t>2026-02-03</t>
        </is>
      </c>
      <c r="B731" t="n">
        <v>1</v>
      </c>
      <c r="C731" t="n">
        <v>2.224449366139759</v>
      </c>
      <c r="D731" t="n">
        <v>0.4137808993971084</v>
      </c>
      <c r="E731" t="n">
        <v>-0.3906491332855796</v>
      </c>
      <c r="F731" t="n">
        <v>0.8044047260930683</v>
      </c>
      <c r="G731" t="n">
        <v>2.843948843386991</v>
      </c>
      <c r="H731" t="n">
        <v>2.715750209111482</v>
      </c>
      <c r="I731" t="n">
        <v>1.849260648474497</v>
      </c>
      <c r="J731" t="n">
        <v>1.846649309039457</v>
      </c>
      <c r="K731" t="n">
        <v>-3</v>
      </c>
      <c r="L731" t="n">
        <v>3</v>
      </c>
      <c r="M731" t="n">
        <v>-1.376625319237948</v>
      </c>
      <c r="N731" t="n">
        <v>0.8220757112838414</v>
      </c>
      <c r="O731" t="n">
        <v>3</v>
      </c>
      <c r="P731" t="n">
        <v>3</v>
      </c>
      <c r="Q731" t="n">
        <v>3</v>
      </c>
      <c r="R731" t="n">
        <v>-1.312296629084761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inlineStr">
        <is>
          <t>2026-02-06</t>
        </is>
      </c>
      <c r="B732" t="n">
        <v>1</v>
      </c>
      <c r="C732" t="n">
        <v>-0.9256770337432939</v>
      </c>
      <c r="D732" t="n">
        <v>1.027980881879109</v>
      </c>
      <c r="E732" t="n">
        <v>0.2990255928421035</v>
      </c>
      <c r="F732" t="n">
        <v>-1.672606723444119</v>
      </c>
      <c r="G732" t="n">
        <v>-1.338484335723575</v>
      </c>
      <c r="H732" t="n">
        <v>-1.279245622684813</v>
      </c>
      <c r="I732" t="n">
        <v>2.272617182511122</v>
      </c>
      <c r="J732" t="n">
        <v>0.3488105438598217</v>
      </c>
      <c r="K732" t="n">
        <v>-0.02847507442768513</v>
      </c>
      <c r="L732" t="n">
        <v>-0.7114024507344204</v>
      </c>
      <c r="M732" t="n">
        <v>-0.610965388818426</v>
      </c>
      <c r="N732" t="n">
        <v>-1.04862765493522</v>
      </c>
      <c r="O732" t="n">
        <v>-0.5234817275512232</v>
      </c>
      <c r="P732" t="n">
        <v>-0.5016995002858802</v>
      </c>
      <c r="Q732" t="n">
        <v>-0.3184089904097007</v>
      </c>
      <c r="R732" t="n">
        <v>-0.5068413615671512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inlineStr">
        <is>
          <t>2026-02-12</t>
        </is>
      </c>
      <c r="B733" t="n">
        <v>1</v>
      </c>
      <c r="C733" t="n">
        <v>-1.39754584631843</v>
      </c>
      <c r="D733" t="n">
        <v>0.877755609594678</v>
      </c>
      <c r="E733" t="n">
        <v>0.2374618165813234</v>
      </c>
      <c r="F733" t="n">
        <v>-1.885346990500476</v>
      </c>
      <c r="G733" t="n">
        <v>-1.710278020049607</v>
      </c>
      <c r="H733" t="n">
        <v>-1.697504443495797</v>
      </c>
      <c r="I733" t="n">
        <v>-1.295955270237355</v>
      </c>
      <c r="J733" t="n">
        <v>-0.04490247881526747</v>
      </c>
      <c r="K733" t="n">
        <v>0.02476907183896986</v>
      </c>
      <c r="L733" t="n">
        <v>-0.6837442006439287</v>
      </c>
      <c r="M733" t="n">
        <v>-0.4191642481580484</v>
      </c>
      <c r="N733" t="n">
        <v>-1.361781425818113</v>
      </c>
      <c r="O733" t="n">
        <v>-0.830320225957799</v>
      </c>
      <c r="P733" t="n">
        <v>-0.6769766420706073</v>
      </c>
      <c r="Q733" t="n">
        <v>-0.5097767614386596</v>
      </c>
      <c r="R733" t="n">
        <v>-0.5068062624377979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inlineStr">
        <is>
          <t>2026-02-17</t>
        </is>
      </c>
      <c r="B734" t="n">
        <v>1</v>
      </c>
      <c r="C734" t="n">
        <v>-0.777463317433169</v>
      </c>
      <c r="D734" t="n">
        <v>0.4238119166510265</v>
      </c>
      <c r="E734" t="n">
        <v>0.3935479457026291</v>
      </c>
      <c r="F734" t="n">
        <v>-1.273852225430958</v>
      </c>
      <c r="G734" t="n">
        <v>-1.277194854455123</v>
      </c>
      <c r="H734" t="n">
        <v>-1.230030070879808</v>
      </c>
      <c r="I734" t="n">
        <v>-0.4826835883793576</v>
      </c>
      <c r="J734" t="n">
        <v>-0.06765948474604597</v>
      </c>
      <c r="K734" t="n">
        <v>-0.1497664428833674</v>
      </c>
      <c r="L734" t="n">
        <v>0.1316982601018331</v>
      </c>
      <c r="M734" t="n">
        <v>-0.1079746375497218</v>
      </c>
      <c r="N734" t="n">
        <v>-0.180160192575284</v>
      </c>
      <c r="O734" t="n">
        <v>-0.3191853322512164</v>
      </c>
      <c r="P734" t="n">
        <v>-0.3351766071331188</v>
      </c>
      <c r="Q734" t="n">
        <v>-0.3009448500247113</v>
      </c>
      <c r="R734" t="n">
        <v>-0.2488136175062554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</row>
    <row r="735">
      <c r="A735" t="inlineStr">
        <is>
          <t>2026-02-23</t>
        </is>
      </c>
      <c r="B735" t="n">
        <v>1</v>
      </c>
      <c r="C735" t="n">
        <v>-0.3804644953919888</v>
      </c>
      <c r="D735" t="n">
        <v>-0.1877166683000986</v>
      </c>
      <c r="E735" t="n">
        <v>0.3194570054059132</v>
      </c>
      <c r="F735" t="n">
        <v>-0.3943276059725214</v>
      </c>
      <c r="G735" t="n">
        <v>-0.8870037786155751</v>
      </c>
      <c r="H735" t="n">
        <v>-0.7405714369946081</v>
      </c>
      <c r="I735" t="n">
        <v>-0.1874014389934047</v>
      </c>
      <c r="J735" t="n">
        <v>-0.06765948474604597</v>
      </c>
      <c r="K735" t="n">
        <v>-0.1497664428833674</v>
      </c>
      <c r="L735" t="n">
        <v>0.1316982601018331</v>
      </c>
      <c r="M735" t="n">
        <v>-0.1079746375497218</v>
      </c>
      <c r="N735" t="n">
        <v>-0.180160192575284</v>
      </c>
      <c r="O735" t="n">
        <v>-0.3191853322512164</v>
      </c>
      <c r="P735" t="n">
        <v>-0.3351766071331188</v>
      </c>
      <c r="Q735" t="n">
        <v>-0.3009448500247113</v>
      </c>
      <c r="R735" t="n">
        <v>-0.2488136175062554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0.05269628805438212</v>
      </c>
      <c r="AJ735" t="n">
        <v>0.3333333333333333</v>
      </c>
    </row>
    <row r="736">
      <c r="A736" t="inlineStr">
        <is>
          <t>2026-02-24</t>
        </is>
      </c>
      <c r="B736" t="n">
        <v>1</v>
      </c>
      <c r="C736" t="n">
        <v>-0.8555663925512818</v>
      </c>
      <c r="D736" t="n">
        <v>-0.2493654247961375</v>
      </c>
      <c r="E736" t="n">
        <v>0.303413017265372</v>
      </c>
      <c r="F736" t="n">
        <v>-0.7548050626623758</v>
      </c>
      <c r="G736" t="n">
        <v>-1.281293058816057</v>
      </c>
      <c r="H736" t="n">
        <v>-1.211899115693826</v>
      </c>
      <c r="I736" t="n">
        <v>-0.3026816262978207</v>
      </c>
      <c r="J736" t="n">
        <v>-0.9734419393959913</v>
      </c>
      <c r="K736" t="n">
        <v>2.095188794076726</v>
      </c>
      <c r="L736" t="n">
        <v>-0.8545106732981536</v>
      </c>
      <c r="M736" t="n">
        <v>-0.2035694718922962</v>
      </c>
      <c r="N736" t="n">
        <v>-0.3902650027641008</v>
      </c>
      <c r="O736" t="n">
        <v>-0.3968817374501654</v>
      </c>
      <c r="P736" t="n">
        <v>-0.01802196892271287</v>
      </c>
      <c r="Q736" t="n">
        <v>-0.3038181388883958</v>
      </c>
      <c r="R736" t="n">
        <v>-0.5525616842424577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inlineStr">
        <is>
          <t>2026-03-02</t>
        </is>
      </c>
      <c r="B737" t="n">
        <v>1</v>
      </c>
      <c r="C737" t="n">
        <v>0.8977259763350869</v>
      </c>
      <c r="D737" t="n">
        <v>-0.1906670731425855</v>
      </c>
      <c r="E737" t="n">
        <v>0.1017115344434101</v>
      </c>
      <c r="F737" t="n">
        <v>0.7666417357196565</v>
      </c>
      <c r="G737" t="n">
        <v>0.4881861899577045</v>
      </c>
      <c r="H737" t="n">
        <v>0.8125761309517494</v>
      </c>
      <c r="I737" t="n">
        <v>-0.390605439371546</v>
      </c>
      <c r="J737" t="n">
        <v>1.366099795794602</v>
      </c>
      <c r="K737" t="n">
        <v>-0.9505034461832258</v>
      </c>
      <c r="L737" t="n">
        <v>-2.355566628584604</v>
      </c>
      <c r="M737" t="n">
        <v>0.5843865480225273</v>
      </c>
      <c r="N737" t="n">
        <v>0.06467098721931332</v>
      </c>
      <c r="O737" t="n">
        <v>0.9042589884435163</v>
      </c>
      <c r="P737" t="n">
        <v>1.309797852244656</v>
      </c>
      <c r="Q737" t="n">
        <v>1.104117543270585</v>
      </c>
      <c r="R737" t="n">
        <v>-1.017290030008481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0.02102997334138005</v>
      </c>
      <c r="AJ737" t="n">
        <v>0.3333333333333333</v>
      </c>
    </row>
    <row r="738">
      <c r="A738" t="inlineStr">
        <is>
          <t>2026-03-06</t>
        </is>
      </c>
      <c r="B738" t="n">
        <v>1</v>
      </c>
      <c r="C738" t="n">
        <v>0.8408029682870458</v>
      </c>
      <c r="D738" t="n">
        <v>0.3013394604426066</v>
      </c>
      <c r="E738" t="n">
        <v>-0.1772045726637962</v>
      </c>
      <c r="F738" t="n">
        <v>-0.02206804990631503</v>
      </c>
      <c r="G738" t="n">
        <v>0.8698060955547916</v>
      </c>
      <c r="H738" t="n">
        <v>1.058792782177435</v>
      </c>
      <c r="I738" t="n">
        <v>1.131739292263935</v>
      </c>
      <c r="J738" t="n">
        <v>0.1846605026202197</v>
      </c>
      <c r="K738" t="n">
        <v>-0.6392908590248049</v>
      </c>
      <c r="L738" t="n">
        <v>-1.162715912442779</v>
      </c>
      <c r="M738" t="n">
        <v>-2.579175366254261</v>
      </c>
      <c r="N738" t="n">
        <v>0.6504986780245134</v>
      </c>
      <c r="O738" t="n">
        <v>-0.4548792703752432</v>
      </c>
      <c r="P738" t="n">
        <v>-0.5766803371411044</v>
      </c>
      <c r="Q738" t="n">
        <v>-0.397657090362095</v>
      </c>
      <c r="R738" t="n">
        <v>-0.5293201388399229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</v>
      </c>
    </row>
    <row r="739">
      <c r="A739" t="inlineStr">
        <is>
          <t>2026-03-09</t>
        </is>
      </c>
      <c r="B739" t="n">
        <v>1</v>
      </c>
      <c r="C739" t="n">
        <v>3</v>
      </c>
      <c r="D739" t="n">
        <v>0.2409332153496671</v>
      </c>
      <c r="E739" t="n">
        <v>-0.09893541342461837</v>
      </c>
      <c r="F739" t="n">
        <v>2.006110661261709</v>
      </c>
      <c r="G739" t="n">
        <v>3</v>
      </c>
      <c r="H739" t="n">
        <v>3</v>
      </c>
      <c r="I739" t="n">
        <v>0.8910279551796332</v>
      </c>
      <c r="J739" t="n">
        <v>2.177384670520483</v>
      </c>
      <c r="K739" t="n">
        <v>-1.062436545553296</v>
      </c>
      <c r="L739" t="n">
        <v>-2.420295703254824</v>
      </c>
      <c r="M739" t="n">
        <v>2.292947297851851</v>
      </c>
      <c r="N739" t="n">
        <v>1.526466214293391</v>
      </c>
      <c r="O739" t="n">
        <v>0.5100539660017505</v>
      </c>
      <c r="P739" t="n">
        <v>-0.2788048521547264</v>
      </c>
      <c r="Q739" t="n">
        <v>-0.1599729215752526</v>
      </c>
      <c r="R739" t="n">
        <v>-0.4676826603843985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0.2089348020298833</v>
      </c>
      <c r="AJ739" t="n">
        <v>0.3333333333333333</v>
      </c>
    </row>
    <row r="740">
      <c r="A740" t="inlineStr">
        <is>
          <t>2026-03-10</t>
        </is>
      </c>
      <c r="B740" t="n">
        <v>1</v>
      </c>
      <c r="C740" t="n">
        <v>1.971151825339806</v>
      </c>
      <c r="D740" t="n">
        <v>0.2582532600379744</v>
      </c>
      <c r="E740" t="n">
        <v>0.04463962542173774</v>
      </c>
      <c r="F740" t="n">
        <v>0.8612579263155224</v>
      </c>
      <c r="G740" t="n">
        <v>1.583099082553126</v>
      </c>
      <c r="H740" t="n">
        <v>1.979452055343734</v>
      </c>
      <c r="I740" t="n">
        <v>0.8566329188336164</v>
      </c>
      <c r="J740" t="n">
        <v>-0.06765948474604597</v>
      </c>
      <c r="K740" t="n">
        <v>-0.1497664428833674</v>
      </c>
      <c r="L740" t="n">
        <v>0.1316982601018331</v>
      </c>
      <c r="M740" t="n">
        <v>-0.1079746375497218</v>
      </c>
      <c r="N740" t="n">
        <v>-0.180160192575284</v>
      </c>
      <c r="O740" t="n">
        <v>-0.3191853322512164</v>
      </c>
      <c r="P740" t="n">
        <v>-0.3351766071331188</v>
      </c>
      <c r="Q740" t="n">
        <v>-0.3009448500247113</v>
      </c>
      <c r="R740" t="n">
        <v>-0.2488136175062554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</row>
    <row r="741">
      <c r="A741" t="inlineStr">
        <is>
          <t>2026-03-12</t>
        </is>
      </c>
      <c r="B741" t="n">
        <v>1</v>
      </c>
      <c r="C741" t="n">
        <v>1.919754894933349</v>
      </c>
      <c r="D741" t="n">
        <v>0.6352849953265305</v>
      </c>
      <c r="E741" t="n">
        <v>0.2352069605336312</v>
      </c>
      <c r="F741" t="n">
        <v>0.312017687604435</v>
      </c>
      <c r="G741" t="n">
        <v>1.206859208225366</v>
      </c>
      <c r="H741" t="n">
        <v>1.718322638462194</v>
      </c>
      <c r="I741" t="n">
        <v>1.468074689309829</v>
      </c>
      <c r="J741" t="n">
        <v>1.460538420027156</v>
      </c>
      <c r="K741" t="n">
        <v>-0.5806455092015007</v>
      </c>
      <c r="L741" t="n">
        <v>-1.64031607514339</v>
      </c>
      <c r="M741" t="n">
        <v>2.298862359193822</v>
      </c>
      <c r="N741" t="n">
        <v>0.8021440080189853</v>
      </c>
      <c r="O741" t="n">
        <v>-0.1755737210144757</v>
      </c>
      <c r="P741" t="n">
        <v>-0.4106846693078279</v>
      </c>
      <c r="Q741" t="n">
        <v>-0.2102036407367899</v>
      </c>
      <c r="R741" t="n">
        <v>-1.081968929785201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</row>
    <row r="742">
      <c r="A742" t="inlineStr">
        <is>
          <t>2026-03-13</t>
        </is>
      </c>
      <c r="B742" t="n">
        <v>1</v>
      </c>
      <c r="C742" t="n">
        <v>1.42199310849577</v>
      </c>
      <c r="D742" t="n">
        <v>0.5485102575747587</v>
      </c>
      <c r="E742" t="n">
        <v>0.2333885638690872</v>
      </c>
      <c r="F742" t="n">
        <v>0.0907303657841409</v>
      </c>
      <c r="G742" t="n">
        <v>0.7719635353414909</v>
      </c>
      <c r="H742" t="n">
        <v>1.208133745397091</v>
      </c>
      <c r="I742" t="n">
        <v>0.6506880297462477</v>
      </c>
      <c r="J742" t="n">
        <v>-0.7274512135822051</v>
      </c>
      <c r="K742" t="n">
        <v>-0.02934589808235373</v>
      </c>
      <c r="L742" t="n">
        <v>-1.221459341426272</v>
      </c>
      <c r="M742" t="n">
        <v>-0.4609275046259972</v>
      </c>
      <c r="N742" t="n">
        <v>1.983867982000293</v>
      </c>
      <c r="O742" t="n">
        <v>-0.6270325347543282</v>
      </c>
      <c r="P742" t="n">
        <v>-0.6558599221529969</v>
      </c>
      <c r="Q742" t="n">
        <v>-0.5389048493326682</v>
      </c>
      <c r="R742" t="n">
        <v>-1.172620121924508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</v>
      </c>
    </row>
    <row r="743">
      <c r="A743" t="inlineStr">
        <is>
          <t>2026-03-16</t>
        </is>
      </c>
      <c r="B743" t="n">
        <v>1</v>
      </c>
      <c r="C743" t="n">
        <v>2.287700771990819</v>
      </c>
      <c r="D743" t="n">
        <v>0.6627856939564885</v>
      </c>
      <c r="E743" t="n">
        <v>0.438870575009834</v>
      </c>
      <c r="F743" t="n">
        <v>0.5114065139018753</v>
      </c>
      <c r="G743" t="n">
        <v>1.204053661556517</v>
      </c>
      <c r="H743" t="n">
        <v>1.874368274755857</v>
      </c>
      <c r="I743" t="n">
        <v>0.7881254030921425</v>
      </c>
      <c r="J743" t="n">
        <v>-0.06765948474604597</v>
      </c>
      <c r="K743" t="n">
        <v>-0.1497664428833674</v>
      </c>
      <c r="L743" t="n">
        <v>0.1316982601018331</v>
      </c>
      <c r="M743" t="n">
        <v>-0.1079746375497218</v>
      </c>
      <c r="N743" t="n">
        <v>-0.180160192575284</v>
      </c>
      <c r="O743" t="n">
        <v>-0.3191853322512164</v>
      </c>
      <c r="P743" t="n">
        <v>-0.3351766071331188</v>
      </c>
      <c r="Q743" t="n">
        <v>-0.3009448500247113</v>
      </c>
      <c r="R743" t="n">
        <v>-0.2488136175062554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0.1729100673913005</v>
      </c>
      <c r="AJ743" t="n">
        <v>0.3333333333333333</v>
      </c>
    </row>
    <row r="744">
      <c r="A744" t="inlineStr">
        <is>
          <t>2026-03-17</t>
        </is>
      </c>
      <c r="B744" t="n">
        <v>1</v>
      </c>
      <c r="C744" t="n">
        <v>1.71407094344995</v>
      </c>
      <c r="D744" t="n">
        <v>1.047755978939223</v>
      </c>
      <c r="E744" t="n">
        <v>0.5545655998746757</v>
      </c>
      <c r="F744" t="n">
        <v>-0.2221154294067982</v>
      </c>
      <c r="G744" t="n">
        <v>0.585153209587989</v>
      </c>
      <c r="H744" t="n">
        <v>1.157700527169384</v>
      </c>
      <c r="I744" t="n">
        <v>1.257867561279929</v>
      </c>
      <c r="J744" t="n">
        <v>-0.06765948474604597</v>
      </c>
      <c r="K744" t="n">
        <v>-0.1497664428833674</v>
      </c>
      <c r="L744" t="n">
        <v>0.1316982601018331</v>
      </c>
      <c r="M744" t="n">
        <v>-0.1079746375497218</v>
      </c>
      <c r="N744" t="n">
        <v>-0.180160192575284</v>
      </c>
      <c r="O744" t="n">
        <v>-0.3191853322512164</v>
      </c>
      <c r="P744" t="n">
        <v>-0.3351766071331188</v>
      </c>
      <c r="Q744" t="n">
        <v>-0.3009448500247113</v>
      </c>
      <c r="R744" t="n">
        <v>-0.2488136175062554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0.696591096832611</v>
      </c>
      <c r="AJ744" t="n">
        <v>0.6666666666666666</v>
      </c>
    </row>
    <row r="745">
      <c r="A745" t="inlineStr">
        <is>
          <t>2026-03-19</t>
        </is>
      </c>
      <c r="B745" t="n">
        <v>1</v>
      </c>
      <c r="C745" t="n">
        <v>0.8975207993543969</v>
      </c>
      <c r="D745" t="n">
        <v>1.210818730746904</v>
      </c>
      <c r="E745" t="n">
        <v>0.6397705527854869</v>
      </c>
      <c r="F745" t="n">
        <v>-0.7832409767770036</v>
      </c>
      <c r="G745" t="n">
        <v>-0.1447016273919136</v>
      </c>
      <c r="H745" t="n">
        <v>0.2243962773939476</v>
      </c>
      <c r="I745" t="n">
        <v>0.8285067510357613</v>
      </c>
      <c r="J745" t="n">
        <v>1.183239916011115</v>
      </c>
      <c r="K745" t="n">
        <v>-1.173625829173956</v>
      </c>
      <c r="L745" t="n">
        <v>-3</v>
      </c>
      <c r="M745" t="n">
        <v>-0.8601279510227915</v>
      </c>
      <c r="N745" t="n">
        <v>0.1489183927717973</v>
      </c>
      <c r="O745" t="n">
        <v>-0.3583557135877219</v>
      </c>
      <c r="P745" t="n">
        <v>-0.6080822209402656</v>
      </c>
      <c r="Q745" t="n">
        <v>-0.5614075025831331</v>
      </c>
      <c r="R745" t="n">
        <v>-0.7229213815634841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0.1273544845605162</v>
      </c>
      <c r="AJ745" t="n">
        <v>0</v>
      </c>
    </row>
    <row r="746">
      <c r="A746" t="inlineStr">
        <is>
          <t>2026-03-23</t>
        </is>
      </c>
      <c r="B746" t="n">
        <v>1</v>
      </c>
      <c r="C746" t="n">
        <v>3</v>
      </c>
      <c r="D746" t="n">
        <v>1.715477236956171</v>
      </c>
      <c r="E746" t="n">
        <v>1.054339239744256</v>
      </c>
      <c r="F746" t="n">
        <v>0.1395741386616056</v>
      </c>
      <c r="G746" t="n">
        <v>1.289819775031328</v>
      </c>
      <c r="H746" t="n">
        <v>2.485649583002423</v>
      </c>
      <c r="I746" t="n">
        <v>1.231927669805073</v>
      </c>
      <c r="J746" t="n">
        <v>0.9793579192576497</v>
      </c>
      <c r="K746" t="n">
        <v>-0.1764885084514691</v>
      </c>
      <c r="L746" t="n">
        <v>-1.949858297961046</v>
      </c>
      <c r="M746" t="n">
        <v>0.2390954276919795</v>
      </c>
      <c r="N746" t="n">
        <v>2.4061324171475</v>
      </c>
      <c r="O746" t="n">
        <v>-0.193962667884692</v>
      </c>
      <c r="P746" t="n">
        <v>-0.62951297147431</v>
      </c>
      <c r="Q746" t="n">
        <v>-0.4362199295414947</v>
      </c>
      <c r="R746" t="n">
        <v>-0.6100358597448142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0.2667803768032415</v>
      </c>
      <c r="AJ746" t="n">
        <v>0.3333333333333333</v>
      </c>
    </row>
    <row r="747">
      <c r="A747" t="inlineStr">
        <is>
          <t>2026-03-24</t>
        </is>
      </c>
      <c r="B747" t="n">
        <v>1</v>
      </c>
      <c r="C747" t="n">
        <v>2.866371754347144</v>
      </c>
      <c r="D747" t="n">
        <v>1.980284613615663</v>
      </c>
      <c r="E747" t="n">
        <v>1.2368672955442</v>
      </c>
      <c r="F747" t="n">
        <v>-0.3437686403547366</v>
      </c>
      <c r="G747" t="n">
        <v>0.6373371811079918</v>
      </c>
      <c r="H747" t="n">
        <v>1.597778449177849</v>
      </c>
      <c r="I747" t="n">
        <v>1.481351262252998</v>
      </c>
      <c r="J747" t="n">
        <v>-0.06765948474604597</v>
      </c>
      <c r="K747" t="n">
        <v>-0.1497664428833674</v>
      </c>
      <c r="L747" t="n">
        <v>0.1316982601018331</v>
      </c>
      <c r="M747" t="n">
        <v>-0.1079746375497218</v>
      </c>
      <c r="N747" t="n">
        <v>-0.180160192575284</v>
      </c>
      <c r="O747" t="n">
        <v>-0.3191853322512164</v>
      </c>
      <c r="P747" t="n">
        <v>-0.3351766071331188</v>
      </c>
      <c r="Q747" t="n">
        <v>-0.3009448500247113</v>
      </c>
      <c r="R747" t="n">
        <v>-0.2488136175062554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</row>
    <row r="748">
      <c r="A748" t="inlineStr">
        <is>
          <t>2026-03-27</t>
        </is>
      </c>
      <c r="B748" t="n">
        <v>1</v>
      </c>
      <c r="C748" t="n">
        <v>2.547503255504025</v>
      </c>
      <c r="D748" t="n">
        <v>2.392137041568483</v>
      </c>
      <c r="E748" t="n">
        <v>1.714019218082633</v>
      </c>
      <c r="F748" t="n">
        <v>-0.7028629901431582</v>
      </c>
      <c r="G748" t="n">
        <v>0.01714730641045548</v>
      </c>
      <c r="H748" t="n">
        <v>0.7482641936243141</v>
      </c>
      <c r="I748" t="n">
        <v>1.737522942782202</v>
      </c>
      <c r="J748" t="n">
        <v>0.9065311870112576</v>
      </c>
      <c r="K748" t="n">
        <v>0.2173539986742076</v>
      </c>
      <c r="L748" t="n">
        <v>-0.9894542406003393</v>
      </c>
      <c r="M748" t="n">
        <v>-0.7609267366117668</v>
      </c>
      <c r="N748" t="n">
        <v>1.650166063421673</v>
      </c>
      <c r="O748" t="n">
        <v>1.838873403897679</v>
      </c>
      <c r="P748" t="n">
        <v>0.8487331356970856</v>
      </c>
      <c r="Q748" t="n">
        <v>0.7180810452639657</v>
      </c>
      <c r="R748" t="n">
        <v>-0.6637990996803825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inlineStr">
        <is>
          <t>2026-04-06</t>
        </is>
      </c>
      <c r="B749" t="n">
        <v>1</v>
      </c>
      <c r="C749" t="n">
        <v>3</v>
      </c>
      <c r="D749" t="n">
        <v>2.594745391466955</v>
      </c>
      <c r="E749" t="n">
        <v>2.066481305018304</v>
      </c>
      <c r="F749" t="n">
        <v>-0.6114670267143231</v>
      </c>
      <c r="G749" t="n">
        <v>0.03336761747761014</v>
      </c>
      <c r="H749" t="n">
        <v>0.8804095062160788</v>
      </c>
      <c r="I749" t="n">
        <v>0.5106355997096756</v>
      </c>
      <c r="J749" t="n">
        <v>-1.363739885379392</v>
      </c>
      <c r="K749" t="n">
        <v>1.561236056009496</v>
      </c>
      <c r="L749" t="n">
        <v>0.1417153481825431</v>
      </c>
      <c r="M749" t="n">
        <v>-0.07947015388155824</v>
      </c>
      <c r="N749" t="n">
        <v>3</v>
      </c>
      <c r="O749" t="n">
        <v>-0.1836919546567391</v>
      </c>
      <c r="P749" t="n">
        <v>-0.4515402640475836</v>
      </c>
      <c r="Q749" t="n">
        <v>-0.3492541708308823</v>
      </c>
      <c r="R749" t="n">
        <v>-0.5416853954528053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inlineStr">
        <is>
          <t>2026-04-07</t>
        </is>
      </c>
      <c r="B750" t="n">
        <v>1</v>
      </c>
      <c r="C750" t="n">
        <v>3</v>
      </c>
      <c r="D750" t="n">
        <v>2.697313792224295</v>
      </c>
      <c r="E750" t="n">
        <v>2.129574759783444</v>
      </c>
      <c r="F750" t="n">
        <v>-0.4963299666872319</v>
      </c>
      <c r="G750" t="n">
        <v>0.2257248701079865</v>
      </c>
      <c r="H750" t="n">
        <v>1.276484974900411</v>
      </c>
      <c r="I750" t="n">
        <v>0.3389099235549924</v>
      </c>
      <c r="J750" t="n">
        <v>-0.06765948474604597</v>
      </c>
      <c r="K750" t="n">
        <v>-0.1497664428833674</v>
      </c>
      <c r="L750" t="n">
        <v>0.1316982601018331</v>
      </c>
      <c r="M750" t="n">
        <v>-0.1079746375497218</v>
      </c>
      <c r="N750" t="n">
        <v>-0.180160192575284</v>
      </c>
      <c r="O750" t="n">
        <v>-0.3191853322512164</v>
      </c>
      <c r="P750" t="n">
        <v>-0.3351766071331188</v>
      </c>
      <c r="Q750" t="n">
        <v>-0.3009448500247113</v>
      </c>
      <c r="R750" t="n">
        <v>-0.2488136175062554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</row>
    <row r="751">
      <c r="A751" t="inlineStr">
        <is>
          <t>2026-04-13</t>
        </is>
      </c>
      <c r="B751" t="n">
        <v>1</v>
      </c>
      <c r="C751" t="n">
        <v>0.228151224106491</v>
      </c>
      <c r="D751" t="n">
        <v>2.299758893082947</v>
      </c>
      <c r="E751" t="n">
        <v>2.636851464294964</v>
      </c>
      <c r="F751" t="n">
        <v>-1.575605418001924</v>
      </c>
      <c r="G751" t="n">
        <v>-1.664770692116828</v>
      </c>
      <c r="H751" t="n">
        <v>-2.646684657810637</v>
      </c>
      <c r="I751" t="n">
        <v>-0.04208257011167361</v>
      </c>
      <c r="J751" t="n">
        <v>-0.7644292667123888</v>
      </c>
      <c r="K751" t="n">
        <v>3</v>
      </c>
      <c r="L751" t="n">
        <v>-2.021926935415136</v>
      </c>
      <c r="M751" t="n">
        <v>-1.647637455674561</v>
      </c>
      <c r="N751" t="n">
        <v>0.697142973293816</v>
      </c>
      <c r="O751" t="n">
        <v>-0.433452508436009</v>
      </c>
      <c r="P751" t="n">
        <v>-0.2116947131999698</v>
      </c>
      <c r="Q751" t="n">
        <v>-0.1831463339493882</v>
      </c>
      <c r="R751" t="n">
        <v>-0.04949729687366207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inlineStr">
        <is>
          <t>2026-04-17</t>
        </is>
      </c>
      <c r="B752" t="n">
        <v>1</v>
      </c>
      <c r="C752" t="n">
        <v>0.08271131815396253</v>
      </c>
      <c r="D752" t="n">
        <v>1.333417551504714</v>
      </c>
      <c r="E752" t="n">
        <v>2.371392272719354</v>
      </c>
      <c r="F752" t="n">
        <v>-1.272146476033221</v>
      </c>
      <c r="G752" t="n">
        <v>-1.65047053571885</v>
      </c>
      <c r="H752" t="n">
        <v>-2.506253338069429</v>
      </c>
      <c r="I752" t="n">
        <v>-0.7840585601104085</v>
      </c>
      <c r="J752" t="n">
        <v>0.002256954269375758</v>
      </c>
      <c r="K752" t="n">
        <v>0.08956106642227633</v>
      </c>
      <c r="L752" t="n">
        <v>-0.02434216774501418</v>
      </c>
      <c r="M752" t="n">
        <v>-0.6216414652537078</v>
      </c>
      <c r="N752" t="n">
        <v>0.04391735804662798</v>
      </c>
      <c r="O752" t="n">
        <v>0.7754352740042647</v>
      </c>
      <c r="P752" t="n">
        <v>-0.3600996683929415</v>
      </c>
      <c r="Q752" t="n">
        <v>-0.3517469125173037</v>
      </c>
      <c r="R752" t="n">
        <v>-1.406652018701315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inlineStr">
        <is>
          <t>2026-04-20</t>
        </is>
      </c>
      <c r="B753" t="n">
        <v>1</v>
      </c>
      <c r="C753" t="n">
        <v>0.4256028143366938</v>
      </c>
      <c r="D753" t="n">
        <v>1.258703298468023</v>
      </c>
      <c r="E753" t="n">
        <v>2.353417089094557</v>
      </c>
      <c r="F753" t="n">
        <v>-1.058016293623947</v>
      </c>
      <c r="G753" t="n">
        <v>-1.472975391029377</v>
      </c>
      <c r="H753" t="n">
        <v>-2.133789856617056</v>
      </c>
      <c r="I753" t="n">
        <v>-0.9773930622827435</v>
      </c>
      <c r="J753" t="n">
        <v>0.895178001307339</v>
      </c>
      <c r="K753" t="n">
        <v>0.7698644175534888</v>
      </c>
      <c r="L753" t="n">
        <v>-0.2345825297068505</v>
      </c>
      <c r="M753" t="n">
        <v>-0.5433661368737241</v>
      </c>
      <c r="N753" t="n">
        <v>-0.09950871286955201</v>
      </c>
      <c r="O753" t="n">
        <v>0.4726861862754562</v>
      </c>
      <c r="P753" t="n">
        <v>-0.1991981118017694</v>
      </c>
      <c r="Q753" t="n">
        <v>-0.1223596979766061</v>
      </c>
      <c r="R753" t="n">
        <v>0.118991079872388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inlineStr">
        <is>
          <t>2026-04-21</t>
        </is>
      </c>
      <c r="B754" t="n">
        <v>1</v>
      </c>
      <c r="C754" t="n">
        <v>0.8271260972910096</v>
      </c>
      <c r="D754" t="n">
        <v>1.246000211490466</v>
      </c>
      <c r="E754" t="n">
        <v>2.335541307845606</v>
      </c>
      <c r="F754" t="n">
        <v>-0.8421914825096579</v>
      </c>
      <c r="G754" t="n">
        <v>-1.264778115902812</v>
      </c>
      <c r="H754" t="n">
        <v>-1.701105353135691</v>
      </c>
      <c r="I754" t="n">
        <v>-1.042993923916343</v>
      </c>
      <c r="J754" t="n">
        <v>-0.06765948474604597</v>
      </c>
      <c r="K754" t="n">
        <v>-0.1497664428833674</v>
      </c>
      <c r="L754" t="n">
        <v>0.1316982601018331</v>
      </c>
      <c r="M754" t="n">
        <v>-0.1079746375497218</v>
      </c>
      <c r="N754" t="n">
        <v>-0.180160192575284</v>
      </c>
      <c r="O754" t="n">
        <v>-0.3191853322512164</v>
      </c>
      <c r="P754" t="n">
        <v>-0.3351766071331188</v>
      </c>
      <c r="Q754" t="n">
        <v>-0.3009448500247113</v>
      </c>
      <c r="R754" t="n">
        <v>-0.2488136175062554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0.5324133651400431</v>
      </c>
      <c r="AJ754" t="n">
        <v>0.3333333333333333</v>
      </c>
    </row>
    <row r="755">
      <c r="A755" t="inlineStr">
        <is>
          <t>2026-04-22</t>
        </is>
      </c>
      <c r="B755" t="n">
        <v>1</v>
      </c>
      <c r="C755" t="n">
        <v>0.3778957148964699</v>
      </c>
      <c r="D755" t="n">
        <v>1.225694697935727</v>
      </c>
      <c r="E755" t="n">
        <v>2.35647529715785</v>
      </c>
      <c r="F755" t="n">
        <v>-1.064584709006976</v>
      </c>
      <c r="G755" t="n">
        <v>-1.497949979732738</v>
      </c>
      <c r="H755" t="n">
        <v>-2.186220341083251</v>
      </c>
      <c r="I755" t="n">
        <v>-1.380462060082502</v>
      </c>
      <c r="J755" t="n">
        <v>1.423591529072449</v>
      </c>
      <c r="K755" t="n">
        <v>-0.3387973713752791</v>
      </c>
      <c r="L755" t="n">
        <v>-0.7894290930620012</v>
      </c>
      <c r="M755" t="n">
        <v>-1.185660613761205</v>
      </c>
      <c r="N755" t="n">
        <v>-0.359442781220509</v>
      </c>
      <c r="O755" t="n">
        <v>-0.08617158104692173</v>
      </c>
      <c r="P755" t="n">
        <v>-0.4527273419195853</v>
      </c>
      <c r="Q755" t="n">
        <v>-0.6072737614802107</v>
      </c>
      <c r="R755" t="n">
        <v>-0.4713042937835022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0.2726961824953469</v>
      </c>
      <c r="AJ755" t="n">
        <v>0</v>
      </c>
    </row>
    <row r="756">
      <c r="A756" t="inlineStr">
        <is>
          <t>2026-04-23</t>
        </is>
      </c>
      <c r="B756" t="n">
        <v>1</v>
      </c>
      <c r="C756" t="n">
        <v>0.4155791249383816</v>
      </c>
      <c r="D756" t="n">
        <v>1.42169342583947</v>
      </c>
      <c r="E756" t="n">
        <v>1.881469462001745</v>
      </c>
      <c r="F756" t="n">
        <v>-1.148761721670638</v>
      </c>
      <c r="G756" t="n">
        <v>-1.286834767394649</v>
      </c>
      <c r="H756" t="n">
        <v>-1.628378882274096</v>
      </c>
      <c r="I756" t="n">
        <v>-1.244806236806599</v>
      </c>
      <c r="J756" t="n">
        <v>0.7002633782202498</v>
      </c>
      <c r="K756" t="n">
        <v>-0.240949103260534</v>
      </c>
      <c r="L756" t="n">
        <v>-1.825337163846973</v>
      </c>
      <c r="M756" t="n">
        <v>0.1127984250856867</v>
      </c>
      <c r="N756" t="n">
        <v>-0.01628871470185432</v>
      </c>
      <c r="O756" t="n">
        <v>-0.6939048380070427</v>
      </c>
      <c r="P756" t="n">
        <v>-0.6669316951014527</v>
      </c>
      <c r="Q756" t="n">
        <v>-0.5393716243848671</v>
      </c>
      <c r="R756" t="n">
        <v>-0.4056655146198939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0.04986990257467066</v>
      </c>
      <c r="AJ756" t="n">
        <v>0</v>
      </c>
    </row>
    <row r="757">
      <c r="A757" t="inlineStr">
        <is>
          <t>2026-04-27</t>
        </is>
      </c>
      <c r="B757" t="n">
        <v>1</v>
      </c>
      <c r="C757" t="n">
        <v>0.8419833745408869</v>
      </c>
      <c r="D757" t="n">
        <v>0.2480026729034343</v>
      </c>
      <c r="E757" t="n">
        <v>1.596829508191975</v>
      </c>
      <c r="F757" t="n">
        <v>0.04397454263925629</v>
      </c>
      <c r="G757" t="n">
        <v>-0.8984540214399662</v>
      </c>
      <c r="H757" t="n">
        <v>-0.8785840086379152</v>
      </c>
      <c r="I757" t="n">
        <v>-0.9351855986503297</v>
      </c>
      <c r="J757" t="n">
        <v>-0.06765948474604597</v>
      </c>
      <c r="K757" t="n">
        <v>-0.1497664428833674</v>
      </c>
      <c r="L757" t="n">
        <v>0.1316982601018331</v>
      </c>
      <c r="M757" t="n">
        <v>-0.1079746375497218</v>
      </c>
      <c r="N757" t="n">
        <v>-0.180160192575284</v>
      </c>
      <c r="O757" t="n">
        <v>-0.3191853322512164</v>
      </c>
      <c r="P757" t="n">
        <v>-0.3351766071331188</v>
      </c>
      <c r="Q757" t="n">
        <v>-0.3009448500247113</v>
      </c>
      <c r="R757" t="n">
        <v>-0.2488136175062554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</row>
    <row r="758">
      <c r="A758" t="inlineStr">
        <is>
          <t>2026-04-28</t>
        </is>
      </c>
      <c r="B758" t="n">
        <v>1</v>
      </c>
      <c r="C758" t="n">
        <v>0.4589728391918838</v>
      </c>
      <c r="D758" t="n">
        <v>0.199358801169959</v>
      </c>
      <c r="E758" t="n">
        <v>1.48769984160973</v>
      </c>
      <c r="F758" t="n">
        <v>-0.1826336494444022</v>
      </c>
      <c r="G758" t="n">
        <v>-1.06690943187711</v>
      </c>
      <c r="H758" t="n">
        <v>-1.153433350128905</v>
      </c>
      <c r="I758" t="n">
        <v>-0.5957803382607714</v>
      </c>
      <c r="J758" t="n">
        <v>-0.06765948474604597</v>
      </c>
      <c r="K758" t="n">
        <v>-0.1497664428833674</v>
      </c>
      <c r="L758" t="n">
        <v>0.1316982601018331</v>
      </c>
      <c r="M758" t="n">
        <v>-0.1079746375497218</v>
      </c>
      <c r="N758" t="n">
        <v>-0.180160192575284</v>
      </c>
      <c r="O758" t="n">
        <v>-0.3191853322512164</v>
      </c>
      <c r="P758" t="n">
        <v>-0.3351766071331188</v>
      </c>
      <c r="Q758" t="n">
        <v>-0.3009448500247113</v>
      </c>
      <c r="R758" t="n">
        <v>-0.2488136175062554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</row>
    <row r="759">
      <c r="A759" t="inlineStr">
        <is>
          <t>2026-04-30</t>
        </is>
      </c>
      <c r="B759" t="n">
        <v>1</v>
      </c>
      <c r="C759" t="n">
        <v>0.3263621070840921</v>
      </c>
      <c r="D759" t="n">
        <v>-0.1688832117286943</v>
      </c>
      <c r="E759" t="n">
        <v>1.139140508790382</v>
      </c>
      <c r="F759" t="n">
        <v>0.2141074205223589</v>
      </c>
      <c r="G759" t="n">
        <v>-0.9468231669279715</v>
      </c>
      <c r="H759" t="n">
        <v>-0.9089929377513815</v>
      </c>
      <c r="I759" t="n">
        <v>-0.634241717519521</v>
      </c>
      <c r="J759" t="n">
        <v>0.6314693936716065</v>
      </c>
      <c r="K759" t="n">
        <v>-0.9981050185655334</v>
      </c>
      <c r="L759" t="n">
        <v>-1.966574749972631</v>
      </c>
      <c r="M759" t="n">
        <v>-0.4393225362073681</v>
      </c>
      <c r="N759" t="n">
        <v>-0.05964530633984007</v>
      </c>
      <c r="O759" t="n">
        <v>-0.7603145721389113</v>
      </c>
      <c r="P759" t="n">
        <v>-0.6286476399153506</v>
      </c>
      <c r="Q759" t="n">
        <v>-0.2939714638733897</v>
      </c>
      <c r="R759" t="n">
        <v>-0.6906296304206104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inlineStr">
        <is>
          <t>2026-05-04</t>
        </is>
      </c>
      <c r="B760" t="n">
        <v>1</v>
      </c>
      <c r="C760" t="n">
        <v>0.5717667815056131</v>
      </c>
      <c r="D760" t="n">
        <v>-0.115209820845335</v>
      </c>
      <c r="E760" t="n">
        <v>0.8548226081088786</v>
      </c>
      <c r="F760" t="n">
        <v>0.3442450565424071</v>
      </c>
      <c r="G760" t="n">
        <v>-0.5762850364438754</v>
      </c>
      <c r="H760" t="n">
        <v>-0.3457909476797721</v>
      </c>
      <c r="I760" t="n">
        <v>-0.580907154522853</v>
      </c>
      <c r="J760" t="n">
        <v>-0.06765948474604597</v>
      </c>
      <c r="K760" t="n">
        <v>-0.1497664428833674</v>
      </c>
      <c r="L760" t="n">
        <v>0.1316982601018331</v>
      </c>
      <c r="M760" t="n">
        <v>-0.1079746375497218</v>
      </c>
      <c r="N760" t="n">
        <v>-0.180160192575284</v>
      </c>
      <c r="O760" t="n">
        <v>-0.3191853322512164</v>
      </c>
      <c r="P760" t="n">
        <v>-0.3351766071331188</v>
      </c>
      <c r="Q760" t="n">
        <v>-0.3009448500247113</v>
      </c>
      <c r="R760" t="n">
        <v>-0.2488136175062554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0.001290652755900131</v>
      </c>
      <c r="AJ760" t="n">
        <v>0.3333333333333333</v>
      </c>
    </row>
    <row r="761">
      <c r="A761" t="inlineStr">
        <is>
          <t>2026-05-05</t>
        </is>
      </c>
      <c r="B761" t="n">
        <v>1</v>
      </c>
      <c r="C761" t="n">
        <v>-0.5154937342487114</v>
      </c>
      <c r="D761" t="n">
        <v>-0.1615644927582882</v>
      </c>
      <c r="E761" t="n">
        <v>0.7544837521065425</v>
      </c>
      <c r="F761" t="n">
        <v>-0.5484168821117905</v>
      </c>
      <c r="G761" t="n">
        <v>-1.300668350738038</v>
      </c>
      <c r="H761" t="n">
        <v>-1.354890161825262</v>
      </c>
      <c r="I761" t="n">
        <v>-0.8561792950843458</v>
      </c>
      <c r="J761" t="n">
        <v>-2.316708751335721</v>
      </c>
      <c r="K761" t="n">
        <v>3</v>
      </c>
      <c r="L761" t="n">
        <v>-0.9165292035507023</v>
      </c>
      <c r="M761" t="n">
        <v>-1.455028209023573</v>
      </c>
      <c r="N761" t="n">
        <v>1.251121035170639</v>
      </c>
      <c r="O761" t="n">
        <v>-0.48491197230525</v>
      </c>
      <c r="P761" t="n">
        <v>-0.1062408434696457</v>
      </c>
      <c r="Q761" t="n">
        <v>-0.4128539294592257</v>
      </c>
      <c r="R761" t="n">
        <v>0.1829205452833449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0.5876987948250705</v>
      </c>
      <c r="AJ761" t="n">
        <v>0.6666666666666666</v>
      </c>
    </row>
    <row r="762">
      <c r="A762" t="inlineStr">
        <is>
          <t>2026-05-08</t>
        </is>
      </c>
      <c r="B762" t="n">
        <v>1</v>
      </c>
      <c r="C762" t="n">
        <v>-0.1244802897574493</v>
      </c>
      <c r="D762" t="n">
        <v>-0.08469668266205579</v>
      </c>
      <c r="E762" t="n">
        <v>0.8072195547904986</v>
      </c>
      <c r="F762" t="n">
        <v>-0.3022037108793357</v>
      </c>
      <c r="G762" t="n">
        <v>-1.046247363871013</v>
      </c>
      <c r="H762" t="n">
        <v>-1.010181271249076</v>
      </c>
      <c r="I762" t="n">
        <v>-0.649364115870859</v>
      </c>
      <c r="J762" t="n">
        <v>-0.295175420365986</v>
      </c>
      <c r="K762" t="n">
        <v>-0.1466631698600644</v>
      </c>
      <c r="L762" t="n">
        <v>-1.306878962265567</v>
      </c>
      <c r="M762" t="n">
        <v>-0.1956069090065997</v>
      </c>
      <c r="N762" t="n">
        <v>0.00816358105606173</v>
      </c>
      <c r="O762" t="n">
        <v>-0.1937837999215377</v>
      </c>
      <c r="P762" t="n">
        <v>-0.7471467536602041</v>
      </c>
      <c r="Q762" t="n">
        <v>-0.5855026033528905</v>
      </c>
      <c r="R762" t="n">
        <v>0.002074323803878468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0.08028327260995866</v>
      </c>
      <c r="AJ762" t="n">
        <v>0</v>
      </c>
    </row>
    <row r="763">
      <c r="A763" t="inlineStr">
        <is>
          <t>2026-05-12</t>
        </is>
      </c>
      <c r="B763" t="n">
        <v>1</v>
      </c>
      <c r="C763" t="n">
        <v>-0.6098846165330201</v>
      </c>
      <c r="D763" t="n">
        <v>0.03028232839975594</v>
      </c>
      <c r="E763" t="n">
        <v>0.007071979541564133</v>
      </c>
      <c r="F763" t="n">
        <v>-0.836417885853479</v>
      </c>
      <c r="G763" t="n">
        <v>-0.8159276454674004</v>
      </c>
      <c r="H763" t="n">
        <v>-0.6352736107410399</v>
      </c>
      <c r="I763" t="n">
        <v>0.6047373792104573</v>
      </c>
      <c r="J763" t="n">
        <v>-2.360832628969908</v>
      </c>
      <c r="K763" t="n">
        <v>3</v>
      </c>
      <c r="L763" t="n">
        <v>-0.8070328725459144</v>
      </c>
      <c r="M763" t="n">
        <v>-0.1682031979108349</v>
      </c>
      <c r="N763" t="n">
        <v>1.153722815092888</v>
      </c>
      <c r="O763" t="n">
        <v>0.265146107447334</v>
      </c>
      <c r="P763" t="n">
        <v>-0.2001210854086744</v>
      </c>
      <c r="Q763" t="n">
        <v>0.1728759544731497</v>
      </c>
      <c r="R763" t="n">
        <v>-0.596583352437034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inlineStr">
        <is>
          <t>2026-05-13</t>
        </is>
      </c>
      <c r="B764" t="n">
        <v>1</v>
      </c>
      <c r="C764" t="n">
        <v>0.4442743882344706</v>
      </c>
      <c r="D764" t="n">
        <v>0.2861723497498572</v>
      </c>
      <c r="E764" t="n">
        <v>0.1607190599631383</v>
      </c>
      <c r="F764" t="n">
        <v>-0.2919432725577637</v>
      </c>
      <c r="G764" t="n">
        <v>-0.002887219992369903</v>
      </c>
      <c r="H764" t="n">
        <v>0.2815125074162037</v>
      </c>
      <c r="I764" t="n">
        <v>1.051478297526612</v>
      </c>
      <c r="J764" t="n">
        <v>0.01533261397323468</v>
      </c>
      <c r="K764" t="n">
        <v>-0.2030564193116566</v>
      </c>
      <c r="L764" t="n">
        <v>0.6170098252298215</v>
      </c>
      <c r="M764" t="n">
        <v>0.3349913552824274</v>
      </c>
      <c r="N764" t="n">
        <v>0.38275631354918</v>
      </c>
      <c r="O764" t="n">
        <v>0.7080969504866378</v>
      </c>
      <c r="P764" t="n">
        <v>-0.4456239085668993</v>
      </c>
      <c r="Q764" t="n">
        <v>-0.5050093250260034</v>
      </c>
      <c r="R764" t="n">
        <v>-0.0791300363591719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inlineStr">
        <is>
          <t>2026-05-15</t>
        </is>
      </c>
      <c r="B765" t="n">
        <v>1</v>
      </c>
      <c r="C765" t="n">
        <v>0.1458400414372681</v>
      </c>
      <c r="D765" t="n">
        <v>0.3549182732659121</v>
      </c>
      <c r="E765" t="n">
        <v>-0.01618066146096016</v>
      </c>
      <c r="F765" t="n">
        <v>-0.5757012926382751</v>
      </c>
      <c r="G765" t="n">
        <v>-0.06360663269680569</v>
      </c>
      <c r="H765" t="n">
        <v>0.1677448348060023</v>
      </c>
      <c r="I765" t="n">
        <v>0.9637937744317568</v>
      </c>
      <c r="J765" t="n">
        <v>-0.3662655030264815</v>
      </c>
      <c r="K765" t="n">
        <v>-0.5260115809290994</v>
      </c>
      <c r="L765" t="n">
        <v>0.3432452207198207</v>
      </c>
      <c r="M765" t="n">
        <v>-1.399922531596744</v>
      </c>
      <c r="N765" t="n">
        <v>0.3272763147707153</v>
      </c>
      <c r="O765" t="n">
        <v>0.05691177301822502</v>
      </c>
      <c r="P765" t="n">
        <v>-0.6634571228102349</v>
      </c>
      <c r="Q765" t="n">
        <v>-0.5902269435735124</v>
      </c>
      <c r="R765" t="n">
        <v>-0.01345824747849202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0.5210877691235024</v>
      </c>
      <c r="AJ765" t="n">
        <v>0.3333333333333333</v>
      </c>
    </row>
    <row r="766">
      <c r="A766" t="inlineStr">
        <is>
          <t>2026-05-18</t>
        </is>
      </c>
      <c r="B766" t="n">
        <v>1</v>
      </c>
      <c r="C766" t="n">
        <v>0.6126490604204038</v>
      </c>
      <c r="D766" t="n">
        <v>0.3313502840647283</v>
      </c>
      <c r="E766" t="n">
        <v>-0.01481271188985238</v>
      </c>
      <c r="F766" t="n">
        <v>-0.2202275717328194</v>
      </c>
      <c r="G766" t="n">
        <v>0.3852464642011474</v>
      </c>
      <c r="H766" t="n">
        <v>0.6465768608428852</v>
      </c>
      <c r="I766" t="n">
        <v>0.9840509646971541</v>
      </c>
      <c r="J766" t="n">
        <v>-0.03536789086956907</v>
      </c>
      <c r="K766" t="n">
        <v>0.69348004683196</v>
      </c>
      <c r="L766" t="n">
        <v>-1.223687656983513</v>
      </c>
      <c r="M766" t="n">
        <v>0.2925195132375206</v>
      </c>
      <c r="N766" t="n">
        <v>0.5767308277968509</v>
      </c>
      <c r="O766" t="n">
        <v>0.001374294483689644</v>
      </c>
      <c r="P766" t="n">
        <v>-0.5229035353207858</v>
      </c>
      <c r="Q766" t="n">
        <v>-0.5916012187692354</v>
      </c>
      <c r="R766" t="n">
        <v>-0.0577997203009858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0.5064555247688501</v>
      </c>
      <c r="AJ766" t="n">
        <v>0</v>
      </c>
    </row>
    <row r="767">
      <c r="A767" t="inlineStr">
        <is>
          <t>2026-05-19</t>
        </is>
      </c>
      <c r="B767" t="n">
        <v>1</v>
      </c>
      <c r="C767" t="n">
        <v>-0.3025615733181041</v>
      </c>
      <c r="D767" t="n">
        <v>0.2767108628087217</v>
      </c>
      <c r="E767" t="n">
        <v>-0.06939899857672926</v>
      </c>
      <c r="F767" t="n">
        <v>-0.8263607012901377</v>
      </c>
      <c r="G767" t="n">
        <v>-0.437288550497992</v>
      </c>
      <c r="H767" t="n">
        <v>-0.2354867777390483</v>
      </c>
      <c r="I767" t="n">
        <v>0.6496895811855938</v>
      </c>
      <c r="J767" t="n">
        <v>-2.170449649536962</v>
      </c>
      <c r="K767" t="n">
        <v>3</v>
      </c>
      <c r="L767" t="n">
        <v>0.6671574047977004</v>
      </c>
      <c r="M767" t="n">
        <v>-0.1737301734578667</v>
      </c>
      <c r="N767" t="n">
        <v>1.40050606891858</v>
      </c>
      <c r="O767" t="n">
        <v>-0.04882343955644437</v>
      </c>
      <c r="P767" t="n">
        <v>0.356189553952587</v>
      </c>
      <c r="Q767" t="n">
        <v>-0.414808048702353</v>
      </c>
      <c r="R767" t="n">
        <v>-1.032320636566844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0.3095416669604553</v>
      </c>
      <c r="AJ767" t="n">
        <v>0</v>
      </c>
    </row>
    <row r="768">
      <c r="A768" t="inlineStr">
        <is>
          <t>2026-05-26</t>
        </is>
      </c>
      <c r="B768" t="n">
        <v>1</v>
      </c>
      <c r="C768" t="n">
        <v>-0.1291949915995643</v>
      </c>
      <c r="D768" t="n">
        <v>-0.05282887854230927</v>
      </c>
      <c r="E768" t="n">
        <v>-0.1624930894209093</v>
      </c>
      <c r="F768" t="n">
        <v>-0.3464689522149447</v>
      </c>
      <c r="G768" t="n">
        <v>-0.1494852275714846</v>
      </c>
      <c r="H768" t="n">
        <v>0.04462953825693535</v>
      </c>
      <c r="I768" t="n">
        <v>-0.5684179388555856</v>
      </c>
      <c r="J768" t="n">
        <v>-0.06765948474604597</v>
      </c>
      <c r="K768" t="n">
        <v>-0.1497664428833674</v>
      </c>
      <c r="L768" t="n">
        <v>0.1316982601018331</v>
      </c>
      <c r="M768" t="n">
        <v>-0.1079746375497218</v>
      </c>
      <c r="N768" t="n">
        <v>-0.180160192575284</v>
      </c>
      <c r="O768" t="n">
        <v>-0.3191853322512164</v>
      </c>
      <c r="P768" t="n">
        <v>-0.3351766071331188</v>
      </c>
      <c r="Q768" t="n">
        <v>-0.3009448500247113</v>
      </c>
      <c r="R768" t="n">
        <v>-0.2488136175062554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0.05913187546029804</v>
      </c>
      <c r="AJ768" t="n">
        <v>0</v>
      </c>
    </row>
    <row r="769">
      <c r="A769" t="inlineStr">
        <is>
          <t>2026-05-27</t>
        </is>
      </c>
      <c r="B769" t="n">
        <v>1</v>
      </c>
      <c r="C769" t="n">
        <v>-0.4538864447854316</v>
      </c>
      <c r="D769" t="n">
        <v>-0.7025088762588575</v>
      </c>
      <c r="E769" t="n">
        <v>-0.2021088140712707</v>
      </c>
      <c r="F769" t="n">
        <v>0.4290360168316595</v>
      </c>
      <c r="G769" t="n">
        <v>-0.4352519502356146</v>
      </c>
      <c r="H769" t="n">
        <v>-0.246173891068157</v>
      </c>
      <c r="I769" t="n">
        <v>-0.2301070610260743</v>
      </c>
      <c r="J769" t="n">
        <v>0.09406139285198306</v>
      </c>
      <c r="K769" t="n">
        <v>-0.08786118682655597</v>
      </c>
      <c r="L769" t="n">
        <v>-0.1801014727474314</v>
      </c>
      <c r="M769" t="n">
        <v>-0.2350147767403591</v>
      </c>
      <c r="N769" t="n">
        <v>-0.5127319630306385</v>
      </c>
      <c r="O769" t="n">
        <v>-0.5973794577517513</v>
      </c>
      <c r="P769" t="n">
        <v>-0.7487167488220264</v>
      </c>
      <c r="Q769" t="n">
        <v>-0.6051013160900804</v>
      </c>
      <c r="R769" t="n">
        <v>-0.8440139242420148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inlineStr">
        <is>
          <t>2026-06-01</t>
        </is>
      </c>
      <c r="B770" t="n">
        <v>1</v>
      </c>
      <c r="C770" t="n">
        <v>0.206653400858329</v>
      </c>
      <c r="D770" t="n">
        <v>-0.633328134089428</v>
      </c>
      <c r="E770" t="n">
        <v>-0.2230780252226586</v>
      </c>
      <c r="F770" t="n">
        <v>1.048729338266895</v>
      </c>
      <c r="G770" t="n">
        <v>0.2845441048576965</v>
      </c>
      <c r="H770" t="n">
        <v>0.4564081442102661</v>
      </c>
      <c r="I770" t="n">
        <v>0.3935384738971564</v>
      </c>
      <c r="J770" t="n">
        <v>-0.06765948474604597</v>
      </c>
      <c r="K770" t="n">
        <v>-0.1497664428833674</v>
      </c>
      <c r="L770" t="n">
        <v>0.1316982601018331</v>
      </c>
      <c r="M770" t="n">
        <v>-0.1079746375497218</v>
      </c>
      <c r="N770" t="n">
        <v>-0.180160192575284</v>
      </c>
      <c r="O770" t="n">
        <v>-0.3191853322512164</v>
      </c>
      <c r="P770" t="n">
        <v>-0.3351766071331188</v>
      </c>
      <c r="Q770" t="n">
        <v>-0.3009448500247113</v>
      </c>
      <c r="R770" t="n">
        <v>-0.2488136175062554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</row>
    <row r="771">
      <c r="A771" t="inlineStr">
        <is>
          <t>2026-06-02</t>
        </is>
      </c>
      <c r="B771" t="n">
        <v>1</v>
      </c>
      <c r="C771" t="n">
        <v>-0.8630055393197853</v>
      </c>
      <c r="D771" t="n">
        <v>-0.3474902185923596</v>
      </c>
      <c r="E771" t="n">
        <v>-0.1312440441228783</v>
      </c>
      <c r="F771" t="n">
        <v>-0.6425171211495998</v>
      </c>
      <c r="G771" t="n">
        <v>-0.9318983534769119</v>
      </c>
      <c r="H771" t="n">
        <v>-0.7445783499634896</v>
      </c>
      <c r="I771" t="n">
        <v>0.7111073835573604</v>
      </c>
      <c r="J771" t="n">
        <v>-1.42333405377677</v>
      </c>
      <c r="K771" t="n">
        <v>3</v>
      </c>
      <c r="L771" t="n">
        <v>-1.208067225501629</v>
      </c>
      <c r="M771" t="n">
        <v>-0.8868734178032567</v>
      </c>
      <c r="N771" t="n">
        <v>-0.1124540459178604</v>
      </c>
      <c r="O771" t="n">
        <v>-0.6797972969152648</v>
      </c>
      <c r="P771" t="n">
        <v>-0.3633245738055753</v>
      </c>
      <c r="Q771" t="n">
        <v>-0.5621127115121263</v>
      </c>
      <c r="R771" t="n">
        <v>-0.07018931791765988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0.04676628563186871</v>
      </c>
      <c r="AJ771" t="n">
        <v>0.3333333333333333</v>
      </c>
    </row>
    <row r="772">
      <c r="A772" t="inlineStr">
        <is>
          <t>2026-06-05</t>
        </is>
      </c>
      <c r="B772" t="n">
        <v>1</v>
      </c>
      <c r="C772" t="n">
        <v>-0.0954399888520221</v>
      </c>
      <c r="D772" t="n">
        <v>-0.2862815756946179</v>
      </c>
      <c r="E772" t="n">
        <v>-0.3549024095883039</v>
      </c>
      <c r="F772" t="n">
        <v>0.01251816321675144</v>
      </c>
      <c r="G772" t="n">
        <v>0.1607352378466353</v>
      </c>
      <c r="H772" t="n">
        <v>0.2896189983056994</v>
      </c>
      <c r="I772" t="n">
        <v>-0.08328460216476773</v>
      </c>
      <c r="J772" t="n">
        <v>-1.041751103711137</v>
      </c>
      <c r="K772" t="n">
        <v>-0.6923966862501201</v>
      </c>
      <c r="L772" t="n">
        <v>0.6518145242588016</v>
      </c>
      <c r="M772" t="n">
        <v>-1.04822085249642</v>
      </c>
      <c r="N772" t="n">
        <v>0.5442647544376015</v>
      </c>
      <c r="O772" t="n">
        <v>-0.6455353988707677</v>
      </c>
      <c r="P772" t="n">
        <v>-0.6780085018533084</v>
      </c>
      <c r="Q772" t="n">
        <v>-0.4456448579896176</v>
      </c>
      <c r="R772" t="n">
        <v>0.04660190223080774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0.3036274680579906</v>
      </c>
      <c r="AJ772" t="n">
        <v>0.6666666666666666</v>
      </c>
    </row>
    <row r="773">
      <c r="A773" t="inlineStr">
        <is>
          <t>2026-06-09</t>
        </is>
      </c>
      <c r="B773" t="n">
        <v>1</v>
      </c>
      <c r="C773" t="n">
        <v>-0.7211117226873913</v>
      </c>
      <c r="D773" t="n">
        <v>-0.1669040829765046</v>
      </c>
      <c r="E773" t="n">
        <v>-0.2742453387581666</v>
      </c>
      <c r="F773" t="n">
        <v>-0.7258327184655471</v>
      </c>
      <c r="G773" t="n">
        <v>-0.6328220021477571</v>
      </c>
      <c r="H773" t="n">
        <v>-0.442309649885467</v>
      </c>
      <c r="I773" t="n">
        <v>-0.4344254877655945</v>
      </c>
      <c r="J773" t="n">
        <v>-2.60038379321047</v>
      </c>
      <c r="K773" t="n">
        <v>3</v>
      </c>
      <c r="L773" t="n">
        <v>0.9109305762141238</v>
      </c>
      <c r="M773" t="n">
        <v>0.1301414387561856</v>
      </c>
      <c r="N773" t="n">
        <v>1.289340589884693</v>
      </c>
      <c r="O773" t="n">
        <v>-0.7025695100152902</v>
      </c>
      <c r="P773" t="n">
        <v>0.7104823869295585</v>
      </c>
      <c r="Q773" t="n">
        <v>0.8696072101611159</v>
      </c>
      <c r="R773" t="n">
        <v>0.4444378204508068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0.1472176032070759</v>
      </c>
      <c r="AJ773" t="n">
        <v>0</v>
      </c>
    </row>
    <row r="774">
      <c r="A774" t="inlineStr">
        <is>
          <t>2026-06-11</t>
        </is>
      </c>
      <c r="B774" t="n">
        <v>1</v>
      </c>
      <c r="C774" t="n">
        <v>-0.2543021479135728</v>
      </c>
      <c r="D774" t="n">
        <v>-0.5099208900973975</v>
      </c>
      <c r="E774" t="n">
        <v>-0.6722148402380907</v>
      </c>
      <c r="F774" t="n">
        <v>0.2462593979195865</v>
      </c>
      <c r="G774" t="n">
        <v>0.531186443257771</v>
      </c>
      <c r="H774" t="n">
        <v>0.4729024676710877</v>
      </c>
      <c r="I774" t="n">
        <v>0.1918465894573586</v>
      </c>
      <c r="J774" t="n">
        <v>0.3087809991195497</v>
      </c>
      <c r="K774" t="n">
        <v>-0.2096580797656813</v>
      </c>
      <c r="L774" t="n">
        <v>-1.022073693979643</v>
      </c>
      <c r="M774" t="n">
        <v>0.3962588139494115</v>
      </c>
      <c r="N774" t="n">
        <v>-0.4239639649850945</v>
      </c>
      <c r="O774" t="n">
        <v>0.0009023916038376627</v>
      </c>
      <c r="P774" t="n">
        <v>-0.2558498260644048</v>
      </c>
      <c r="Q774" t="n">
        <v>-0.2841963941663482</v>
      </c>
      <c r="R774" t="n">
        <v>-0.5284860475306551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inlineStr">
        <is>
          <t>2026-06-16</t>
        </is>
      </c>
      <c r="B775" t="n">
        <v>1</v>
      </c>
      <c r="C775" t="n">
        <v>-0.3170598069048066</v>
      </c>
      <c r="D775" t="n">
        <v>0.0939157088211241</v>
      </c>
      <c r="E775" t="n">
        <v>-0.2539627512758651</v>
      </c>
      <c r="F775" t="n">
        <v>-0.665093137011358</v>
      </c>
      <c r="G775" t="n">
        <v>-0.2256624703533747</v>
      </c>
      <c r="H775" t="n">
        <v>-0.0487211832599022</v>
      </c>
      <c r="I775" t="n">
        <v>0.7540080041294959</v>
      </c>
      <c r="J775" t="n">
        <v>-0.06765948474604597</v>
      </c>
      <c r="K775" t="n">
        <v>-0.1497664428833674</v>
      </c>
      <c r="L775" t="n">
        <v>0.1316982601018331</v>
      </c>
      <c r="M775" t="n">
        <v>-0.1079746375497218</v>
      </c>
      <c r="N775" t="n">
        <v>-0.180160192575284</v>
      </c>
      <c r="O775" t="n">
        <v>-0.3191853322512164</v>
      </c>
      <c r="P775" t="n">
        <v>-0.3351766071331188</v>
      </c>
      <c r="Q775" t="n">
        <v>-0.3009448500247113</v>
      </c>
      <c r="R775" t="n">
        <v>-0.2488136175062554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</row>
    <row r="776">
      <c r="A776" t="inlineStr">
        <is>
          <t>2026-06-18</t>
        </is>
      </c>
      <c r="B776" t="n">
        <v>1</v>
      </c>
      <c r="C776" t="n">
        <v>-0.8539425452659642</v>
      </c>
      <c r="D776" t="n">
        <v>0.04171651806781321</v>
      </c>
      <c r="E776" t="n">
        <v>-0.2387134932816269</v>
      </c>
      <c r="F776" t="n">
        <v>-1.044722824195826</v>
      </c>
      <c r="G776" t="n">
        <v>-0.8138241077071569</v>
      </c>
      <c r="H776" t="n">
        <v>-0.6178147220455579</v>
      </c>
      <c r="I776" t="n">
        <v>0.3249389003279578</v>
      </c>
      <c r="J776" t="n">
        <v>0.2808443084668468</v>
      </c>
      <c r="K776" t="n">
        <v>0.2021945840672341</v>
      </c>
      <c r="L776" t="n">
        <v>0.07043812174137132</v>
      </c>
      <c r="M776" t="n">
        <v>-0.01636497625803039</v>
      </c>
      <c r="N776" t="n">
        <v>-0.959654175412719</v>
      </c>
      <c r="O776" t="n">
        <v>-0.6381327987482391</v>
      </c>
      <c r="P776" t="n">
        <v>-0.6715920249923071</v>
      </c>
      <c r="Q776" t="n">
        <v>-0.6063905253725377</v>
      </c>
      <c r="R776" t="n">
        <v>-0.7865241661458312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inlineStr">
        <is>
          <t>2026-06-19</t>
        </is>
      </c>
      <c r="B777" t="n">
        <v>1</v>
      </c>
      <c r="C777" t="n">
        <v>-0.8813081231529117</v>
      </c>
      <c r="D777" t="n">
        <v>0.02830745557224076</v>
      </c>
      <c r="E777" t="n">
        <v>-0.2319082653147214</v>
      </c>
      <c r="F777" t="n">
        <v>-1.055284617283823</v>
      </c>
      <c r="G777" t="n">
        <v>-0.8498922064287935</v>
      </c>
      <c r="H777" t="n">
        <v>-0.6534092246223318</v>
      </c>
      <c r="I777" t="n">
        <v>-0.1472891763854816</v>
      </c>
      <c r="J777" t="n">
        <v>0.3165139532869542</v>
      </c>
      <c r="K777" t="n">
        <v>-1.118033126411377</v>
      </c>
      <c r="L777" t="n">
        <v>-2.468092206662765</v>
      </c>
      <c r="M777" t="n">
        <v>-1.745748238152072</v>
      </c>
      <c r="N777" t="n">
        <v>-0.9972572856959012</v>
      </c>
      <c r="O777" t="n">
        <v>-0.3707016468263192</v>
      </c>
      <c r="P777" t="n">
        <v>-0.226490017417122</v>
      </c>
      <c r="Q777" t="n">
        <v>-0.06923919193171756</v>
      </c>
      <c r="R777" t="n">
        <v>-1.108241166039343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inlineStr">
        <is>
          <t>2026-06-30</t>
        </is>
      </c>
      <c r="B778" t="n">
        <v>1</v>
      </c>
      <c r="C778" t="n">
        <v>-0.8739693843294034</v>
      </c>
      <c r="D778" t="n">
        <v>-0.5347116117657671</v>
      </c>
      <c r="E778" t="n">
        <v>-0.2706185540592362</v>
      </c>
      <c r="F778" t="n">
        <v>-0.3863884377137607</v>
      </c>
      <c r="G778" t="n">
        <v>-0.8010139803664151</v>
      </c>
      <c r="H778" t="n">
        <v>-0.6035569615092288</v>
      </c>
      <c r="I778" t="n">
        <v>0.02836340026640128</v>
      </c>
      <c r="J778" t="n">
        <v>-1.214333594798228</v>
      </c>
      <c r="K778" t="n">
        <v>2.014251805931856</v>
      </c>
      <c r="L778" t="n">
        <v>0.4502766666922461</v>
      </c>
      <c r="M778" t="n">
        <v>0.8504803478253887</v>
      </c>
      <c r="N778" t="n">
        <v>-0.2661541906819049</v>
      </c>
      <c r="O778" t="n">
        <v>-0.6865074176644153</v>
      </c>
      <c r="P778" t="n">
        <v>-0.5181697338329756</v>
      </c>
      <c r="Q778" t="n">
        <v>-0.3477005766067196</v>
      </c>
      <c r="R778" t="n">
        <v>0.2220779164557258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inlineStr">
        <is>
          <t>2026-07-01</t>
        </is>
      </c>
      <c r="B779" t="n">
        <v>1</v>
      </c>
      <c r="C779" t="n">
        <v>-0.5882611130410474</v>
      </c>
      <c r="D779" t="n">
        <v>-0.6837866622558821</v>
      </c>
      <c r="E779" t="n">
        <v>-0.432135329786592</v>
      </c>
      <c r="F779" t="n">
        <v>0.2224425892228429</v>
      </c>
      <c r="G779" t="n">
        <v>-0.2834706083254345</v>
      </c>
      <c r="H779" t="n">
        <v>-0.133076275574628</v>
      </c>
      <c r="I779" t="n">
        <v>0.09781395263391537</v>
      </c>
      <c r="J779" t="n">
        <v>-0.7571388848579512</v>
      </c>
      <c r="K779" t="n">
        <v>-0.7179392252291613</v>
      </c>
      <c r="L779" t="n">
        <v>0.111910340477865</v>
      </c>
      <c r="M779" t="n">
        <v>-0.3450142396577182</v>
      </c>
      <c r="N779" t="n">
        <v>-0.213345451103884</v>
      </c>
      <c r="O779" t="n">
        <v>0.5851866363124203</v>
      </c>
      <c r="P779" t="n">
        <v>-0.202055450923691</v>
      </c>
      <c r="Q779" t="n">
        <v>-0.432104654738971</v>
      </c>
      <c r="R779" t="n">
        <v>-0.5376540058141155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0.5839463227384113</v>
      </c>
      <c r="AJ779" t="n">
        <v>0.3333333333333333</v>
      </c>
    </row>
    <row r="780">
      <c r="A780" t="inlineStr">
        <is>
          <t>2026-07-02</t>
        </is>
      </c>
      <c r="B780" t="n">
        <v>1</v>
      </c>
      <c r="C780" t="n">
        <v>-0.9723788992631839</v>
      </c>
      <c r="D780" t="n">
        <v>-0.6889743089763443</v>
      </c>
      <c r="E780" t="n">
        <v>-0.4442789710803963</v>
      </c>
      <c r="F780" t="n">
        <v>-0.2342217059793622</v>
      </c>
      <c r="G780" t="n">
        <v>-0.7122209352715304</v>
      </c>
      <c r="H780" t="n">
        <v>-0.5150472657134436</v>
      </c>
      <c r="I780" t="n">
        <v>-0.7111825042702354</v>
      </c>
      <c r="J780" t="n">
        <v>-0.4282472312546178</v>
      </c>
      <c r="K780" t="n">
        <v>0.4249216610904798</v>
      </c>
      <c r="L780" t="n">
        <v>1.139147187469221</v>
      </c>
      <c r="M780" t="n">
        <v>-0.3302476215304339</v>
      </c>
      <c r="N780" t="n">
        <v>-0.7934196605542808</v>
      </c>
      <c r="O780" t="n">
        <v>-0.82425272332604</v>
      </c>
      <c r="P780" t="n">
        <v>-0.6865137735388763</v>
      </c>
      <c r="Q780" t="n">
        <v>-0.3974712897281233</v>
      </c>
      <c r="R780" t="n">
        <v>-0.5643935671413648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0.1922680446439093</v>
      </c>
      <c r="AJ780" t="n">
        <v>0</v>
      </c>
    </row>
    <row r="781">
      <c r="A781" t="inlineStr">
        <is>
          <t>2026-07-13</t>
        </is>
      </c>
      <c r="B781" t="n">
        <v>1</v>
      </c>
      <c r="C781" t="n">
        <v>-0.07298170903634077</v>
      </c>
      <c r="D781" t="n">
        <v>0.02586173566270986</v>
      </c>
      <c r="E781" t="n">
        <v>-0.1161305286770825</v>
      </c>
      <c r="F781" t="n">
        <v>-0.3949089865627275</v>
      </c>
      <c r="G781" t="n">
        <v>-0.1522599021765249</v>
      </c>
      <c r="H781" t="n">
        <v>0.05180754698458738</v>
      </c>
      <c r="I781" t="n">
        <v>1.29313609573506</v>
      </c>
      <c r="J781" t="n">
        <v>-0.1741608534721095</v>
      </c>
      <c r="K781" t="n">
        <v>-0.549083120026522</v>
      </c>
      <c r="L781" t="n">
        <v>-2.011277791754416</v>
      </c>
      <c r="M781" t="n">
        <v>-2.000122496270071</v>
      </c>
      <c r="N781" t="n">
        <v>-0.009302344485306717</v>
      </c>
      <c r="O781" t="n">
        <v>0.1882092511451261</v>
      </c>
      <c r="P781" t="n">
        <v>0.0565589557238305</v>
      </c>
      <c r="Q781" t="n">
        <v>0.2829579101316529</v>
      </c>
      <c r="R781" t="n">
        <v>-0.4712391417477689</v>
      </c>
      <c r="S781" t="n">
        <v>0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inlineStr">
        <is>
          <t>2026-07-14</t>
        </is>
      </c>
      <c r="B782" t="n">
        <v>1</v>
      </c>
      <c r="C782" t="n">
        <v>-0.792034271610696</v>
      </c>
      <c r="D782" t="n">
        <v>-0.02611730456551589</v>
      </c>
      <c r="E782" t="n">
        <v>-0.4521253869681237</v>
      </c>
      <c r="F782" t="n">
        <v>-0.9323548045339689</v>
      </c>
      <c r="G782" t="n">
        <v>-0.4925466805696285</v>
      </c>
      <c r="H782" t="n">
        <v>-0.3209059819048559</v>
      </c>
      <c r="I782" t="n">
        <v>1.729771891560571</v>
      </c>
      <c r="J782" t="n">
        <v>-1.839437494390417</v>
      </c>
      <c r="K782" t="n">
        <v>1.724604171905773</v>
      </c>
      <c r="L782" t="n">
        <v>-1.208668790184913</v>
      </c>
      <c r="M782" t="n">
        <v>1.642828250498689</v>
      </c>
      <c r="N782" t="n">
        <v>0.3137145372915345</v>
      </c>
      <c r="O782" t="n">
        <v>-0.02671400390543795</v>
      </c>
      <c r="P782" t="n">
        <v>-0.05494271728791413</v>
      </c>
      <c r="Q782" t="n">
        <v>-0.005261734396969385</v>
      </c>
      <c r="R782" t="n">
        <v>0.7699045563537475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inlineStr">
        <is>
          <t>2026-07-21</t>
        </is>
      </c>
      <c r="B783" t="n">
        <v>1</v>
      </c>
      <c r="C783" t="n">
        <v>-0.5124486216046336</v>
      </c>
      <c r="D783" t="n">
        <v>0.07706932304181451</v>
      </c>
      <c r="E783" t="n">
        <v>-0.4233320172574859</v>
      </c>
      <c r="F783" t="n">
        <v>-0.8032437967693851</v>
      </c>
      <c r="G783" t="n">
        <v>-0.2086439424485637</v>
      </c>
      <c r="H783" t="n">
        <v>-0.06468830492863373</v>
      </c>
      <c r="I783" t="n">
        <v>-0.1899016004694705</v>
      </c>
      <c r="J783" t="n">
        <v>-0.06765948474604597</v>
      </c>
      <c r="K783" t="n">
        <v>-0.1497664428833674</v>
      </c>
      <c r="L783" t="n">
        <v>0.1316982601018331</v>
      </c>
      <c r="M783" t="n">
        <v>-0.1079746375497218</v>
      </c>
      <c r="N783" t="n">
        <v>-0.180160192575284</v>
      </c>
      <c r="O783" t="n">
        <v>-0.3191853322512164</v>
      </c>
      <c r="P783" t="n">
        <v>-0.3351766071331188</v>
      </c>
      <c r="Q783" t="n">
        <v>-0.3009448500247113</v>
      </c>
      <c r="R783" t="n">
        <v>-0.2488136175062554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</row>
    <row r="784">
      <c r="A784" t="inlineStr">
        <is>
          <t>2026-07-22</t>
        </is>
      </c>
      <c r="B784" t="n">
        <v>1</v>
      </c>
      <c r="C784" t="n">
        <v>-0.6631812550251405</v>
      </c>
      <c r="D784" t="n">
        <v>0.084284725218878</v>
      </c>
      <c r="E784" t="n">
        <v>-0.4219925513749012</v>
      </c>
      <c r="F784" t="n">
        <v>-0.9296745351269254</v>
      </c>
      <c r="G784" t="n">
        <v>-0.3837252270325628</v>
      </c>
      <c r="H784" t="n">
        <v>-0.221249564008846</v>
      </c>
      <c r="I784" t="n">
        <v>-0.8046586349039283</v>
      </c>
      <c r="J784" t="n">
        <v>1.385609544633962</v>
      </c>
      <c r="K784" t="n">
        <v>-0.7858176883463122</v>
      </c>
      <c r="L784" t="n">
        <v>-1.219942348942719</v>
      </c>
      <c r="M784" t="n">
        <v>-0.4566376671625157</v>
      </c>
      <c r="N784" t="n">
        <v>-1.147053282397757</v>
      </c>
      <c r="O784" t="n">
        <v>1.102908538260274</v>
      </c>
      <c r="P784" t="n">
        <v>-0.3489420727939317</v>
      </c>
      <c r="Q784" t="n">
        <v>-0.3861390870362329</v>
      </c>
      <c r="R784" t="n">
        <v>0.1161399314102845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inlineStr">
        <is>
          <t>2026-07-28</t>
        </is>
      </c>
      <c r="B785" t="n">
        <v>1</v>
      </c>
      <c r="C785" t="n">
        <v>-0.8039922370503784</v>
      </c>
      <c r="D785" t="n">
        <v>-0.59443602745183</v>
      </c>
      <c r="E785" t="n">
        <v>-0.467147287682818</v>
      </c>
      <c r="F785" t="n">
        <v>-0.2075314268222396</v>
      </c>
      <c r="G785" t="n">
        <v>-0.4866145968288366</v>
      </c>
      <c r="H785" t="n">
        <v>-0.3167949114447166</v>
      </c>
      <c r="I785" t="n">
        <v>-0.1269371693910306</v>
      </c>
      <c r="J785" t="n">
        <v>-0.06765948474604597</v>
      </c>
      <c r="K785" t="n">
        <v>-0.1497664428833674</v>
      </c>
      <c r="L785" t="n">
        <v>0.1316982601018331</v>
      </c>
      <c r="M785" t="n">
        <v>-0.1079746375497218</v>
      </c>
      <c r="N785" t="n">
        <v>-0.180160192575284</v>
      </c>
      <c r="O785" t="n">
        <v>-0.3191853322512164</v>
      </c>
      <c r="P785" t="n">
        <v>-0.3351766071331188</v>
      </c>
      <c r="Q785" t="n">
        <v>-0.3009448500247113</v>
      </c>
      <c r="R785" t="n">
        <v>-0.2488136175062554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</row>
    <row r="786">
      <c r="A786" t="inlineStr">
        <is>
          <t>2026-08-07</t>
        </is>
      </c>
      <c r="B786" t="n">
        <v>1</v>
      </c>
      <c r="C786" t="n">
        <v>-0.8656068924958255</v>
      </c>
      <c r="D786" t="n">
        <v>-1.021682466992738</v>
      </c>
      <c r="E786" t="n">
        <v>-0.9410586236164049</v>
      </c>
      <c r="F786" t="n">
        <v>0.7436113891503784</v>
      </c>
      <c r="G786" t="n">
        <v>0.2355824826726467</v>
      </c>
      <c r="H786" t="n">
        <v>0.1376769868586143</v>
      </c>
      <c r="I786" t="n">
        <v>-0.5860736336371893</v>
      </c>
      <c r="J786" t="n">
        <v>1.099694924515852</v>
      </c>
      <c r="K786" t="n">
        <v>-0.6085036995703389</v>
      </c>
      <c r="L786" t="n">
        <v>-0.8050031222982168</v>
      </c>
      <c r="M786" t="n">
        <v>-0.2293682350898342</v>
      </c>
      <c r="N786" t="n">
        <v>-1.227396539888053</v>
      </c>
      <c r="O786" t="n">
        <v>0.4734693683716135</v>
      </c>
      <c r="P786" t="n">
        <v>1.284694709243634</v>
      </c>
      <c r="Q786" t="n">
        <v>0.1542443834969644</v>
      </c>
      <c r="R786" t="n">
        <v>-0.01669027726227245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inlineStr">
        <is>
          <t>2026-08-10</t>
        </is>
      </c>
      <c r="B787" t="n">
        <v>1</v>
      </c>
      <c r="C787" t="n">
        <v>-0.5404370465010787</v>
      </c>
      <c r="D787" t="n">
        <v>-1.004767157934922</v>
      </c>
      <c r="E787" t="n">
        <v>-1.026829648807566</v>
      </c>
      <c r="F787" t="n">
        <v>1.195815696316073</v>
      </c>
      <c r="G787" t="n">
        <v>0.9523908456269394</v>
      </c>
      <c r="H787" t="n">
        <v>0.5659901384046402</v>
      </c>
      <c r="I787" t="n">
        <v>-0.0599211402293951</v>
      </c>
      <c r="J787" t="n">
        <v>0.4127933487933306</v>
      </c>
      <c r="K787" t="n">
        <v>0.0454536901160895</v>
      </c>
      <c r="L787" t="n">
        <v>-0.02805143391007849</v>
      </c>
      <c r="M787" t="n">
        <v>-0.1629947047034035</v>
      </c>
      <c r="N787" t="n">
        <v>-0.7256107731583791</v>
      </c>
      <c r="O787" t="n">
        <v>-0.6575567533378449</v>
      </c>
      <c r="P787" t="n">
        <v>-0.2470972802609146</v>
      </c>
      <c r="Q787" t="n">
        <v>-0.1784729035684055</v>
      </c>
      <c r="R787" t="n">
        <v>-0.3100990274569242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inlineStr">
        <is>
          <t>2026-08-11</t>
        </is>
      </c>
      <c r="B788" t="n">
        <v>1</v>
      </c>
      <c r="C788" t="n">
        <v>-0.8324553302860311</v>
      </c>
      <c r="D788" t="n">
        <v>-1.117345931573585</v>
      </c>
      <c r="E788" t="n">
        <v>-1.026603523993757</v>
      </c>
      <c r="F788" t="n">
        <v>1.147990607790556</v>
      </c>
      <c r="G788" t="n">
        <v>0.484288385261605</v>
      </c>
      <c r="H788" t="n">
        <v>0.2652684952586215</v>
      </c>
      <c r="I788" t="n">
        <v>-0.7673442663756048</v>
      </c>
      <c r="J788" t="n">
        <v>0.3535068462403809</v>
      </c>
      <c r="K788" t="n">
        <v>0.933003563766249</v>
      </c>
      <c r="L788" t="n">
        <v>-0.4586713735957403</v>
      </c>
      <c r="M788" t="n">
        <v>-0.1568443758319297</v>
      </c>
      <c r="N788" t="n">
        <v>-0.9660241011983948</v>
      </c>
      <c r="O788" t="n">
        <v>1.079890036612678</v>
      </c>
      <c r="P788" t="n">
        <v>1.347258089942311</v>
      </c>
      <c r="Q788" t="n">
        <v>0.5127175148913214</v>
      </c>
      <c r="R788" t="n">
        <v>0.7552141001429615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inlineStr">
        <is>
          <t>2026-08-12</t>
        </is>
      </c>
      <c r="B789" t="n">
        <v>1</v>
      </c>
      <c r="C789" t="n">
        <v>-1.084069627263744</v>
      </c>
      <c r="D789" t="n">
        <v>-0.9790151123435689</v>
      </c>
      <c r="E789" t="n">
        <v>-1.110716895952756</v>
      </c>
      <c r="F789" t="n">
        <v>0.2742249306148743</v>
      </c>
      <c r="G789" t="n">
        <v>0.2760670868931876</v>
      </c>
      <c r="H789" t="n">
        <v>0.09828358525891322</v>
      </c>
      <c r="I789" t="n">
        <v>-0.4095778640872872</v>
      </c>
      <c r="J789" t="n">
        <v>0.2980675812748142</v>
      </c>
      <c r="K789" t="n">
        <v>-0.4120780358226786</v>
      </c>
      <c r="L789" t="n">
        <v>0.1038055153815869</v>
      </c>
      <c r="M789" t="n">
        <v>-0.6162486435103551</v>
      </c>
      <c r="N789" t="n">
        <v>-1.175615207694819</v>
      </c>
      <c r="O789" t="n">
        <v>-0.6650159333284719</v>
      </c>
      <c r="P789" t="n">
        <v>-0.6945849028006972</v>
      </c>
      <c r="Q789" t="n">
        <v>-0.3978522319408018</v>
      </c>
      <c r="R789" t="n">
        <v>-0.6453267221603436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inlineStr">
        <is>
          <t>2026-08-13</t>
        </is>
      </c>
      <c r="B790" t="n">
        <v>1</v>
      </c>
      <c r="C790" t="n">
        <v>-1.196243673370552</v>
      </c>
      <c r="D790" t="n">
        <v>-1.094791137935352</v>
      </c>
      <c r="E790" t="n">
        <v>-1.096502810468681</v>
      </c>
      <c r="F790" t="n">
        <v>0.4421250629019468</v>
      </c>
      <c r="G790" t="n">
        <v>0.05348513798645858</v>
      </c>
      <c r="H790" t="n">
        <v>-0.03267136178044382</v>
      </c>
      <c r="I790" t="n">
        <v>-0.8125732626671597</v>
      </c>
      <c r="J790" t="n">
        <v>-0.3775307405861667</v>
      </c>
      <c r="K790" t="n">
        <v>-0.2930850595212607</v>
      </c>
      <c r="L790" t="n">
        <v>-0.4790860085245702</v>
      </c>
      <c r="M790" t="n">
        <v>-0.4599384413021558</v>
      </c>
      <c r="N790" t="n">
        <v>-1.045750914257819</v>
      </c>
      <c r="O790" t="n">
        <v>-0.6572756959461691</v>
      </c>
      <c r="P790" t="n">
        <v>-0.6030029095905578</v>
      </c>
      <c r="Q790" t="n">
        <v>-0.2603752422555591</v>
      </c>
      <c r="R790" t="n">
        <v>-0.07402277796035446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2026-08-19</t>
        </is>
      </c>
      <c r="B791" t="n">
        <v>1</v>
      </c>
      <c r="C791" t="n">
        <v>-1.214917652842346</v>
      </c>
      <c r="D791" t="n">
        <v>-1.292094083998198</v>
      </c>
      <c r="E791" t="n">
        <v>-1.15060972171745</v>
      </c>
      <c r="F791" t="n">
        <v>1.19670232662069</v>
      </c>
      <c r="G791" t="n">
        <v>0.1485927434765241</v>
      </c>
      <c r="H791" t="n">
        <v>0.007239702230568282</v>
      </c>
      <c r="I791" t="n">
        <v>-1.088531982894368</v>
      </c>
      <c r="J791" t="n">
        <v>-0.5869175673380946</v>
      </c>
      <c r="K791" t="n">
        <v>-0.4046130917123276</v>
      </c>
      <c r="L791" t="n">
        <v>-1.102185973736735</v>
      </c>
      <c r="M791" t="n">
        <v>0.02072940036091135</v>
      </c>
      <c r="N791" t="n">
        <v>-0.9812297304932331</v>
      </c>
      <c r="O791" t="n">
        <v>-0.7384765327884539</v>
      </c>
      <c r="P791" t="n">
        <v>-0.6918509552149178</v>
      </c>
      <c r="Q791" t="n">
        <v>-0.3808300516259472</v>
      </c>
      <c r="R791" t="n">
        <v>-0.213769625084105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inlineStr">
        <is>
          <t>2026-08-27</t>
        </is>
      </c>
      <c r="B792" t="n">
        <v>1</v>
      </c>
      <c r="C792" t="n">
        <v>-1.453598642749111</v>
      </c>
      <c r="D792" t="n">
        <v>-1.064679346425385</v>
      </c>
      <c r="E792" t="n">
        <v>-1.361382096592804</v>
      </c>
      <c r="F792" t="n">
        <v>-0.077317867626125</v>
      </c>
      <c r="G792" t="n">
        <v>0.2611003928377801</v>
      </c>
      <c r="H792" t="n">
        <v>-0.008029636372250522</v>
      </c>
      <c r="I792" t="n">
        <v>0.4616758269447758</v>
      </c>
      <c r="J792" t="n">
        <v>-0.6071054791564623</v>
      </c>
      <c r="K792" t="n">
        <v>-0.1855336184079639</v>
      </c>
      <c r="L792" t="n">
        <v>-0.08284844390890614</v>
      </c>
      <c r="M792" t="n">
        <v>0.5027861092568076</v>
      </c>
      <c r="N792" t="n">
        <v>-1.229451354657626</v>
      </c>
      <c r="O792" t="n">
        <v>-0.01949131550393706</v>
      </c>
      <c r="P792" t="n">
        <v>-0.5873521868433546</v>
      </c>
      <c r="Q792" t="n">
        <v>-0.3636829350222362</v>
      </c>
      <c r="R792" t="n">
        <v>0.04006941993359545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inlineStr">
        <is>
          <t>2026-09-15</t>
        </is>
      </c>
      <c r="B793" t="n">
        <v>1</v>
      </c>
      <c r="C793" t="n">
        <v>-0.6853076111184913</v>
      </c>
      <c r="D793" t="n">
        <v>-1.316539874544017</v>
      </c>
      <c r="E793" t="n">
        <v>-1.365863726748284</v>
      </c>
      <c r="F793" t="n">
        <v>2.463969230405354</v>
      </c>
      <c r="G793" t="n">
        <v>1.852809383384316</v>
      </c>
      <c r="H793" t="n">
        <v>0.7874068920640698</v>
      </c>
      <c r="I793" t="n">
        <v>-0.4606070417595264</v>
      </c>
      <c r="J793" t="n">
        <v>-0.06765948474604597</v>
      </c>
      <c r="K793" t="n">
        <v>-0.1497664428833674</v>
      </c>
      <c r="L793" t="n">
        <v>0.1316982601018331</v>
      </c>
      <c r="M793" t="n">
        <v>-0.1079746375497218</v>
      </c>
      <c r="N793" t="n">
        <v>-0.180160192575284</v>
      </c>
      <c r="O793" t="n">
        <v>-0.3191853322512164</v>
      </c>
      <c r="P793" t="n">
        <v>-0.3351766071331188</v>
      </c>
      <c r="Q793" t="n">
        <v>-0.3009448500247113</v>
      </c>
      <c r="R793" t="n">
        <v>-0.2488136175062554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0.2237033715813838</v>
      </c>
      <c r="AJ793" t="n">
        <v>0.3333333333333333</v>
      </c>
    </row>
    <row r="794">
      <c r="A794" t="inlineStr">
        <is>
          <t>2026-09-29</t>
        </is>
      </c>
      <c r="B794" t="n">
        <v>1</v>
      </c>
      <c r="C794" t="n">
        <v>-0.5694077783783097</v>
      </c>
      <c r="D794" t="n">
        <v>-0.1533522156840776</v>
      </c>
      <c r="E794" t="n">
        <v>-0.8508254058148386</v>
      </c>
      <c r="F794" t="n">
        <v>-0.6061875155421119</v>
      </c>
      <c r="G794" t="n">
        <v>0.4759044237054962</v>
      </c>
      <c r="H794" t="n">
        <v>0.3438502847307565</v>
      </c>
      <c r="I794" t="n">
        <v>1.68597635691234</v>
      </c>
      <c r="J794" t="n">
        <v>-1.153302334477152</v>
      </c>
      <c r="K794" t="n">
        <v>0.9803064018565574</v>
      </c>
      <c r="L794" t="n">
        <v>-0.6545638051886153</v>
      </c>
      <c r="M794" t="n">
        <v>1.948556200739579</v>
      </c>
      <c r="N794" t="n">
        <v>0.06282165392669768</v>
      </c>
      <c r="O794" t="n">
        <v>-0.7788826011155456</v>
      </c>
      <c r="P794" t="n">
        <v>-0.6274973111557263</v>
      </c>
      <c r="Q794" t="n">
        <v>-0.6060399409414242</v>
      </c>
      <c r="R794" t="n">
        <v>-0.2640085080762928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0.7163628574334385</v>
      </c>
      <c r="AJ794" t="n">
        <v>0.6666666666666666</v>
      </c>
    </row>
    <row r="795">
      <c r="A795" t="inlineStr">
        <is>
          <t>2026-10-01</t>
        </is>
      </c>
      <c r="B795" t="n">
        <v>1</v>
      </c>
      <c r="C795" t="n">
        <v>-0.4447239863520383</v>
      </c>
      <c r="D795" t="n">
        <v>-0.3001908278656426</v>
      </c>
      <c r="E795" t="n">
        <v>-0.8535882231282141</v>
      </c>
      <c r="F795" t="n">
        <v>-0.3002588028007354</v>
      </c>
      <c r="G795" t="n">
        <v>0.661371176850248</v>
      </c>
      <c r="H795" t="n">
        <v>0.4751637604237172</v>
      </c>
      <c r="I795" t="n">
        <v>1.205408272715803</v>
      </c>
      <c r="J795" t="n">
        <v>0.04297837425312178</v>
      </c>
      <c r="K795" t="n">
        <v>-0.830265480376379</v>
      </c>
      <c r="L795" t="n">
        <v>-0.7833840142105447</v>
      </c>
      <c r="M795" t="n">
        <v>-0.1939518430217815</v>
      </c>
      <c r="N795" t="n">
        <v>-0.4808823341022604</v>
      </c>
      <c r="O795" t="n">
        <v>-0.1069682995731278</v>
      </c>
      <c r="P795" t="n">
        <v>-0.1747036419569555</v>
      </c>
      <c r="Q795" t="n">
        <v>0.2393414605198938</v>
      </c>
      <c r="R795" t="n">
        <v>-0.6875480352281239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0.6705263365845895</v>
      </c>
      <c r="AJ795" t="n">
        <v>0</v>
      </c>
    </row>
    <row r="796">
      <c r="A796" t="inlineStr">
        <is>
          <t>2026-10-05</t>
        </is>
      </c>
      <c r="B796" t="n">
        <v>1</v>
      </c>
      <c r="C796" t="n">
        <v>-0.2601315254840098</v>
      </c>
      <c r="D796" t="n">
        <v>-0.3251382036881408</v>
      </c>
      <c r="E796" t="n">
        <v>-0.8216990028457873</v>
      </c>
      <c r="F796" t="n">
        <v>-0.08438071922246464</v>
      </c>
      <c r="G796" t="n">
        <v>0.8499612157985572</v>
      </c>
      <c r="H796" t="n">
        <v>0.6302544194365256</v>
      </c>
      <c r="I796" t="n">
        <v>0.7100066080386512</v>
      </c>
      <c r="J796" t="n">
        <v>-0.06765948474604597</v>
      </c>
      <c r="K796" t="n">
        <v>-0.1497664428833674</v>
      </c>
      <c r="L796" t="n">
        <v>0.1316982601018331</v>
      </c>
      <c r="M796" t="n">
        <v>-0.1079746375497218</v>
      </c>
      <c r="N796" t="n">
        <v>-0.180160192575284</v>
      </c>
      <c r="O796" t="n">
        <v>-0.3191853322512164</v>
      </c>
      <c r="P796" t="n">
        <v>-0.3351766071331188</v>
      </c>
      <c r="Q796" t="n">
        <v>-0.3009448500247113</v>
      </c>
      <c r="R796" t="n">
        <v>-0.2488136175062554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1.069883125409009</v>
      </c>
      <c r="AJ796" t="n">
        <v>0.3333333333333333</v>
      </c>
    </row>
    <row r="797">
      <c r="A797" t="inlineStr">
        <is>
          <t>2026-10-06</t>
        </is>
      </c>
      <c r="B797" t="n">
        <v>1</v>
      </c>
      <c r="C797" t="n">
        <v>-0.5496180663787225</v>
      </c>
      <c r="D797" t="n">
        <v>-0.2732457968689433</v>
      </c>
      <c r="E797" t="n">
        <v>-0.773977445280884</v>
      </c>
      <c r="F797" t="n">
        <v>-0.4375709769546645</v>
      </c>
      <c r="G797" t="n">
        <v>0.3418591258006483</v>
      </c>
      <c r="H797" t="n">
        <v>0.2802367805476578</v>
      </c>
      <c r="I797" t="n">
        <v>0.7130646931452803</v>
      </c>
      <c r="J797" t="n">
        <v>-1.642398779786643</v>
      </c>
      <c r="K797" t="n">
        <v>1.420157949327278</v>
      </c>
      <c r="L797" t="n">
        <v>0.4232740040747613</v>
      </c>
      <c r="M797" t="n">
        <v>-0.9123354266704228</v>
      </c>
      <c r="N797" t="n">
        <v>0.4744010522721266</v>
      </c>
      <c r="O797" t="n">
        <v>-0.6937894574980176</v>
      </c>
      <c r="P797" t="n">
        <v>-0.2653898121429164</v>
      </c>
      <c r="Q797" t="n">
        <v>-0.5592961309051453</v>
      </c>
      <c r="R797" t="n">
        <v>-0.2562913364538016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1.613153836668353</v>
      </c>
      <c r="AJ797" t="n">
        <v>0.6666666666666666</v>
      </c>
    </row>
    <row r="798">
      <c r="A798" t="inlineStr">
        <is>
          <t>2026-10-08</t>
        </is>
      </c>
      <c r="B798" t="n">
        <v>1</v>
      </c>
      <c r="C798" t="n">
        <v>-0.6988809006606492</v>
      </c>
      <c r="D798" t="n">
        <v>-0.130749391163359</v>
      </c>
      <c r="E798" t="n">
        <v>-0.6659969190093754</v>
      </c>
      <c r="F798" t="n">
        <v>-0.7461290942575071</v>
      </c>
      <c r="G798" t="n">
        <v>-0.05772062676953799</v>
      </c>
      <c r="H798" t="n">
        <v>0.0086549242814728</v>
      </c>
      <c r="I798" t="n">
        <v>0.440884315728419</v>
      </c>
      <c r="J798" t="n">
        <v>-1.208095293425852</v>
      </c>
      <c r="K798" t="n">
        <v>-0.5861176733100419</v>
      </c>
      <c r="L798" t="n">
        <v>-0.6407769432655726</v>
      </c>
      <c r="M798" t="n">
        <v>-0.1526416584453628</v>
      </c>
      <c r="N798" t="n">
        <v>-0.05635760270852318</v>
      </c>
      <c r="O798" t="n">
        <v>0.7529510778916619</v>
      </c>
      <c r="P798" t="n">
        <v>-0.2782919031879879</v>
      </c>
      <c r="Q798" t="n">
        <v>-0.2174540806840606</v>
      </c>
      <c r="R798" t="n">
        <v>-0.641893042468081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1.0965732842612</v>
      </c>
      <c r="AJ798" t="n">
        <v>0</v>
      </c>
    </row>
    <row r="799">
      <c r="A799" t="inlineStr">
        <is>
          <t>2026-10-12</t>
        </is>
      </c>
      <c r="B799" t="n">
        <v>1</v>
      </c>
      <c r="C799" t="n">
        <v>-0.08667380604989758</v>
      </c>
      <c r="D799" t="n">
        <v>0.2884225779479315</v>
      </c>
      <c r="E799" t="n">
        <v>-0.2600021099393033</v>
      </c>
      <c r="F799" t="n">
        <v>-0.6798198059733598</v>
      </c>
      <c r="G799" t="n">
        <v>0.02839272820197332</v>
      </c>
      <c r="H799" t="n">
        <v>0.1949358931004936</v>
      </c>
      <c r="I799" t="n">
        <v>1.372886659160082</v>
      </c>
      <c r="J799" t="n">
        <v>-0.1931673883107099</v>
      </c>
      <c r="K799" t="n">
        <v>-0.3497351532801695</v>
      </c>
      <c r="L799" t="n">
        <v>1.137524974802974</v>
      </c>
      <c r="M799" t="n">
        <v>-1.905665091280876</v>
      </c>
      <c r="N799" t="n">
        <v>-0.01217908516270864</v>
      </c>
      <c r="O799" t="n">
        <v>-0.3295716455224278</v>
      </c>
      <c r="P799" t="n">
        <v>-0.4973976422616835</v>
      </c>
      <c r="Q799" t="n">
        <v>-0.3073620637605361</v>
      </c>
      <c r="R799" t="n">
        <v>-0.2876863689514036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1.545848146402495</v>
      </c>
      <c r="AJ799" t="n">
        <v>0.3333333333333333</v>
      </c>
    </row>
    <row r="800">
      <c r="A800" t="inlineStr">
        <is>
          <t>2026-10-13</t>
        </is>
      </c>
      <c r="B800" t="n">
        <v>1</v>
      </c>
      <c r="C800" t="n">
        <v>-0.2802081234752741</v>
      </c>
      <c r="D800" t="n">
        <v>0.2935348487593205</v>
      </c>
      <c r="E800" t="n">
        <v>-0.2031255731795212</v>
      </c>
      <c r="F800" t="n">
        <v>-0.8247547345029951</v>
      </c>
      <c r="G800" t="n">
        <v>-0.2530103657556753</v>
      </c>
      <c r="H800" t="n">
        <v>-0.06635512401079008</v>
      </c>
      <c r="I800" t="n">
        <v>1.512344247001048</v>
      </c>
      <c r="J800" t="n">
        <v>-0.6943051991574219</v>
      </c>
      <c r="K800" t="n">
        <v>-0.05664927132923629</v>
      </c>
      <c r="L800" t="n">
        <v>0.1423468706186514</v>
      </c>
      <c r="M800" t="n">
        <v>0.6255289492053482</v>
      </c>
      <c r="N800" t="n">
        <v>0.0872739496846143</v>
      </c>
      <c r="O800" t="n">
        <v>-0.3191853322512164</v>
      </c>
      <c r="P800" t="n">
        <v>-0.3351766071331188</v>
      </c>
      <c r="Q800" t="n">
        <v>-0.3009448500247113</v>
      </c>
      <c r="R800" t="n">
        <v>-0.2488136175062554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0.9597359698602183</v>
      </c>
      <c r="AJ8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Intercept</t>
        </is>
      </c>
      <c r="C1" t="inlineStr">
        <is>
          <t>IV</t>
        </is>
      </c>
      <c r="D1" t="inlineStr">
        <is>
          <t>RV10</t>
        </is>
      </c>
      <c r="E1" t="inlineStr">
        <is>
          <t>RV20</t>
        </is>
      </c>
      <c r="F1" t="inlineStr">
        <is>
          <t>VRP10</t>
        </is>
      </c>
      <c r="G1" t="inlineStr">
        <is>
          <t>VRP20</t>
        </is>
      </c>
      <c r="H1" t="inlineStr">
        <is>
          <t>SPREAD20</t>
        </is>
      </c>
      <c r="I1" t="inlineStr">
        <is>
          <t>RV_TREND</t>
        </is>
      </c>
      <c r="J1" t="inlineStr">
        <is>
          <t>IV_Ratio</t>
        </is>
      </c>
      <c r="K1" t="inlineStr">
        <is>
          <t>Str_Ratio</t>
        </is>
      </c>
      <c r="L1" t="inlineStr">
        <is>
          <t>Norm_OG</t>
        </is>
      </c>
      <c r="M1" t="inlineStr">
        <is>
          <t>Adj_IV_Chg</t>
        </is>
      </c>
      <c r="N1" t="inlineStr">
        <is>
          <t>Fixed_IDV</t>
        </is>
      </c>
      <c r="O1" t="inlineStr">
        <is>
          <t>u_range_bps</t>
        </is>
      </c>
      <c r="P1" t="inlineStr">
        <is>
          <t>str_range_pct</t>
        </is>
      </c>
      <c r="Q1" t="inlineStr">
        <is>
          <t>str_chg_abs</t>
        </is>
      </c>
      <c r="R1" t="inlineStr">
        <is>
          <t>spread_pct</t>
        </is>
      </c>
      <c r="S1" t="inlineStr">
        <is>
          <t>CW Stage=09:17</t>
        </is>
      </c>
      <c r="T1" t="inlineStr">
        <is>
          <t>CW Stage=09:18</t>
        </is>
      </c>
      <c r="U1" t="inlineStr">
        <is>
          <t>CW Stage=09:19</t>
        </is>
      </c>
      <c r="V1" t="inlineStr">
        <is>
          <t>CW Stage=09:20+</t>
        </is>
      </c>
      <c r="W1" t="inlineStr">
        <is>
          <t>CW DTE=2.0</t>
        </is>
      </c>
      <c r="X1" t="inlineStr">
        <is>
          <t>CW DTE=3.0</t>
        </is>
      </c>
      <c r="Y1" t="inlineStr">
        <is>
          <t>CW DTE=4.0</t>
        </is>
      </c>
      <c r="Z1" t="inlineStr">
        <is>
          <t>CW DTE=5.0</t>
        </is>
      </c>
      <c r="AA1" t="inlineStr">
        <is>
          <t>CW Weekday=1</t>
        </is>
      </c>
      <c r="AB1" t="inlineStr">
        <is>
          <t>CW Weekday=2</t>
        </is>
      </c>
      <c r="AC1" t="inlineStr">
        <is>
          <t>CW Weekday=3</t>
        </is>
      </c>
      <c r="AD1" t="inlineStr">
        <is>
          <t>CW Weekday=4</t>
        </is>
      </c>
      <c r="AE1" t="inlineStr">
        <is>
          <t>CW Weekday=5</t>
        </is>
      </c>
      <c r="AF1" t="inlineStr">
        <is>
          <t>CW Weekday=6</t>
        </is>
      </c>
      <c r="AG1" t="inlineStr">
        <is>
          <t>CW Event</t>
        </is>
      </c>
      <c r="AH1" t="inlineStr">
        <is>
          <t>NW</t>
        </is>
      </c>
      <c r="AI1" t="inlineStr">
        <is>
          <t>Prev_flat_DD</t>
        </is>
      </c>
      <c r="AJ1" t="inlineStr">
        <is>
          <t>Prev_flat_loss_streak</t>
        </is>
      </c>
    </row>
    <row r="2">
      <c r="A2" t="inlineStr">
        <is>
          <t>Logistic</t>
        </is>
      </c>
      <c r="B2" t="n">
        <v>-0.8252850046651432</v>
      </c>
      <c r="C2" t="n">
        <v>0.05005227059535894</v>
      </c>
      <c r="D2" t="n">
        <v>0.04347530631314486</v>
      </c>
      <c r="E2" t="n">
        <v>0.1119990429266619</v>
      </c>
      <c r="F2" t="n">
        <v>0.1001670675247048</v>
      </c>
      <c r="G2" t="n">
        <v>0.09116677195809346</v>
      </c>
      <c r="H2" t="n">
        <v>-0.01644758645348264</v>
      </c>
      <c r="I2" t="n">
        <v>0.06782642856218353</v>
      </c>
      <c r="J2" t="n">
        <v>0.04244778343569932</v>
      </c>
      <c r="K2" t="n">
        <v>-0.02389189587147944</v>
      </c>
      <c r="L2" t="n">
        <v>0.01413694043013172</v>
      </c>
      <c r="M2" t="n">
        <v>0.01285849425925824</v>
      </c>
      <c r="N2" t="n">
        <v>-0.02949970413439956</v>
      </c>
      <c r="O2" t="n">
        <v>-0.1556009522608736</v>
      </c>
      <c r="P2" t="n">
        <v>-0.08409663161389716</v>
      </c>
      <c r="Q2" t="n">
        <v>-0.1151111813638318</v>
      </c>
      <c r="R2" t="n">
        <v>-0.1138873088612309</v>
      </c>
      <c r="S2" t="n">
        <v>-0.112556405649504</v>
      </c>
      <c r="T2" t="n">
        <v>0.02245853681008744</v>
      </c>
      <c r="U2" t="n">
        <v>-0.007562685422084743</v>
      </c>
      <c r="V2" t="n">
        <v>0.1845860145173653</v>
      </c>
      <c r="W2" t="n">
        <v>0.002718480825846699</v>
      </c>
      <c r="X2" t="n">
        <v>-0.1598374016847024</v>
      </c>
      <c r="Y2" t="n">
        <v>-0.008235546460014303</v>
      </c>
      <c r="Z2" t="n">
        <v>-0.2409479814092441</v>
      </c>
      <c r="AA2" t="n">
        <v>-0.06752876311553345</v>
      </c>
      <c r="AB2" t="n">
        <v>-0.01144783657580293</v>
      </c>
      <c r="AC2" t="n">
        <v>0.174945558505482</v>
      </c>
      <c r="AD2" t="n">
        <v>-0.1127751059853662</v>
      </c>
      <c r="AE2" t="n">
        <v>0.007560823091407569</v>
      </c>
      <c r="AF2" t="n">
        <v>0.02314678323959345</v>
      </c>
      <c r="AG2" t="n">
        <v>0.04654815900229209</v>
      </c>
      <c r="AH2" t="n">
        <v>0.1673319955321611</v>
      </c>
      <c r="AI2" t="n">
        <v>-0.1304963017157412</v>
      </c>
      <c r="AJ2" t="n">
        <v>0.007156401250866914</v>
      </c>
    </row>
    <row r="3">
      <c r="A3" t="inlineStr">
        <is>
          <t>Downside</t>
        </is>
      </c>
      <c r="B3" t="n">
        <v>8.925837546576524</v>
      </c>
      <c r="C3" t="n">
        <v>0.8412346202072906</v>
      </c>
      <c r="D3" t="n">
        <v>1.126015897415581</v>
      </c>
      <c r="E3" t="n">
        <v>0.7381110571513912</v>
      </c>
      <c r="F3" t="n">
        <v>0.9690088538852289</v>
      </c>
      <c r="G3" t="n">
        <v>1.282061271465788</v>
      </c>
      <c r="H3" t="n">
        <v>0.1121499002909191</v>
      </c>
      <c r="I3" t="n">
        <v>0.3314954529994128</v>
      </c>
      <c r="J3" t="n">
        <v>0.005376257282844012</v>
      </c>
      <c r="K3" t="n">
        <v>-0.1508391497768421</v>
      </c>
      <c r="L3" t="n">
        <v>1.112977268619689</v>
      </c>
      <c r="M3" t="n">
        <v>0.5098828840662508</v>
      </c>
      <c r="N3" t="n">
        <v>-1.022304822515073</v>
      </c>
      <c r="O3" t="n">
        <v>-0.5183368739279102</v>
      </c>
      <c r="P3" t="n">
        <v>-0.5248990303463915</v>
      </c>
      <c r="Q3" t="n">
        <v>-0.775388538241659</v>
      </c>
      <c r="R3" t="n">
        <v>-0.5394036132942894</v>
      </c>
      <c r="S3" t="n">
        <v>-0.3122464605604541</v>
      </c>
      <c r="T3" t="n">
        <v>-1.002229893386369</v>
      </c>
      <c r="U3" t="n">
        <v>0.3200038783463708</v>
      </c>
      <c r="V3" t="n">
        <v>2.392959110392427</v>
      </c>
      <c r="W3" t="n">
        <v>-0.374329439354712</v>
      </c>
      <c r="X3" t="n">
        <v>-1.782554620365842</v>
      </c>
      <c r="Y3" t="n">
        <v>-1.090622343556024</v>
      </c>
      <c r="Z3" t="n">
        <v>-1.891855675599964</v>
      </c>
      <c r="AA3" t="n">
        <v>-1.138583918849555</v>
      </c>
      <c r="AB3" t="n">
        <v>0.1400740936507074</v>
      </c>
      <c r="AC3" t="n">
        <v>2.051163681584364</v>
      </c>
      <c r="AD3" t="n">
        <v>0.180680364439772</v>
      </c>
      <c r="AE3" t="n">
        <v>-0.1215808051224314</v>
      </c>
      <c r="AF3" t="n">
        <v>-0.02043676104710651</v>
      </c>
      <c r="AG3" t="n">
        <v>-2.16937469489986</v>
      </c>
      <c r="AH3" t="n">
        <v>1.503902571392114</v>
      </c>
      <c r="AI3" t="n">
        <v>-1.517799624930861</v>
      </c>
      <c r="AJ3" t="n">
        <v>0.8397470352960305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U_order_key</t>
        </is>
      </c>
      <c r="C1" t="inlineStr">
        <is>
          <t>Straddle_order_key</t>
        </is>
      </c>
      <c r="D1" t="inlineStr">
        <is>
          <t>Spread_order_key</t>
        </is>
      </c>
      <c r="E1" t="inlineStr">
        <is>
          <t>U_raw_17digits</t>
        </is>
      </c>
      <c r="F1" t="inlineStr">
        <is>
          <t>Straddle_raw_17digits</t>
        </is>
      </c>
      <c r="G1" t="inlineStr">
        <is>
          <t>Spread_raw_17digits</t>
        </is>
      </c>
    </row>
    <row r="2">
      <c r="A2" t="inlineStr">
        <is>
          <t>2021-01-01</t>
        </is>
      </c>
      <c r="B2" t="n">
        <v>210</v>
      </c>
      <c r="C2" t="n">
        <v>87</v>
      </c>
      <c r="D2" t="n">
        <v>541</v>
      </c>
      <c r="E2" t="inlineStr">
        <is>
          <t>6.7846238997304011</t>
        </is>
      </c>
      <c r="F2" t="inlineStr">
        <is>
          <t>1.4535454724022965</t>
        </is>
      </c>
      <c r="G2" t="inlineStr">
        <is>
          <t>0.31428010214103208</t>
        </is>
      </c>
    </row>
    <row r="3">
      <c r="A3" t="inlineStr">
        <is>
          <t>2021-01-04</t>
        </is>
      </c>
      <c r="B3" t="n">
        <v>683</v>
      </c>
      <c r="C3" t="n">
        <v>396</v>
      </c>
      <c r="D3" t="n">
        <v>563</v>
      </c>
      <c r="E3" t="inlineStr">
        <is>
          <t>39.395248997260289</t>
        </is>
      </c>
      <c r="F3" t="inlineStr">
        <is>
          <t>3.6389083275017535</t>
        </is>
      </c>
      <c r="G3" t="inlineStr">
        <is>
          <t>0.3265686960578506</t>
        </is>
      </c>
    </row>
    <row r="4">
      <c r="A4" t="inlineStr">
        <is>
          <t>2021-01-05</t>
        </is>
      </c>
      <c r="B4" t="n">
        <v>304</v>
      </c>
      <c r="C4" t="n">
        <v>403</v>
      </c>
      <c r="D4" t="n">
        <v>617</v>
      </c>
      <c r="E4" t="inlineStr">
        <is>
          <t>8.5577827885583311</t>
        </is>
      </c>
      <c r="F4" t="inlineStr">
        <is>
          <t>3.7188872620790758</t>
        </is>
      </c>
      <c r="G4" t="inlineStr">
        <is>
          <t>0.38067349926793892</t>
        </is>
      </c>
    </row>
    <row r="5">
      <c r="A5" t="inlineStr">
        <is>
          <t>2021-01-06</t>
        </is>
      </c>
      <c r="B5" t="n">
        <v>336</v>
      </c>
      <c r="C5" t="n">
        <v>125</v>
      </c>
      <c r="D5" t="n">
        <v>546</v>
      </c>
      <c r="E5" t="inlineStr">
        <is>
          <t>9.3975038540327365</t>
        </is>
      </c>
      <c r="F5" t="inlineStr">
        <is>
          <t>1.6491228070175601</t>
        </is>
      </c>
      <c r="G5" t="inlineStr">
        <is>
          <t>0.31578947368421251</t>
        </is>
      </c>
    </row>
    <row r="6">
      <c r="A6" t="inlineStr">
        <is>
          <t>2021-01-07</t>
        </is>
      </c>
      <c r="B6" t="n">
        <v>150</v>
      </c>
      <c r="C6" t="n">
        <v>322</v>
      </c>
      <c r="D6" t="n">
        <v>539</v>
      </c>
      <c r="E6" t="inlineStr">
        <is>
          <t>5.8006271708420538</t>
        </is>
      </c>
      <c r="F6" t="inlineStr">
        <is>
          <t>2.8500619578686459</t>
        </is>
      </c>
      <c r="G6" t="inlineStr">
        <is>
          <t>0.30978934324658791</t>
        </is>
      </c>
    </row>
    <row r="7">
      <c r="A7" t="inlineStr">
        <is>
          <t>2021-01-11</t>
        </is>
      </c>
      <c r="B7" t="n">
        <v>377</v>
      </c>
      <c r="C7" t="n">
        <v>327</v>
      </c>
      <c r="D7" t="n">
        <v>452</v>
      </c>
      <c r="E7" t="inlineStr">
        <is>
          <t>10.382917842991466</t>
        </is>
      </c>
      <c r="F7" t="inlineStr">
        <is>
          <t>2.8862077123255241</t>
        </is>
      </c>
      <c r="G7" t="inlineStr">
        <is>
          <t>0.260231842914602</t>
        </is>
      </c>
    </row>
    <row r="8">
      <c r="A8" t="inlineStr">
        <is>
          <t>2021-01-12</t>
        </is>
      </c>
      <c r="B8" t="n">
        <v>167</v>
      </c>
      <c r="C8" t="n">
        <v>144</v>
      </c>
      <c r="D8" t="n">
        <v>540</v>
      </c>
      <c r="E8" t="inlineStr">
        <is>
          <t>6.1259240800733474</t>
        </is>
      </c>
      <c r="F8" t="inlineStr">
        <is>
          <t>1.7466110531803931</t>
        </is>
      </c>
      <c r="G8" t="inlineStr">
        <is>
          <t>0.31282586027112019</t>
        </is>
      </c>
    </row>
    <row r="9">
      <c r="A9" t="inlineStr">
        <is>
          <t>2021-01-13</t>
        </is>
      </c>
      <c r="B9" t="n">
        <v>54</v>
      </c>
      <c r="C9" t="n">
        <v>306</v>
      </c>
      <c r="D9" t="n">
        <v>557</v>
      </c>
      <c r="E9" t="inlineStr">
        <is>
          <t>4.0768782760634004</t>
        </is>
      </c>
      <c r="F9" t="inlineStr">
        <is>
          <t>2.7191413237924742</t>
        </is>
      </c>
      <c r="G9" t="inlineStr">
        <is>
          <t>0.3220035778175333</t>
        </is>
      </c>
    </row>
    <row r="10">
      <c r="A10" t="inlineStr">
        <is>
          <t>2021-01-14</t>
        </is>
      </c>
      <c r="B10" t="n">
        <v>193</v>
      </c>
      <c r="C10" t="n">
        <v>366</v>
      </c>
      <c r="D10" t="n">
        <v>666</v>
      </c>
      <c r="E10" t="inlineStr">
        <is>
          <t>6.4240637871747959</t>
        </is>
      </c>
      <c r="F10" t="inlineStr">
        <is>
          <t>3.3197437390797999</t>
        </is>
      </c>
      <c r="G10" t="inlineStr">
        <is>
          <t>0.46592894583575839</t>
        </is>
      </c>
    </row>
    <row r="11">
      <c r="A11" t="inlineStr">
        <is>
          <t>2021-01-15</t>
        </is>
      </c>
      <c r="B11" t="n">
        <v>505</v>
      </c>
      <c r="C11" t="n">
        <v>151</v>
      </c>
      <c r="D11" t="n">
        <v>579</v>
      </c>
      <c r="E11" t="inlineStr">
        <is>
          <t>14.895066822351504</t>
        </is>
      </c>
      <c r="F11" t="inlineStr">
        <is>
          <t>1.7880670054583101</t>
        </is>
      </c>
      <c r="G11" t="inlineStr">
        <is>
          <t>0.33879164313947141</t>
        </is>
      </c>
    </row>
    <row r="12">
      <c r="A12" t="inlineStr">
        <is>
          <t>2021-01-18</t>
        </is>
      </c>
      <c r="B12" t="n">
        <v>100</v>
      </c>
      <c r="C12" t="n">
        <v>45</v>
      </c>
      <c r="D12" t="n">
        <v>414</v>
      </c>
      <c r="E12" t="inlineStr">
        <is>
          <t>5.10773143756479</t>
        </is>
      </c>
      <c r="F12" t="inlineStr">
        <is>
          <t>1.1741682974559726</t>
        </is>
      </c>
      <c r="G12" t="inlineStr">
        <is>
          <t>0.2490660024906661</t>
        </is>
      </c>
    </row>
    <row r="13">
      <c r="A13" t="inlineStr">
        <is>
          <t>2021-01-19</t>
        </is>
      </c>
      <c r="B13" t="n">
        <v>383</v>
      </c>
      <c r="C13" t="n">
        <v>505</v>
      </c>
      <c r="D13" t="n">
        <v>690</v>
      </c>
      <c r="E13" t="inlineStr">
        <is>
          <t>10.614307390343289</t>
        </is>
      </c>
      <c r="F13" t="inlineStr">
        <is>
          <t>5.2358490566037839</t>
        </is>
      </c>
      <c r="G13" t="inlineStr">
        <is>
          <t>0.56603773584906458</t>
        </is>
      </c>
    </row>
    <row r="14">
      <c r="A14" t="inlineStr">
        <is>
          <t>2021-01-20</t>
        </is>
      </c>
      <c r="B14" t="n">
        <v>295</v>
      </c>
      <c r="C14" t="n">
        <v>575</v>
      </c>
      <c r="D14" t="n">
        <v>671</v>
      </c>
      <c r="E14" t="inlineStr">
        <is>
          <t>8.4278745932260524</t>
        </is>
      </c>
      <c r="F14" t="inlineStr">
        <is>
          <t>7.4086603518268044</t>
        </is>
      </c>
      <c r="G14" t="inlineStr">
        <is>
          <t>0.47361299052773248</t>
        </is>
      </c>
    </row>
    <row r="15">
      <c r="A15" t="inlineStr">
        <is>
          <t>2021-01-21</t>
        </is>
      </c>
    </row>
    <row r="16">
      <c r="A16" t="inlineStr">
        <is>
          <t>2021-01-22</t>
        </is>
      </c>
      <c r="B16" t="n">
        <v>253</v>
      </c>
      <c r="C16" t="n">
        <v>123</v>
      </c>
      <c r="D16" t="n">
        <v>510</v>
      </c>
      <c r="E16" t="inlineStr">
        <is>
          <t>7.4583317507392879</t>
        </is>
      </c>
      <c r="F16" t="inlineStr">
        <is>
          <t>1.6354746248524583</t>
        </is>
      </c>
      <c r="G16" t="inlineStr">
        <is>
          <t>0.28662957342775058</t>
        </is>
      </c>
    </row>
    <row r="17">
      <c r="A17" t="inlineStr">
        <is>
          <t>2021-01-25</t>
        </is>
      </c>
      <c r="B17" t="n">
        <v>531</v>
      </c>
      <c r="C17" t="n">
        <v>235</v>
      </c>
      <c r="D17" t="n">
        <v>554</v>
      </c>
      <c r="E17" t="inlineStr">
        <is>
          <t>16.728850325378602</t>
        </is>
      </c>
      <c r="F17" t="inlineStr">
        <is>
          <t>2.268620758883749</t>
        </is>
      </c>
      <c r="G17" t="inlineStr">
        <is>
          <t>0.32122063842601772</t>
        </is>
      </c>
    </row>
    <row r="18">
      <c r="A18" t="inlineStr">
        <is>
          <t>2021-01-27</t>
        </is>
      </c>
      <c r="B18" t="n">
        <v>675</v>
      </c>
      <c r="C18" t="n">
        <v>627</v>
      </c>
      <c r="D18" t="n">
        <v>713</v>
      </c>
      <c r="E18" t="inlineStr">
        <is>
          <t>37.435211680069074</t>
        </is>
      </c>
      <c r="F18" t="inlineStr">
        <is>
          <t>9.6825396825396712</t>
        </is>
      </c>
      <c r="G18" t="inlineStr">
        <is>
          <t>1.3756613756613727</t>
        </is>
      </c>
    </row>
    <row r="19">
      <c r="A19" t="inlineStr">
        <is>
          <t>2021-01-28</t>
        </is>
      </c>
      <c r="B19" t="n">
        <v>610</v>
      </c>
      <c r="C19" t="n">
        <v>481</v>
      </c>
      <c r="D19" t="n">
        <v>663</v>
      </c>
      <c r="E19" t="inlineStr">
        <is>
          <t>24.560100115768659</t>
        </is>
      </c>
      <c r="F19" t="inlineStr">
        <is>
          <t>4.7879616963064295</t>
        </is>
      </c>
      <c r="G19" t="inlineStr">
        <is>
          <t>0.4559963520291837</t>
        </is>
      </c>
    </row>
    <row r="20">
      <c r="A20" t="inlineStr">
        <is>
          <t>2021-01-29</t>
        </is>
      </c>
      <c r="B20" t="n">
        <v>710</v>
      </c>
      <c r="C20" t="n">
        <v>590</v>
      </c>
      <c r="D20" t="n">
        <v>556</v>
      </c>
      <c r="E20" t="inlineStr">
        <is>
          <t>59.808182765185535</t>
        </is>
      </c>
      <c r="F20" t="inlineStr">
        <is>
          <t>8.0519182173213899</t>
        </is>
      </c>
      <c r="G20" t="inlineStr">
        <is>
          <t>0.32161727544222501</t>
        </is>
      </c>
    </row>
    <row r="21">
      <c r="A21" t="inlineStr">
        <is>
          <t>2021-02-01</t>
        </is>
      </c>
      <c r="B21" t="n">
        <v>405</v>
      </c>
      <c r="C21" t="n">
        <v>119</v>
      </c>
      <c r="D21" t="n">
        <v>660</v>
      </c>
      <c r="E21" t="inlineStr">
        <is>
          <t>11.383308360368233</t>
        </is>
      </c>
      <c r="F21" t="inlineStr">
        <is>
          <t>1.623073330219521</t>
        </is>
      </c>
      <c r="G21" t="inlineStr">
        <is>
          <t>0.45539467538533129</t>
        </is>
      </c>
    </row>
    <row r="22">
      <c r="A22" t="inlineStr">
        <is>
          <t>2021-02-03</t>
        </is>
      </c>
      <c r="B22" t="n">
        <v>669</v>
      </c>
      <c r="C22" t="n">
        <v>350</v>
      </c>
      <c r="D22" t="n">
        <v>700</v>
      </c>
      <c r="E22" t="inlineStr">
        <is>
          <t>35.667553800269026</t>
        </is>
      </c>
      <c r="F22" t="inlineStr">
        <is>
          <t>3.1544136352073204</t>
        </is>
      </c>
      <c r="G22" t="inlineStr">
        <is>
          <t>0.6359704909692262</t>
        </is>
      </c>
    </row>
    <row r="23">
      <c r="A23" t="inlineStr">
        <is>
          <t>2021-02-04</t>
        </is>
      </c>
      <c r="B23" t="n">
        <v>624</v>
      </c>
      <c r="C23" t="n">
        <v>649</v>
      </c>
      <c r="D23" t="n">
        <v>621</v>
      </c>
      <c r="E23" t="inlineStr">
        <is>
          <t>26.100975816715422</t>
        </is>
      </c>
      <c r="F23" t="inlineStr">
        <is>
          <t>12.252811167119049</t>
        </is>
      </c>
      <c r="G23" t="inlineStr">
        <is>
          <t>0.387747188832892</t>
        </is>
      </c>
    </row>
    <row r="24">
      <c r="A24" t="inlineStr">
        <is>
          <t>2021-02-05</t>
        </is>
      </c>
      <c r="B24" t="n">
        <v>553</v>
      </c>
      <c r="C24" t="n">
        <v>603</v>
      </c>
      <c r="D24" t="n">
        <v>699</v>
      </c>
      <c r="E24" t="inlineStr">
        <is>
          <t>18.371403521688112</t>
        </is>
      </c>
      <c r="F24" t="inlineStr">
        <is>
          <t>8.5873433390066527</t>
        </is>
      </c>
      <c r="G24" t="inlineStr">
        <is>
          <t>0.61890762803651556</t>
        </is>
      </c>
    </row>
    <row r="25">
      <c r="A25" t="inlineStr">
        <is>
          <t>2021-02-08</t>
        </is>
      </c>
      <c r="B25" t="n">
        <v>635</v>
      </c>
      <c r="C25" t="n">
        <v>534</v>
      </c>
      <c r="D25" t="n">
        <v>684</v>
      </c>
      <c r="E25" t="inlineStr">
        <is>
          <t>27.113598001036213</t>
        </is>
      </c>
      <c r="F25" t="inlineStr">
        <is>
          <t>6.0065213660545922</t>
        </is>
      </c>
      <c r="G25" t="inlineStr">
        <is>
          <t>0.5148446885189536</t>
        </is>
      </c>
    </row>
    <row r="26">
      <c r="A26" t="inlineStr">
        <is>
          <t>2021-02-09</t>
        </is>
      </c>
      <c r="B26" t="n">
        <v>457</v>
      </c>
      <c r="C26" t="n">
        <v>619</v>
      </c>
      <c r="D26" t="n">
        <v>633</v>
      </c>
      <c r="E26" t="inlineStr">
        <is>
          <t>12.9522550801258</t>
        </is>
      </c>
      <c r="F26" t="inlineStr">
        <is>
          <t>9.4184027777777715</t>
        </is>
      </c>
      <c r="G26" t="inlineStr">
        <is>
          <t>0.41232638888889012</t>
        </is>
      </c>
    </row>
    <row r="27">
      <c r="A27" t="inlineStr">
        <is>
          <t>2021-02-10</t>
        </is>
      </c>
    </row>
    <row r="28">
      <c r="A28" t="inlineStr">
        <is>
          <t>2021-02-11</t>
        </is>
      </c>
      <c r="B28" t="n">
        <v>370</v>
      </c>
      <c r="C28" t="n">
        <v>482</v>
      </c>
      <c r="D28" t="n">
        <v>619</v>
      </c>
      <c r="E28" t="inlineStr">
        <is>
          <t>10.214775606584974</t>
        </is>
      </c>
      <c r="F28" t="inlineStr">
        <is>
          <t>4.7881355932203444</t>
        </is>
      </c>
      <c r="G28" t="inlineStr">
        <is>
          <t>0.3813559322034043</t>
        </is>
      </c>
    </row>
    <row r="29">
      <c r="A29" t="inlineStr">
        <is>
          <t>2021-02-12</t>
        </is>
      </c>
      <c r="B29" t="n">
        <v>156</v>
      </c>
      <c r="C29" t="n">
        <v>85</v>
      </c>
      <c r="D29" t="n">
        <v>680</v>
      </c>
      <c r="E29" t="inlineStr">
        <is>
          <t>5.8863571341654763</t>
        </is>
      </c>
      <c r="F29" t="inlineStr">
        <is>
          <t>1.4448257178977786</t>
        </is>
      </c>
      <c r="G29" t="inlineStr">
        <is>
          <t>0.50568900126421423</t>
        </is>
      </c>
    </row>
    <row r="30">
      <c r="A30" t="inlineStr">
        <is>
          <t>2021-02-16</t>
        </is>
      </c>
      <c r="B30" t="n">
        <v>240</v>
      </c>
      <c r="C30" t="n">
        <v>241</v>
      </c>
      <c r="D30" t="n">
        <v>530</v>
      </c>
      <c r="E30" t="inlineStr">
        <is>
          <t>7.2777366239104371</t>
        </is>
      </c>
      <c r="F30" t="inlineStr">
        <is>
          <t>2.2838499184339405</t>
        </is>
      </c>
      <c r="G30" t="inlineStr">
        <is>
          <t>0.29907558455682282</t>
        </is>
      </c>
    </row>
    <row r="31">
      <c r="A31" t="inlineStr">
        <is>
          <t>2021-02-17</t>
        </is>
      </c>
      <c r="B31" t="n">
        <v>329</v>
      </c>
      <c r="C31" t="n">
        <v>252</v>
      </c>
      <c r="D31" t="n">
        <v>673</v>
      </c>
      <c r="E31" t="inlineStr">
        <is>
          <t>9.2322500171879405</t>
        </is>
      </c>
      <c r="F31" t="inlineStr">
        <is>
          <t>2.3499523658304518</t>
        </is>
      </c>
      <c r="G31" t="inlineStr">
        <is>
          <t>0.47634169577643698</t>
        </is>
      </c>
    </row>
    <row r="32">
      <c r="A32" t="inlineStr">
        <is>
          <t>2021-02-18</t>
        </is>
      </c>
      <c r="B32" t="n">
        <v>468</v>
      </c>
      <c r="C32" t="n">
        <v>475</v>
      </c>
      <c r="D32" t="n">
        <v>650</v>
      </c>
      <c r="E32" t="inlineStr">
        <is>
          <t>13.27776828322448</t>
        </is>
      </c>
      <c r="F32" t="inlineStr">
        <is>
          <t>4.6783625730994132</t>
        </is>
      </c>
      <c r="G32" t="inlineStr">
        <is>
          <t>0.4385964912280661</t>
        </is>
      </c>
    </row>
    <row r="33">
      <c r="A33" t="inlineStr">
        <is>
          <t>2021-02-19</t>
        </is>
      </c>
      <c r="B33" t="n">
        <v>612</v>
      </c>
      <c r="C33" t="n">
        <v>422</v>
      </c>
      <c r="D33" t="n">
        <v>711</v>
      </c>
      <c r="E33" t="inlineStr">
        <is>
          <t>24.591662097271204</t>
        </is>
      </c>
      <c r="F33" t="inlineStr">
        <is>
          <t>3.9421587192287793</t>
        </is>
      </c>
      <c r="G33" t="inlineStr">
        <is>
          <t>0.91237734549836658</t>
        </is>
      </c>
    </row>
    <row r="34">
      <c r="A34" t="inlineStr">
        <is>
          <t>2021-02-22</t>
        </is>
      </c>
      <c r="B34" t="n">
        <v>605</v>
      </c>
      <c r="C34" t="n">
        <v>460</v>
      </c>
      <c r="D34" t="n">
        <v>698</v>
      </c>
      <c r="E34" t="inlineStr">
        <is>
          <t>23.928002112081369</t>
        </is>
      </c>
      <c r="F34" t="inlineStr">
        <is>
          <t>4.4529019980970457</t>
        </is>
      </c>
      <c r="G34" t="inlineStr">
        <is>
          <t>0.60894386298763414</t>
        </is>
      </c>
    </row>
    <row r="35">
      <c r="A35" t="inlineStr">
        <is>
          <t>2021-02-23</t>
        </is>
      </c>
      <c r="B35" t="n">
        <v>338</v>
      </c>
      <c r="C35" t="n">
        <v>132</v>
      </c>
      <c r="D35" t="n">
        <v>640</v>
      </c>
      <c r="E35" t="inlineStr">
        <is>
          <t>9.4079469882634328</t>
        </is>
      </c>
      <c r="F35" t="inlineStr">
        <is>
          <t>1.6845651716150771</t>
        </is>
      </c>
      <c r="G35" t="inlineStr">
        <is>
          <t>0.42114129290376928</t>
        </is>
      </c>
    </row>
    <row r="36">
      <c r="A36" t="inlineStr">
        <is>
          <t>2021-02-24</t>
        </is>
      </c>
      <c r="B36" t="n">
        <v>552</v>
      </c>
      <c r="C36" t="n">
        <v>635</v>
      </c>
      <c r="D36" t="n">
        <v>654</v>
      </c>
      <c r="E36" t="inlineStr">
        <is>
          <t>18.363758562400179</t>
        </is>
      </c>
      <c r="F36" t="inlineStr">
        <is>
          <t>10.077734591893396</t>
        </is>
      </c>
      <c r="G36" t="inlineStr">
        <is>
          <t>0.44419766796224941</t>
        </is>
      </c>
    </row>
    <row r="37">
      <c r="A37" t="inlineStr">
        <is>
          <t>2021-02-25</t>
        </is>
      </c>
      <c r="B37" t="n">
        <v>650</v>
      </c>
      <c r="C37" t="n">
        <v>699</v>
      </c>
      <c r="D37" t="n">
        <v>667</v>
      </c>
      <c r="E37" t="inlineStr">
        <is>
          <t>30.73736591692688</t>
        </is>
      </c>
      <c r="F37" t="inlineStr">
        <is>
          <t>23.69158878504674</t>
        </is>
      </c>
      <c r="G37" t="inlineStr">
        <is>
          <t>0.46728971962616161</t>
        </is>
      </c>
    </row>
    <row r="38">
      <c r="A38" t="inlineStr">
        <is>
          <t>2021-02-26</t>
        </is>
      </c>
      <c r="B38" t="n">
        <v>562</v>
      </c>
      <c r="C38" t="n">
        <v>377</v>
      </c>
      <c r="D38" t="n">
        <v>629</v>
      </c>
      <c r="E38" t="inlineStr">
        <is>
          <t>19.738240563602684</t>
        </is>
      </c>
      <c r="F38" t="inlineStr">
        <is>
          <t>3.4904493610004241</t>
        </is>
      </c>
      <c r="G38" t="inlineStr">
        <is>
          <t>0.39851587192524851</t>
        </is>
      </c>
    </row>
    <row r="39">
      <c r="A39" t="inlineStr">
        <is>
          <t>2021-03-02</t>
        </is>
      </c>
      <c r="B39" t="n">
        <v>571</v>
      </c>
      <c r="C39" t="n">
        <v>560</v>
      </c>
      <c r="D39" t="n">
        <v>636</v>
      </c>
      <c r="E39" t="inlineStr">
        <is>
          <t>20.563695117051477</t>
        </is>
      </c>
      <c r="F39" t="inlineStr">
        <is>
          <t>6.883468834688351</t>
        </is>
      </c>
      <c r="G39" t="inlineStr">
        <is>
          <t>0.41553748870822238</t>
        </is>
      </c>
    </row>
    <row r="40">
      <c r="A40" t="inlineStr">
        <is>
          <t>2021-03-03</t>
        </is>
      </c>
    </row>
    <row r="41">
      <c r="A41" t="inlineStr">
        <is>
          <t>2021-03-04</t>
        </is>
      </c>
      <c r="B41" t="n">
        <v>489</v>
      </c>
      <c r="C41" t="n">
        <v>518</v>
      </c>
      <c r="D41" t="n">
        <v>674</v>
      </c>
      <c r="E41" t="inlineStr">
        <is>
          <t>14.249035948091596</t>
        </is>
      </c>
      <c r="F41" t="inlineStr">
        <is>
          <t>5.5443140428976072</t>
        </is>
      </c>
      <c r="G41" t="inlineStr">
        <is>
          <t>0.48563334682314963</t>
        </is>
      </c>
    </row>
    <row r="42">
      <c r="A42" t="inlineStr">
        <is>
          <t>2021-03-05</t>
        </is>
      </c>
      <c r="B42" t="n">
        <v>701</v>
      </c>
      <c r="C42" t="n">
        <v>632</v>
      </c>
      <c r="D42" t="n">
        <v>705</v>
      </c>
      <c r="E42" t="inlineStr">
        <is>
          <t>52.152024154621465</t>
        </is>
      </c>
      <c r="F42" t="inlineStr">
        <is>
          <t>9.9749202006383939</t>
        </is>
      </c>
      <c r="G42" t="inlineStr">
        <is>
          <t>0.75239398084814935</t>
        </is>
      </c>
    </row>
    <row r="43">
      <c r="A43" t="inlineStr">
        <is>
          <t>2021-03-08</t>
        </is>
      </c>
      <c r="B43" t="n">
        <v>662</v>
      </c>
      <c r="C43" t="n">
        <v>365</v>
      </c>
      <c r="D43" t="n">
        <v>451</v>
      </c>
      <c r="E43" t="inlineStr">
        <is>
          <t>34.625577647857881</t>
        </is>
      </c>
      <c r="F43" t="inlineStr">
        <is>
          <t>3.3057851239669631</t>
        </is>
      </c>
      <c r="G43" t="inlineStr">
        <is>
          <t>0.26017753290480389</t>
        </is>
      </c>
    </row>
    <row r="44">
      <c r="A44" t="inlineStr">
        <is>
          <t>2021-03-09</t>
        </is>
      </c>
      <c r="B44" t="n">
        <v>420</v>
      </c>
      <c r="C44" t="n">
        <v>313</v>
      </c>
      <c r="D44" t="n">
        <v>516</v>
      </c>
      <c r="E44" t="inlineStr">
        <is>
          <t>11.663082698546001</t>
        </is>
      </c>
      <c r="F44" t="inlineStr">
        <is>
          <t>2.7582869586257042</t>
        </is>
      </c>
      <c r="G44" t="inlineStr">
        <is>
          <t>0.29034599564481411</t>
        </is>
      </c>
    </row>
    <row r="45">
      <c r="A45" t="inlineStr">
        <is>
          <t>2021-03-10</t>
        </is>
      </c>
      <c r="B45" t="n">
        <v>70</v>
      </c>
      <c r="C45" t="n">
        <v>357</v>
      </c>
      <c r="D45" t="n">
        <v>609</v>
      </c>
      <c r="E45" t="inlineStr">
        <is>
          <t>4.4736400627632564</t>
        </is>
      </c>
      <c r="F45" t="inlineStr">
        <is>
          <t>3.2189973614775691</t>
        </is>
      </c>
      <c r="G45" t="inlineStr">
        <is>
          <t>0.36939313984168259</t>
        </is>
      </c>
    </row>
    <row r="46">
      <c r="A46" t="inlineStr">
        <is>
          <t>2021-03-16</t>
        </is>
      </c>
      <c r="B46" t="n">
        <v>451</v>
      </c>
      <c r="C46" t="n">
        <v>273</v>
      </c>
      <c r="D46" t="n">
        <v>611</v>
      </c>
      <c r="E46" t="inlineStr">
        <is>
          <t>12.804097311140049</t>
        </is>
      </c>
      <c r="F46" t="inlineStr">
        <is>
          <t>2.4607113316790685</t>
        </is>
      </c>
      <c r="G46" t="inlineStr">
        <is>
          <t>0.37220843672456222</t>
        </is>
      </c>
    </row>
    <row r="47">
      <c r="A47" t="inlineStr">
        <is>
          <t>2021-03-17</t>
        </is>
      </c>
      <c r="B47" t="n">
        <v>703</v>
      </c>
      <c r="C47" t="n">
        <v>628</v>
      </c>
      <c r="D47" t="n">
        <v>658</v>
      </c>
      <c r="E47" t="inlineStr">
        <is>
          <t>53.071322352057287</t>
        </is>
      </c>
      <c r="F47" t="inlineStr">
        <is>
          <t>9.8265895953757294</t>
        </is>
      </c>
      <c r="G47" t="inlineStr">
        <is>
          <t>0.45237496858506732</t>
        </is>
      </c>
    </row>
    <row r="48">
      <c r="A48" t="inlineStr">
        <is>
          <t>2021-03-18</t>
        </is>
      </c>
      <c r="B48" t="n">
        <v>685</v>
      </c>
      <c r="C48" t="n">
        <v>687</v>
      </c>
      <c r="D48" t="n">
        <v>613</v>
      </c>
      <c r="E48" t="inlineStr">
        <is>
          <t>40.447243458053599</t>
        </is>
      </c>
      <c r="F48" t="inlineStr">
        <is>
          <t>19.061032863849764</t>
        </is>
      </c>
      <c r="G48" t="inlineStr">
        <is>
          <t>0.37558685446009921</t>
        </is>
      </c>
    </row>
    <row r="49">
      <c r="A49" t="inlineStr">
        <is>
          <t>2021-03-19</t>
        </is>
      </c>
      <c r="B49" t="n">
        <v>582</v>
      </c>
      <c r="C49" t="n">
        <v>512</v>
      </c>
      <c r="D49" t="n">
        <v>471</v>
      </c>
      <c r="E49" t="inlineStr">
        <is>
          <t>21.081032591070123</t>
        </is>
      </c>
      <c r="F49" t="inlineStr">
        <is>
          <t>5.3749680061428213</t>
        </is>
      </c>
      <c r="G49" t="inlineStr">
        <is>
          <t>0.2687484003071367</t>
        </is>
      </c>
    </row>
    <row r="50">
      <c r="A50" t="inlineStr">
        <is>
          <t>2021-03-22</t>
        </is>
      </c>
      <c r="B50" t="n">
        <v>697</v>
      </c>
      <c r="C50" t="n">
        <v>574</v>
      </c>
      <c r="D50" t="n">
        <v>648</v>
      </c>
      <c r="E50" t="inlineStr">
        <is>
          <t>48.012630962873473</t>
        </is>
      </c>
      <c r="F50" t="inlineStr">
        <is>
          <t>7.3976833976833936</t>
        </is>
      </c>
      <c r="G50" t="inlineStr">
        <is>
          <t>0.43243243243243418</t>
        </is>
      </c>
    </row>
    <row r="51">
      <c r="A51" t="inlineStr">
        <is>
          <t>2021-03-23</t>
        </is>
      </c>
      <c r="B51" t="n">
        <v>661</v>
      </c>
      <c r="C51" t="n">
        <v>665</v>
      </c>
      <c r="D51" t="n">
        <v>592</v>
      </c>
      <c r="E51" t="inlineStr">
        <is>
          <t>34.467814239474421</t>
        </is>
      </c>
      <c r="F51" t="inlineStr">
        <is>
          <t>14.920757634325458</t>
        </is>
      </c>
      <c r="G51" t="inlineStr">
        <is>
          <t>0.3478933127174299</t>
        </is>
      </c>
    </row>
    <row r="52">
      <c r="A52" t="inlineStr">
        <is>
          <t>2021-03-24</t>
        </is>
      </c>
      <c r="B52" t="n">
        <v>606</v>
      </c>
      <c r="C52" t="n">
        <v>680</v>
      </c>
      <c r="D52" t="n">
        <v>534</v>
      </c>
      <c r="E52" t="inlineStr">
        <is>
          <t>24.055320460913489</t>
        </is>
      </c>
      <c r="F52" t="inlineStr">
        <is>
          <t>17.182389937106919</t>
        </is>
      </c>
      <c r="G52" t="inlineStr">
        <is>
          <t>0.3018867924528344</t>
        </is>
      </c>
    </row>
    <row r="53">
      <c r="A53" t="inlineStr">
        <is>
          <t>2021-03-25</t>
        </is>
      </c>
      <c r="B53" t="n">
        <v>682</v>
      </c>
      <c r="C53" t="n">
        <v>609</v>
      </c>
      <c r="D53" t="n">
        <v>647</v>
      </c>
      <c r="E53" t="inlineStr">
        <is>
          <t>39.380523350961873</t>
        </is>
      </c>
      <c r="F53" t="inlineStr">
        <is>
          <t>9.0745408714440003</t>
        </is>
      </c>
      <c r="G53" t="inlineStr">
        <is>
          <t>0.43212099387828179</t>
        </is>
      </c>
    </row>
    <row r="54">
      <c r="A54" t="inlineStr">
        <is>
          <t>2021-03-26</t>
        </is>
      </c>
      <c r="B54" t="n">
        <v>657</v>
      </c>
      <c r="C54" t="n">
        <v>624</v>
      </c>
      <c r="D54" t="n">
        <v>669</v>
      </c>
      <c r="E54" t="inlineStr">
        <is>
          <t>31.777871985495601</t>
        </is>
      </c>
      <c r="F54" t="inlineStr">
        <is>
          <t>9.6135198780994724</t>
        </is>
      </c>
      <c r="G54" t="inlineStr">
        <is>
          <t>0.47097936002216062</t>
        </is>
      </c>
    </row>
    <row r="55">
      <c r="A55" t="inlineStr">
        <is>
          <t>2021-03-31</t>
        </is>
      </c>
      <c r="B55" t="n">
        <v>641</v>
      </c>
      <c r="C55" t="n">
        <v>501</v>
      </c>
      <c r="D55" t="n">
        <v>486</v>
      </c>
      <c r="E55" t="inlineStr">
        <is>
          <t>27.892635329995237</t>
        </is>
      </c>
      <c r="F55" t="inlineStr">
        <is>
          <t>5.1494599346897765</t>
        </is>
      </c>
      <c r="G55" t="inlineStr">
        <is>
          <t>0.2763124843004327</t>
        </is>
      </c>
    </row>
    <row r="56">
      <c r="A56" t="inlineStr">
        <is>
          <t>2021-04-01</t>
        </is>
      </c>
      <c r="B56" t="n">
        <v>432</v>
      </c>
      <c r="C56" t="n">
        <v>638</v>
      </c>
      <c r="D56" t="n">
        <v>681</v>
      </c>
      <c r="E56" t="inlineStr">
        <is>
          <t>12.043912918450591</t>
        </is>
      </c>
      <c r="F56" t="inlineStr">
        <is>
          <t>10.557860765329661</t>
        </is>
      </c>
      <c r="G56" t="inlineStr">
        <is>
          <t>0.50714615029966159</t>
        </is>
      </c>
    </row>
    <row r="57">
      <c r="A57" t="inlineStr">
        <is>
          <t>2021-04-05</t>
        </is>
      </c>
      <c r="B57" t="n">
        <v>713</v>
      </c>
      <c r="C57" t="n">
        <v>661</v>
      </c>
      <c r="D57" t="n">
        <v>391</v>
      </c>
      <c r="E57" t="inlineStr">
        <is>
          <t>61.797847718479488</t>
        </is>
      </c>
      <c r="F57" t="inlineStr">
        <is>
          <t>14.216784421850766</t>
        </is>
      </c>
      <c r="G57" t="inlineStr">
        <is>
          <t>0.24125452352231211</t>
        </is>
      </c>
    </row>
    <row r="58">
      <c r="A58" t="inlineStr">
        <is>
          <t>2021-04-06</t>
        </is>
      </c>
      <c r="B58" t="n">
        <v>547</v>
      </c>
      <c r="C58" t="n">
        <v>217</v>
      </c>
      <c r="D58" t="n">
        <v>656</v>
      </c>
      <c r="E58" t="inlineStr">
        <is>
          <t>18.183433934661689</t>
        </is>
      </c>
      <c r="F58" t="inlineStr">
        <is>
          <t>2.1359223300970878</t>
        </is>
      </c>
      <c r="G58" t="inlineStr">
        <is>
          <t>0.446601941747575</t>
        </is>
      </c>
    </row>
    <row r="59">
      <c r="A59" t="inlineStr">
        <is>
          <t>2021-04-07</t>
        </is>
      </c>
      <c r="B59" t="n">
        <v>695</v>
      </c>
      <c r="C59" t="n">
        <v>610</v>
      </c>
      <c r="D59" t="n">
        <v>709</v>
      </c>
      <c r="E59" t="inlineStr">
        <is>
          <t>45.603049278518917</t>
        </is>
      </c>
      <c r="F59" t="inlineStr">
        <is>
          <t>9.0930902111324325</t>
        </is>
      </c>
      <c r="G59" t="inlineStr">
        <is>
          <t>0.88771593090211531</t>
        </is>
      </c>
    </row>
    <row r="60">
      <c r="A60" t="inlineStr">
        <is>
          <t>2021-04-08</t>
        </is>
      </c>
      <c r="B60" t="n">
        <v>690</v>
      </c>
      <c r="C60" t="n">
        <v>589</v>
      </c>
      <c r="D60" t="n">
        <v>689</v>
      </c>
      <c r="E60" t="inlineStr">
        <is>
          <t>42.891807262073947</t>
        </is>
      </c>
      <c r="F60" t="inlineStr">
        <is>
          <t>7.9492003762934988</t>
        </is>
      </c>
      <c r="G60" t="inlineStr">
        <is>
          <t>0.56444026340545095</t>
        </is>
      </c>
    </row>
    <row r="61">
      <c r="A61" t="inlineStr">
        <is>
          <t>2021-04-09</t>
        </is>
      </c>
      <c r="B61" t="n">
        <v>663</v>
      </c>
      <c r="C61" t="n">
        <v>494</v>
      </c>
      <c r="D61" t="n">
        <v>686</v>
      </c>
      <c r="E61" t="inlineStr">
        <is>
          <t>35.041567595823963</t>
        </is>
      </c>
      <c r="F61" t="inlineStr">
        <is>
          <t>4.9970167064439144</t>
        </is>
      </c>
      <c r="G61" t="inlineStr">
        <is>
          <t>0.52207637231503579</t>
        </is>
      </c>
    </row>
    <row r="62">
      <c r="A62" t="inlineStr">
        <is>
          <t>2021-04-12</t>
        </is>
      </c>
      <c r="B62" t="n">
        <v>29</v>
      </c>
      <c r="C62" t="n">
        <v>370</v>
      </c>
      <c r="D62" t="n">
        <v>473</v>
      </c>
      <c r="E62" t="inlineStr">
        <is>
          <t>3.461381605326602</t>
        </is>
      </c>
      <c r="F62" t="inlineStr">
        <is>
          <t>3.3925686591276212</t>
        </is>
      </c>
      <c r="G62" t="inlineStr">
        <is>
          <t>0.26925148088314482</t>
        </is>
      </c>
    </row>
    <row r="63">
      <c r="A63" t="inlineStr">
        <is>
          <t>2021-04-15</t>
        </is>
      </c>
      <c r="B63" t="n">
        <v>621</v>
      </c>
      <c r="C63" t="n">
        <v>702</v>
      </c>
      <c r="D63" t="n">
        <v>649</v>
      </c>
      <c r="E63" t="inlineStr">
        <is>
          <t>25.700475768860581</t>
        </is>
      </c>
      <c r="F63" t="inlineStr">
        <is>
          <t>26.576728499156811</t>
        </is>
      </c>
      <c r="G63" t="inlineStr">
        <is>
          <t>0.43844856661045911</t>
        </is>
      </c>
    </row>
    <row r="64">
      <c r="A64" t="inlineStr">
        <is>
          <t>2021-04-16</t>
        </is>
      </c>
      <c r="B64" t="n">
        <v>691</v>
      </c>
      <c r="C64" t="n">
        <v>388</v>
      </c>
      <c r="D64" t="n">
        <v>643</v>
      </c>
      <c r="E64" t="inlineStr">
        <is>
          <t>43.269016989502553</t>
        </is>
      </c>
      <c r="F64" t="inlineStr">
        <is>
          <t>3.6055808120395039</t>
        </is>
      </c>
      <c r="G64" t="inlineStr">
        <is>
          <t>0.4232638344568096</t>
        </is>
      </c>
    </row>
    <row r="65">
      <c r="A65" t="inlineStr">
        <is>
          <t>2021-04-19</t>
        </is>
      </c>
      <c r="B65" t="n">
        <v>674</v>
      </c>
      <c r="C65" t="n">
        <v>613</v>
      </c>
      <c r="D65" t="n">
        <v>710</v>
      </c>
      <c r="E65" t="inlineStr">
        <is>
          <t>37.324886978845633</t>
        </is>
      </c>
      <c r="F65" t="inlineStr">
        <is>
          <t>9.1492234976367381</t>
        </is>
      </c>
      <c r="G65" t="inlineStr">
        <is>
          <t>0.89466576637407325</t>
        </is>
      </c>
    </row>
    <row r="66">
      <c r="A66" t="inlineStr">
        <is>
          <t>2021-04-22</t>
        </is>
      </c>
      <c r="B66" t="n">
        <v>653</v>
      </c>
      <c r="C66" t="n">
        <v>675</v>
      </c>
      <c r="D66" t="n">
        <v>704</v>
      </c>
      <c r="E66" t="inlineStr">
        <is>
          <t>31.42355778227487</t>
        </is>
      </c>
      <c r="F66" t="inlineStr">
        <is>
          <t>15.845896147403709</t>
        </is>
      </c>
      <c r="G66" t="inlineStr">
        <is>
          <t>0.73701842546062324</t>
        </is>
      </c>
    </row>
    <row r="67">
      <c r="A67" t="inlineStr">
        <is>
          <t>2021-04-23</t>
        </is>
      </c>
      <c r="B67" t="n">
        <v>668</v>
      </c>
      <c r="C67" t="n">
        <v>471</v>
      </c>
      <c r="D67" t="n">
        <v>608</v>
      </c>
      <c r="E67" t="inlineStr">
        <is>
          <t>35.501639207187367</t>
        </is>
      </c>
      <c r="F67" t="inlineStr">
        <is>
          <t>4.6237288135593095</t>
        </is>
      </c>
      <c r="G67" t="inlineStr">
        <is>
          <t>0.36610169491525268</t>
        </is>
      </c>
    </row>
    <row r="68">
      <c r="A68" t="inlineStr">
        <is>
          <t>2021-04-26</t>
        </is>
      </c>
      <c r="B68" t="n">
        <v>463</v>
      </c>
      <c r="C68" t="n">
        <v>311</v>
      </c>
      <c r="D68" t="n">
        <v>626</v>
      </c>
      <c r="E68" t="inlineStr">
        <is>
          <t>13.086467623109479</t>
        </is>
      </c>
      <c r="F68" t="inlineStr">
        <is>
          <t>2.742324939634353</t>
        </is>
      </c>
      <c r="G68" t="inlineStr">
        <is>
          <t>0.3966885132804337</t>
        </is>
      </c>
    </row>
    <row r="69">
      <c r="A69" t="inlineStr">
        <is>
          <t>2021-04-27</t>
        </is>
      </c>
      <c r="B69" t="n">
        <v>681</v>
      </c>
      <c r="C69" t="n">
        <v>529</v>
      </c>
      <c r="D69" t="n">
        <v>652</v>
      </c>
      <c r="E69" t="inlineStr">
        <is>
          <t>39.307743143518266</t>
        </is>
      </c>
      <c r="F69" t="inlineStr">
        <is>
          <t>5.8154235145385638</t>
        </is>
      </c>
      <c r="G69" t="inlineStr">
        <is>
          <t>0.44247787610619949</t>
        </is>
      </c>
    </row>
    <row r="70">
      <c r="A70" t="inlineStr">
        <is>
          <t>2021-04-28</t>
        </is>
      </c>
      <c r="B70" t="n">
        <v>384</v>
      </c>
      <c r="C70" t="n">
        <v>294</v>
      </c>
      <c r="D70" t="n">
        <v>623</v>
      </c>
      <c r="E70" t="inlineStr">
        <is>
          <t>10.695659260065341</t>
        </is>
      </c>
      <c r="F70" t="inlineStr">
        <is>
          <t>2.609478104379138</t>
        </is>
      </c>
      <c r="G70" t="inlineStr">
        <is>
          <t>0.389922015596884</t>
        </is>
      </c>
    </row>
    <row r="71">
      <c r="A71" t="inlineStr">
        <is>
          <t>2021-04-30</t>
        </is>
      </c>
      <c r="B71" t="n">
        <v>591</v>
      </c>
      <c r="C71" t="n">
        <v>226</v>
      </c>
      <c r="D71" t="n">
        <v>645</v>
      </c>
      <c r="E71" t="inlineStr">
        <is>
          <t>22.243062162080051</t>
        </is>
      </c>
      <c r="F71" t="inlineStr">
        <is>
          <t>2.2077403910094451</t>
        </is>
      </c>
      <c r="G71" t="inlineStr">
        <is>
          <t>0.42558850911025248</t>
        </is>
      </c>
    </row>
    <row r="72">
      <c r="A72" t="inlineStr">
        <is>
          <t>2021-05-05</t>
        </is>
      </c>
      <c r="B72" t="n">
        <v>570</v>
      </c>
      <c r="C72" t="n">
        <v>658</v>
      </c>
      <c r="D72" t="n">
        <v>692</v>
      </c>
      <c r="E72" t="inlineStr">
        <is>
          <t>20.39940244174716</t>
        </is>
      </c>
      <c r="F72" t="inlineStr">
        <is>
          <t>13.889595522767731</t>
        </is>
      </c>
      <c r="G72" t="inlineStr">
        <is>
          <t>0.58509285169167713</t>
        </is>
      </c>
    </row>
    <row r="73">
      <c r="A73" t="inlineStr">
        <is>
          <t>2021-05-06</t>
        </is>
      </c>
      <c r="B73" t="n">
        <v>614</v>
      </c>
      <c r="C73" t="n">
        <v>701</v>
      </c>
      <c r="D73" t="n">
        <v>694</v>
      </c>
      <c r="E73" t="inlineStr">
        <is>
          <t>24.879436974933121</t>
        </is>
      </c>
      <c r="F73" t="inlineStr">
        <is>
          <t>26.365688487584656</t>
        </is>
      </c>
      <c r="G73" t="inlineStr">
        <is>
          <t>0.58690744920993099</t>
        </is>
      </c>
    </row>
    <row r="74">
      <c r="A74" t="inlineStr">
        <is>
          <t>2021-05-07</t>
        </is>
      </c>
      <c r="B74" t="n">
        <v>255</v>
      </c>
      <c r="C74" t="n">
        <v>91</v>
      </c>
      <c r="D74" t="n">
        <v>573</v>
      </c>
      <c r="E74" t="inlineStr">
        <is>
          <t>7.5190251567035347</t>
        </is>
      </c>
      <c r="F74" t="inlineStr">
        <is>
          <t>1.4681286006318486</t>
        </is>
      </c>
      <c r="G74" t="inlineStr">
        <is>
          <t>0.33451031406801918</t>
        </is>
      </c>
    </row>
    <row r="75">
      <c r="A75" t="inlineStr">
        <is>
          <t>2021-05-10</t>
        </is>
      </c>
      <c r="B75" t="n">
        <v>214</v>
      </c>
      <c r="C75" t="n">
        <v>158</v>
      </c>
      <c r="D75" t="n">
        <v>574</v>
      </c>
      <c r="E75" t="inlineStr">
        <is>
          <t>6.867096558077213</t>
        </is>
      </c>
      <c r="F75" t="inlineStr">
        <is>
          <t>1.8168778388716149</t>
        </is>
      </c>
      <c r="G75" t="inlineStr">
        <is>
          <t>0.33468802295003719</t>
        </is>
      </c>
    </row>
    <row r="76">
      <c r="A76" t="inlineStr">
        <is>
          <t>2021-05-12</t>
        </is>
      </c>
      <c r="B76" t="n">
        <v>613</v>
      </c>
      <c r="C76" t="n">
        <v>696</v>
      </c>
      <c r="D76" t="n">
        <v>657</v>
      </c>
      <c r="E76" t="inlineStr">
        <is>
          <t>24.712058876227463</t>
        </is>
      </c>
      <c r="F76" t="inlineStr">
        <is>
          <t>22.255639097744364</t>
        </is>
      </c>
      <c r="G76" t="inlineStr">
        <is>
          <t>0.45112781954887499</t>
        </is>
      </c>
    </row>
    <row r="77">
      <c r="A77" t="inlineStr">
        <is>
          <t>2021-05-14</t>
        </is>
      </c>
      <c r="B77" t="n">
        <v>544</v>
      </c>
      <c r="C77" t="n">
        <v>278</v>
      </c>
      <c r="D77" t="n">
        <v>614</v>
      </c>
      <c r="E77" t="inlineStr">
        <is>
          <t>17.991350573346999</t>
        </is>
      </c>
      <c r="F77" t="inlineStr">
        <is>
          <t>2.4900757849151844</t>
        </is>
      </c>
      <c r="G77" t="inlineStr">
        <is>
          <t>0.3789245759653595</t>
        </is>
      </c>
    </row>
    <row r="78">
      <c r="A78" t="inlineStr">
        <is>
          <t>2021-05-19</t>
        </is>
      </c>
      <c r="B78" t="n">
        <v>97</v>
      </c>
      <c r="C78" t="n">
        <v>78</v>
      </c>
      <c r="D78" t="n">
        <v>586</v>
      </c>
      <c r="E78" t="inlineStr">
        <is>
          <t>5.0779784999063757</t>
        </is>
      </c>
      <c r="F78" t="inlineStr">
        <is>
          <t>1.4074836937864823</t>
        </is>
      </c>
      <c r="G78" t="inlineStr">
        <is>
          <t>0.34328870580157911</t>
        </is>
      </c>
    </row>
    <row r="79">
      <c r="A79" t="inlineStr">
        <is>
          <t>2021-05-20</t>
        </is>
      </c>
      <c r="B79" t="n">
        <v>322</v>
      </c>
      <c r="C79" t="n">
        <v>525</v>
      </c>
      <c r="D79" t="n">
        <v>691</v>
      </c>
      <c r="E79" t="inlineStr">
        <is>
          <t>9.066002490659784</t>
        </is>
      </c>
      <c r="F79" t="inlineStr">
        <is>
          <t>5.7549857549857677</t>
        </is>
      </c>
      <c r="G79" t="inlineStr">
        <is>
          <t>0.56980056980056981</t>
        </is>
      </c>
    </row>
    <row r="80">
      <c r="A80" t="inlineStr">
        <is>
          <t>2021-05-24</t>
        </is>
      </c>
      <c r="B80" t="n">
        <v>456</v>
      </c>
      <c r="C80" t="n">
        <v>215</v>
      </c>
      <c r="D80" t="n">
        <v>616</v>
      </c>
      <c r="E80" t="inlineStr">
        <is>
          <t>12.946387497864652</t>
        </is>
      </c>
      <c r="F80" t="inlineStr">
        <is>
          <t>2.1262309758281108</t>
        </is>
      </c>
      <c r="G80" t="inlineStr">
        <is>
          <t>0.38048343777977101</t>
        </is>
      </c>
    </row>
    <row r="81">
      <c r="A81" t="inlineStr">
        <is>
          <t>2021-05-26</t>
        </is>
      </c>
    </row>
    <row r="82">
      <c r="A82" t="inlineStr">
        <is>
          <t>2021-05-27</t>
        </is>
      </c>
      <c r="B82" t="n">
        <v>519</v>
      </c>
      <c r="C82" t="n">
        <v>705</v>
      </c>
      <c r="D82" t="n">
        <v>685</v>
      </c>
      <c r="E82" t="inlineStr">
        <is>
          <t>15.779517989631554</t>
        </is>
      </c>
      <c r="F82" t="inlineStr">
        <is>
          <t>28.497409326424872</t>
        </is>
      </c>
      <c r="G82" t="inlineStr">
        <is>
          <t>0.51813471502590192</t>
        </is>
      </c>
    </row>
    <row r="83">
      <c r="A83" t="inlineStr">
        <is>
          <t>2021-05-28</t>
        </is>
      </c>
      <c r="B83" t="n">
        <v>184</v>
      </c>
      <c r="C83" t="n">
        <v>244</v>
      </c>
      <c r="D83" t="n">
        <v>475</v>
      </c>
      <c r="E83" t="inlineStr">
        <is>
          <t>6.3524165110979904</t>
        </is>
      </c>
      <c r="F83" t="inlineStr">
        <is>
          <t>2.306733167082299</t>
        </is>
      </c>
      <c r="G83" t="inlineStr">
        <is>
          <t>0.27015793848711789</t>
        </is>
      </c>
    </row>
    <row r="84">
      <c r="A84" t="inlineStr">
        <is>
          <t>2021-06-01</t>
        </is>
      </c>
      <c r="B84" t="n">
        <v>61</v>
      </c>
      <c r="C84" t="n">
        <v>303</v>
      </c>
      <c r="D84" t="n">
        <v>628</v>
      </c>
      <c r="E84" t="inlineStr">
        <is>
          <t>4.2348411934554786</t>
        </is>
      </c>
      <c r="F84" t="inlineStr">
        <is>
          <t>2.6654411764706025</t>
        </is>
      </c>
      <c r="G84" t="inlineStr">
        <is>
          <t>0.39828431372549372</t>
        </is>
      </c>
    </row>
    <row r="85">
      <c r="A85" t="inlineStr">
        <is>
          <t>2021-06-02</t>
        </is>
      </c>
      <c r="B85" t="n">
        <v>310</v>
      </c>
      <c r="C85" t="n">
        <v>416</v>
      </c>
      <c r="D85" t="n">
        <v>615</v>
      </c>
      <c r="E85" t="inlineStr">
        <is>
          <t>8.648155113824977</t>
        </is>
      </c>
      <c r="F85" t="inlineStr">
        <is>
          <t>3.87096774193548</t>
        </is>
      </c>
      <c r="G85" t="inlineStr">
        <is>
          <t>0.37950664136622392</t>
        </is>
      </c>
    </row>
    <row r="86">
      <c r="A86" t="inlineStr">
        <is>
          <t>2021-06-03</t>
        </is>
      </c>
    </row>
    <row r="87">
      <c r="A87" t="inlineStr">
        <is>
          <t>2021-06-04</t>
        </is>
      </c>
      <c r="B87" t="n">
        <v>578</v>
      </c>
      <c r="C87" t="n">
        <v>605</v>
      </c>
      <c r="D87" t="n">
        <v>638</v>
      </c>
      <c r="E87" t="inlineStr">
        <is>
          <t>20.813943110680221</t>
        </is>
      </c>
      <c r="F87" t="inlineStr">
        <is>
          <t>8.75494940607126</t>
        </is>
      </c>
      <c r="G87" t="inlineStr">
        <is>
          <t>0.4179498460184789</t>
        </is>
      </c>
    </row>
    <row r="88">
      <c r="A88" t="inlineStr">
        <is>
          <t>2021-06-07</t>
        </is>
      </c>
      <c r="B88" t="n">
        <v>175</v>
      </c>
      <c r="C88" t="n">
        <v>64</v>
      </c>
      <c r="D88" t="n">
        <v>60</v>
      </c>
      <c r="E88" t="inlineStr">
        <is>
          <t>6.2351676178473854</t>
        </is>
      </c>
      <c r="F88" t="inlineStr">
        <is>
          <t>1.3245033112582971</t>
        </is>
      </c>
      <c r="G88" t="inlineStr">
        <is>
          <t>0.13796909492273729</t>
        </is>
      </c>
    </row>
    <row r="89">
      <c r="A89" t="inlineStr">
        <is>
          <t>2021-06-08</t>
        </is>
      </c>
      <c r="B89" t="n">
        <v>157</v>
      </c>
      <c r="C89" t="n">
        <v>148</v>
      </c>
      <c r="D89" t="n">
        <v>604</v>
      </c>
      <c r="E89" t="inlineStr">
        <is>
          <t>5.9093768466809582</t>
        </is>
      </c>
      <c r="F89" t="inlineStr">
        <is>
          <t>1.7647058823529338</t>
        </is>
      </c>
      <c r="G89" t="inlineStr">
        <is>
          <t>0.35947712418301397</t>
        </is>
      </c>
    </row>
    <row r="90">
      <c r="A90" t="inlineStr">
        <is>
          <t>2021-06-09</t>
        </is>
      </c>
      <c r="B90" t="n">
        <v>142</v>
      </c>
      <c r="C90" t="n">
        <v>289</v>
      </c>
      <c r="D90" t="n">
        <v>456</v>
      </c>
      <c r="E90" t="inlineStr">
        <is>
          <t>5.7460682290041669</t>
        </is>
      </c>
      <c r="F90" t="inlineStr">
        <is>
          <t>2.5719267654751432</t>
        </is>
      </c>
      <c r="G90" t="inlineStr">
        <is>
          <t>0.26155187445510403</t>
        </is>
      </c>
    </row>
    <row r="91">
      <c r="A91" t="inlineStr">
        <is>
          <t>2021-06-10</t>
        </is>
      </c>
      <c r="B91" t="n">
        <v>226</v>
      </c>
      <c r="C91" t="n">
        <v>465</v>
      </c>
      <c r="D91" t="n">
        <v>607</v>
      </c>
      <c r="E91" t="inlineStr">
        <is>
          <t>7.01660383616752</t>
        </is>
      </c>
      <c r="F91" t="inlineStr">
        <is>
          <t>4.5454545454545459</t>
        </is>
      </c>
      <c r="G91" t="inlineStr">
        <is>
          <t>0.36363636363637741</t>
        </is>
      </c>
    </row>
    <row r="92">
      <c r="A92" t="inlineStr">
        <is>
          <t>2021-06-11</t>
        </is>
      </c>
      <c r="B92" t="n">
        <v>151</v>
      </c>
      <c r="C92" t="n">
        <v>55</v>
      </c>
      <c r="D92" t="n">
        <v>316</v>
      </c>
      <c r="E92" t="inlineStr">
        <is>
          <t>5.8534486304512212</t>
        </is>
      </c>
      <c r="F92" t="inlineStr">
        <is>
          <t>1.2275963663147558</t>
        </is>
      </c>
      <c r="G92" t="inlineStr">
        <is>
          <t>0.2209673459366574</t>
        </is>
      </c>
    </row>
    <row r="93">
      <c r="A93" t="inlineStr">
        <is>
          <t>2021-06-14</t>
        </is>
      </c>
      <c r="B93" t="n">
        <v>608</v>
      </c>
      <c r="C93" t="n">
        <v>540</v>
      </c>
      <c r="D93" t="n">
        <v>578</v>
      </c>
      <c r="E93" t="inlineStr">
        <is>
          <t>24.36115734629124</t>
        </is>
      </c>
      <c r="F93" t="inlineStr">
        <is>
          <t>6.2662506500259925</t>
        </is>
      </c>
      <c r="G93" t="inlineStr">
        <is>
          <t>0.33801352054081718</t>
        </is>
      </c>
    </row>
    <row r="94">
      <c r="A94" t="inlineStr">
        <is>
          <t>2021-06-15</t>
        </is>
      </c>
      <c r="B94" t="n">
        <v>96</v>
      </c>
      <c r="C94" t="n">
        <v>46</v>
      </c>
      <c r="D94" t="n">
        <v>493</v>
      </c>
      <c r="E94" t="inlineStr">
        <is>
          <t>5.0770385413454413</t>
        </is>
      </c>
      <c r="F94" t="inlineStr">
        <is>
          <t>1.1830201809324905</t>
        </is>
      </c>
      <c r="G94" t="inlineStr">
        <is>
          <t>0.27835768963118002</t>
        </is>
      </c>
    </row>
    <row r="95">
      <c r="A95" t="inlineStr">
        <is>
          <t>2021-06-16</t>
        </is>
      </c>
      <c r="B95" t="n">
        <v>245</v>
      </c>
      <c r="C95" t="n">
        <v>277</v>
      </c>
      <c r="D95" t="n">
        <v>512</v>
      </c>
      <c r="E95" t="inlineStr">
        <is>
          <t>7.3566557211414718</t>
        </is>
      </c>
      <c r="F95" t="inlineStr">
        <is>
          <t>2.4650780608052592</t>
        </is>
      </c>
      <c r="G95" t="inlineStr">
        <is>
          <t>0.2875924404272755</t>
        </is>
      </c>
    </row>
    <row r="96">
      <c r="A96" t="inlineStr">
        <is>
          <t>2021-06-17</t>
        </is>
      </c>
      <c r="B96" t="n">
        <v>417</v>
      </c>
      <c r="C96" t="n">
        <v>553</v>
      </c>
      <c r="D96" t="n">
        <v>675</v>
      </c>
      <c r="E96" t="inlineStr">
        <is>
          <t>11.639550235023243</t>
        </is>
      </c>
      <c r="F96" t="inlineStr">
        <is>
          <t>6.6192560175054664</t>
        </is>
      </c>
      <c r="G96" t="inlineStr">
        <is>
          <t>0.49234135667396361</t>
        </is>
      </c>
    </row>
    <row r="97">
      <c r="A97" t="inlineStr">
        <is>
          <t>2021-06-18</t>
        </is>
      </c>
      <c r="B97" t="n">
        <v>527</v>
      </c>
      <c r="C97" t="n">
        <v>486</v>
      </c>
      <c r="D97" t="n">
        <v>506</v>
      </c>
      <c r="E97" t="inlineStr">
        <is>
          <t>16.485930829654496</t>
        </is>
      </c>
      <c r="F97" t="inlineStr">
        <is>
          <t>4.826144784343537</t>
        </is>
      </c>
      <c r="G97" t="inlineStr">
        <is>
          <t>0.28500855025650768</t>
        </is>
      </c>
    </row>
    <row r="98">
      <c r="A98" t="inlineStr">
        <is>
          <t>2021-06-21</t>
        </is>
      </c>
      <c r="B98" t="n">
        <v>387</v>
      </c>
      <c r="C98" t="n">
        <v>181</v>
      </c>
      <c r="D98" t="n">
        <v>449</v>
      </c>
      <c r="E98" t="inlineStr">
        <is>
          <t>10.859337741515771</t>
        </is>
      </c>
      <c r="F98" t="inlineStr">
        <is>
          <t>1.9259900454447163</t>
        </is>
      </c>
      <c r="G98" t="inlineStr">
        <is>
          <t>0.25968405107120041</t>
        </is>
      </c>
    </row>
    <row r="99">
      <c r="A99" t="inlineStr">
        <is>
          <t>2021-06-23</t>
        </is>
      </c>
      <c r="B99" t="n">
        <v>308</v>
      </c>
      <c r="C99" t="n">
        <v>134</v>
      </c>
      <c r="D99" t="n">
        <v>527</v>
      </c>
      <c r="E99" t="inlineStr">
        <is>
          <t>8.6281549654555452</t>
        </is>
      </c>
      <c r="F99" t="inlineStr">
        <is>
          <t>1.6920473773265652</t>
        </is>
      </c>
      <c r="G99" t="inlineStr">
        <is>
          <t>0.29610829103214409</t>
        </is>
      </c>
    </row>
    <row r="100">
      <c r="A100" t="inlineStr">
        <is>
          <t>2021-06-24</t>
        </is>
      </c>
      <c r="B100" t="n">
        <v>365</v>
      </c>
      <c r="C100" t="n">
        <v>544</v>
      </c>
      <c r="D100" t="n">
        <v>668</v>
      </c>
      <c r="E100" t="inlineStr">
        <is>
          <t>10.049771812935004</t>
        </is>
      </c>
      <c r="F100" t="inlineStr">
        <is>
          <t>6.380753138075308</t>
        </is>
      </c>
      <c r="G100" t="inlineStr">
        <is>
          <t>0.4707112970711253</t>
        </is>
      </c>
    </row>
    <row r="101">
      <c r="A101" t="inlineStr">
        <is>
          <t>2021-06-25</t>
        </is>
      </c>
      <c r="B101" t="n">
        <v>267</v>
      </c>
      <c r="C101" t="n">
        <v>15</v>
      </c>
      <c r="D101" t="n">
        <v>469</v>
      </c>
      <c r="E101" t="inlineStr">
        <is>
          <t>7.8330053788740281</t>
        </is>
      </c>
      <c r="F101" t="inlineStr">
        <is>
          <t>0.91538289796828898</t>
        </is>
      </c>
      <c r="G101" t="inlineStr">
        <is>
          <t>0.26791694574682229</t>
        </is>
      </c>
    </row>
    <row r="102">
      <c r="A102" t="inlineStr">
        <is>
          <t>2021-06-29</t>
        </is>
      </c>
      <c r="B102" t="n">
        <v>223</v>
      </c>
      <c r="C102" t="n">
        <v>31</v>
      </c>
      <c r="D102" t="n">
        <v>427</v>
      </c>
      <c r="E102" t="inlineStr">
        <is>
          <t>6.9871038928597313</t>
        </is>
      </c>
      <c r="F102" t="inlineStr">
        <is>
          <t>1.1009751494180562</t>
        </is>
      </c>
      <c r="G102" t="inlineStr">
        <is>
          <t>0.2516514627241217</t>
        </is>
      </c>
    </row>
    <row r="103">
      <c r="A103" t="inlineStr">
        <is>
          <t>2021-07-02</t>
        </is>
      </c>
      <c r="B103" t="n">
        <v>80</v>
      </c>
      <c r="C103" t="n">
        <v>157</v>
      </c>
      <c r="D103" t="n">
        <v>575</v>
      </c>
      <c r="E103" t="inlineStr">
        <is>
          <t>4.6834229130892844</t>
        </is>
      </c>
      <c r="F103" t="inlineStr">
        <is>
          <t>1.8151354370287629</t>
        </is>
      </c>
      <c r="G103" t="inlineStr">
        <is>
          <t>0.33510192683608397</t>
        </is>
      </c>
    </row>
    <row r="104">
      <c r="A104" t="inlineStr">
        <is>
          <t>2021-07-09</t>
        </is>
      </c>
      <c r="B104" t="n">
        <v>57</v>
      </c>
      <c r="C104" t="n">
        <v>40</v>
      </c>
      <c r="D104" t="n">
        <v>176</v>
      </c>
      <c r="E104" t="inlineStr">
        <is>
          <t>4.1139533177921956</t>
        </is>
      </c>
      <c r="F104" t="inlineStr">
        <is>
          <t>1.1572980632971268</t>
        </is>
      </c>
      <c r="G104" t="inlineStr">
        <is>
          <t>0.18894662257912409</t>
        </is>
      </c>
    </row>
    <row r="105">
      <c r="A105" t="inlineStr">
        <is>
          <t>2021-07-16</t>
        </is>
      </c>
      <c r="B105" t="n">
        <v>105</v>
      </c>
      <c r="C105" t="n">
        <v>162</v>
      </c>
      <c r="D105" t="n">
        <v>635</v>
      </c>
      <c r="E105" t="inlineStr">
        <is>
          <t>5.2642958534267343</t>
        </is>
      </c>
      <c r="F105" t="inlineStr">
        <is>
          <t>1.8305284912902069</t>
        </is>
      </c>
      <c r="G105" t="inlineStr">
        <is>
          <t>0.413345143194569</t>
        </is>
      </c>
    </row>
    <row r="106">
      <c r="A106" t="inlineStr">
        <is>
          <t>2021-07-19</t>
        </is>
      </c>
      <c r="B106" t="n">
        <v>298</v>
      </c>
      <c r="C106" t="n">
        <v>502</v>
      </c>
      <c r="D106" t="n">
        <v>425</v>
      </c>
      <c r="E106" t="inlineStr">
        <is>
          <t>8.4872373565595627</t>
        </is>
      </c>
      <c r="F106" t="inlineStr">
        <is>
          <t>5.2168447517284626</t>
        </is>
      </c>
      <c r="G106" t="inlineStr">
        <is>
          <t>0.25141420490258048</t>
        </is>
      </c>
    </row>
    <row r="107">
      <c r="A107" t="inlineStr">
        <is>
          <t>2021-07-20</t>
        </is>
      </c>
      <c r="B107" t="n">
        <v>371</v>
      </c>
      <c r="C107" t="n">
        <v>504</v>
      </c>
      <c r="D107" t="n">
        <v>423</v>
      </c>
      <c r="E107" t="inlineStr">
        <is>
          <t>10.220181024956403</t>
        </is>
      </c>
      <c r="F107" t="inlineStr">
        <is>
          <t>5.2273540995345602</t>
        </is>
      </c>
      <c r="G107" t="inlineStr">
        <is>
          <t>0.25062656641604619</t>
        </is>
      </c>
    </row>
    <row r="108">
      <c r="A108" t="inlineStr">
        <is>
          <t>2021-07-26</t>
        </is>
      </c>
      <c r="B108" t="n">
        <v>7</v>
      </c>
      <c r="C108" t="n">
        <v>453</v>
      </c>
      <c r="D108" t="n">
        <v>550</v>
      </c>
      <c r="E108" t="inlineStr">
        <is>
          <t>2.2149936081601518</t>
        </is>
      </c>
      <c r="F108" t="inlineStr">
        <is>
          <t>4.2784163473818575</t>
        </is>
      </c>
      <c r="G108" t="inlineStr">
        <is>
          <t>0.31928480204342269</t>
        </is>
      </c>
    </row>
    <row r="109">
      <c r="A109" t="inlineStr">
        <is>
          <t>2021-07-28</t>
        </is>
      </c>
      <c r="B109" t="n">
        <v>43</v>
      </c>
      <c r="C109" t="n">
        <v>406</v>
      </c>
      <c r="D109" t="n">
        <v>566</v>
      </c>
      <c r="E109" t="inlineStr">
        <is>
          <t>3.759482338398942</t>
        </is>
      </c>
      <c r="F109" t="inlineStr">
        <is>
          <t>3.7813399095766496</t>
        </is>
      </c>
      <c r="G109" t="inlineStr">
        <is>
          <t>0.32881216605014851</t>
        </is>
      </c>
    </row>
    <row r="110">
      <c r="A110" t="inlineStr">
        <is>
          <t>2021-07-29</t>
        </is>
      </c>
    </row>
    <row r="111">
      <c r="A111" t="inlineStr">
        <is>
          <t>2021-08-03</t>
        </is>
      </c>
      <c r="B111" t="n">
        <v>4</v>
      </c>
      <c r="C111" t="n">
        <v>16</v>
      </c>
      <c r="D111" t="n">
        <v>170</v>
      </c>
      <c r="E111" t="inlineStr">
        <is>
          <t>2.004033116646569</t>
        </is>
      </c>
      <c r="F111" t="inlineStr">
        <is>
          <t>0.92867756315009542</t>
        </is>
      </c>
      <c r="G111" t="inlineStr">
        <is>
          <t>0.18573551263000959</t>
        </is>
      </c>
    </row>
    <row r="112">
      <c r="A112" t="inlineStr">
        <is>
          <t>2021-08-04</t>
        </is>
      </c>
      <c r="B112" t="n">
        <v>659</v>
      </c>
      <c r="C112" t="n">
        <v>693</v>
      </c>
      <c r="D112" t="n">
        <v>695</v>
      </c>
      <c r="E112" t="inlineStr">
        <is>
          <t>33.745642987136499</t>
        </is>
      </c>
      <c r="F112" t="inlineStr">
        <is>
          <t>21.806167400881041</t>
        </is>
      </c>
      <c r="G112" t="inlineStr">
        <is>
          <t>0.58737151248164787</t>
        </is>
      </c>
    </row>
    <row r="113">
      <c r="A113" t="inlineStr">
        <is>
          <t>2021-08-05</t>
        </is>
      </c>
    </row>
    <row r="114">
      <c r="A114" t="inlineStr">
        <is>
          <t>2021-08-11</t>
        </is>
      </c>
      <c r="B114" t="n">
        <v>260</v>
      </c>
      <c r="C114" t="n">
        <v>492</v>
      </c>
      <c r="D114" t="n">
        <v>439</v>
      </c>
      <c r="E114" t="inlineStr">
        <is>
          <t>7.6155147688792333</t>
        </is>
      </c>
      <c r="F114" t="inlineStr">
        <is>
          <t>4.890604890604906</t>
        </is>
      </c>
      <c r="G114" t="inlineStr">
        <is>
          <t>0.25740025740026717</t>
        </is>
      </c>
    </row>
    <row r="115">
      <c r="A115" t="inlineStr">
        <is>
          <t>2021-08-12</t>
        </is>
      </c>
    </row>
    <row r="116">
      <c r="A116" t="inlineStr">
        <is>
          <t>2021-08-16</t>
        </is>
      </c>
      <c r="B116" t="n">
        <v>300</v>
      </c>
      <c r="C116" t="n">
        <v>190</v>
      </c>
      <c r="D116" t="n">
        <v>187</v>
      </c>
      <c r="E116" t="inlineStr">
        <is>
          <t>8.5192820761576957</t>
        </is>
      </c>
      <c r="F116" t="inlineStr">
        <is>
          <t>1.980830670926514</t>
        </is>
      </c>
      <c r="G116" t="inlineStr">
        <is>
          <t>0.19169329073482241</t>
        </is>
      </c>
    </row>
    <row r="117">
      <c r="A117" t="inlineStr">
        <is>
          <t>2021-08-17</t>
        </is>
      </c>
      <c r="B117" t="n">
        <v>418</v>
      </c>
      <c r="C117" t="n">
        <v>592</v>
      </c>
      <c r="D117" t="n">
        <v>531</v>
      </c>
      <c r="E117" t="inlineStr">
        <is>
          <t>11.651308124137191</t>
        </is>
      </c>
      <c r="F117" t="inlineStr">
        <is>
          <t>8.0796692972566913</t>
        </is>
      </c>
      <c r="G117" t="inlineStr">
        <is>
          <t>0.30063885757234549</t>
        </is>
      </c>
    </row>
    <row r="118">
      <c r="A118" t="inlineStr">
        <is>
          <t>2021-08-30</t>
        </is>
      </c>
      <c r="B118" t="n">
        <v>238</v>
      </c>
      <c r="C118" t="n">
        <v>86</v>
      </c>
      <c r="D118" t="n">
        <v>278</v>
      </c>
      <c r="E118" t="inlineStr">
        <is>
          <t>7.2375925920418984</t>
        </is>
      </c>
      <c r="F118" t="inlineStr">
        <is>
          <t>1.4523449319213519</t>
        </is>
      </c>
      <c r="G118" t="inlineStr">
        <is>
          <t>0.21180030257185739</t>
        </is>
      </c>
    </row>
    <row r="119">
      <c r="A119" t="inlineStr">
        <is>
          <t>2021-08-31</t>
        </is>
      </c>
      <c r="B119" t="n">
        <v>222</v>
      </c>
      <c r="C119" t="n">
        <v>425</v>
      </c>
      <c r="D119" t="n">
        <v>358</v>
      </c>
      <c r="E119" t="inlineStr">
        <is>
          <t>6.9609332369810026</t>
        </is>
      </c>
      <c r="F119" t="inlineStr">
        <is>
          <t>3.9737274220032921</t>
        </is>
      </c>
      <c r="G119" t="inlineStr">
        <is>
          <t>0.22988505747126989</t>
        </is>
      </c>
    </row>
    <row r="120">
      <c r="A120" t="inlineStr">
        <is>
          <t>2021-09-02</t>
        </is>
      </c>
    </row>
    <row r="121">
      <c r="A121" t="inlineStr">
        <is>
          <t>2021-09-03</t>
        </is>
      </c>
      <c r="B121" t="n">
        <v>498</v>
      </c>
      <c r="C121" t="n">
        <v>587</v>
      </c>
      <c r="D121" t="n">
        <v>622</v>
      </c>
      <c r="E121" t="inlineStr">
        <is>
          <t>14.548378419807673</t>
        </is>
      </c>
      <c r="F121" t="inlineStr">
        <is>
          <t>7.9282782458414438</t>
        </is>
      </c>
      <c r="G121" t="inlineStr">
        <is>
          <t>0.38885288399221918</t>
        </is>
      </c>
    </row>
    <row r="122">
      <c r="A122" t="inlineStr">
        <is>
          <t>2021-09-06</t>
        </is>
      </c>
      <c r="B122" t="n">
        <v>218</v>
      </c>
      <c r="C122" t="n">
        <v>476</v>
      </c>
      <c r="D122" t="n">
        <v>498</v>
      </c>
      <c r="E122" t="inlineStr">
        <is>
          <t>6.9019661976205464</t>
        </is>
      </c>
      <c r="F122" t="inlineStr">
        <is>
          <t>4.6926804386636007</t>
        </is>
      </c>
      <c r="G122" t="inlineStr">
        <is>
          <t>0.28054067839837349</t>
        </is>
      </c>
    </row>
    <row r="123">
      <c r="A123" t="inlineStr">
        <is>
          <t>2021-09-07</t>
        </is>
      </c>
      <c r="B123" t="n">
        <v>124</v>
      </c>
      <c r="C123" t="n">
        <v>43</v>
      </c>
      <c r="D123" t="n">
        <v>349</v>
      </c>
      <c r="E123" t="inlineStr">
        <is>
          <t>5.549868298462977</t>
        </is>
      </c>
      <c r="F123" t="inlineStr">
        <is>
          <t>1.1707595659623136</t>
        </is>
      </c>
      <c r="G123" t="inlineStr">
        <is>
          <t>0.22844089091947781</t>
        </is>
      </c>
    </row>
    <row r="124">
      <c r="A124" t="inlineStr">
        <is>
          <t>2021-09-08</t>
        </is>
      </c>
      <c r="B124" t="n">
        <v>373</v>
      </c>
      <c r="C124" t="n">
        <v>355</v>
      </c>
      <c r="D124" t="n">
        <v>576</v>
      </c>
      <c r="E124" t="inlineStr">
        <is>
          <t>10.31521927044399</t>
        </is>
      </c>
      <c r="F124" t="inlineStr">
        <is>
          <t>3.2089552238806052</t>
        </is>
      </c>
      <c r="G124" t="inlineStr">
        <is>
          <t>0.33582089552239019</t>
        </is>
      </c>
    </row>
    <row r="125">
      <c r="A125" t="inlineStr">
        <is>
          <t>2021-09-09</t>
        </is>
      </c>
    </row>
    <row r="126">
      <c r="A126" t="inlineStr">
        <is>
          <t>2021-09-13</t>
        </is>
      </c>
      <c r="B126" t="n">
        <v>586</v>
      </c>
      <c r="C126" t="n">
        <v>423</v>
      </c>
      <c r="D126" t="n">
        <v>533</v>
      </c>
      <c r="E126" t="inlineStr">
        <is>
          <t>21.583626453214499</t>
        </is>
      </c>
      <c r="F126" t="inlineStr">
        <is>
          <t>3.946706887883356</t>
        </is>
      </c>
      <c r="G126" t="inlineStr">
        <is>
          <t>0.30165912518854121</t>
        </is>
      </c>
    </row>
    <row r="127">
      <c r="A127" t="inlineStr">
        <is>
          <t>2021-09-22</t>
        </is>
      </c>
    </row>
    <row r="128">
      <c r="A128" t="inlineStr">
        <is>
          <t>2021-09-23</t>
        </is>
      </c>
    </row>
    <row r="129">
      <c r="A129" t="inlineStr">
        <is>
          <t>2021-09-24</t>
        </is>
      </c>
      <c r="B129" t="n">
        <v>715</v>
      </c>
      <c r="C129" t="n">
        <v>588</v>
      </c>
      <c r="D129" t="n">
        <v>447</v>
      </c>
      <c r="E129" t="inlineStr">
        <is>
          <t>69.572117507027073</t>
        </is>
      </c>
      <c r="F129" t="inlineStr">
        <is>
          <t>7.9473879214524077</t>
        </is>
      </c>
      <c r="G129" t="inlineStr">
        <is>
          <t>0.25935531678398988</t>
        </is>
      </c>
    </row>
    <row r="130">
      <c r="A130" t="inlineStr">
        <is>
          <t>2021-09-27</t>
        </is>
      </c>
      <c r="B130" t="n">
        <v>321</v>
      </c>
      <c r="C130" t="n">
        <v>25</v>
      </c>
      <c r="D130" t="n">
        <v>472</v>
      </c>
      <c r="E130" t="inlineStr">
        <is>
          <t>9.0414399330267763</t>
        </is>
      </c>
      <c r="F130" t="inlineStr">
        <is>
          <t>1.054284432480918</t>
        </is>
      </c>
      <c r="G130" t="inlineStr">
        <is>
          <t>0.26917900403768252</t>
        </is>
      </c>
    </row>
    <row r="131">
      <c r="A131" t="inlineStr">
        <is>
          <t>2021-09-28</t>
        </is>
      </c>
      <c r="B131" t="n">
        <v>364</v>
      </c>
      <c r="C131" t="n">
        <v>197</v>
      </c>
      <c r="D131" t="n">
        <v>154</v>
      </c>
      <c r="E131" t="inlineStr">
        <is>
          <t>10.034043076508651</t>
        </is>
      </c>
      <c r="F131" t="inlineStr">
        <is>
          <t>2.0207253886010541</t>
        </is>
      </c>
      <c r="G131" t="inlineStr">
        <is>
          <t>0.18134715025907169</t>
        </is>
      </c>
    </row>
    <row r="132">
      <c r="A132" t="inlineStr">
        <is>
          <t>2021-09-29</t>
        </is>
      </c>
      <c r="B132" t="n">
        <v>642</v>
      </c>
      <c r="C132" t="n">
        <v>647</v>
      </c>
      <c r="D132" t="n">
        <v>644</v>
      </c>
      <c r="E132" t="inlineStr">
        <is>
          <t>28.146418063595288</t>
        </is>
      </c>
      <c r="F132" t="inlineStr">
        <is>
          <t>11.673261729790845</t>
        </is>
      </c>
      <c r="G132" t="inlineStr">
        <is>
          <t>0.42396834369700392</t>
        </is>
      </c>
    </row>
    <row r="133">
      <c r="A133" t="inlineStr">
        <is>
          <t>2021-09-30</t>
        </is>
      </c>
      <c r="B133" t="n">
        <v>343</v>
      </c>
      <c r="C133" t="n">
        <v>479</v>
      </c>
      <c r="D133" t="n">
        <v>496</v>
      </c>
      <c r="E133" t="inlineStr">
        <is>
          <t>9.5242670977563897</t>
        </is>
      </c>
      <c r="F133" t="inlineStr">
        <is>
          <t>4.7486033519553015</t>
        </is>
      </c>
      <c r="G133" t="inlineStr">
        <is>
          <t>0.2793296089385448</t>
        </is>
      </c>
    </row>
    <row r="134">
      <c r="A134" t="inlineStr">
        <is>
          <t>2021-10-01</t>
        </is>
      </c>
      <c r="B134" t="n">
        <v>508</v>
      </c>
      <c r="C134" t="n">
        <v>68</v>
      </c>
      <c r="D134" t="n">
        <v>400</v>
      </c>
      <c r="E134" t="inlineStr">
        <is>
          <t>15.153117968452923</t>
        </is>
      </c>
      <c r="F134" t="inlineStr">
        <is>
          <t>1.3371827989667158</t>
        </is>
      </c>
      <c r="G134" t="inlineStr">
        <is>
          <t>0.24312414526667159</t>
        </is>
      </c>
    </row>
    <row r="135">
      <c r="A135" t="inlineStr">
        <is>
          <t>2021-10-05</t>
        </is>
      </c>
      <c r="B135" t="n">
        <v>524</v>
      </c>
      <c r="C135" t="n">
        <v>301</v>
      </c>
      <c r="D135" t="n">
        <v>583</v>
      </c>
      <c r="E135" t="inlineStr">
        <is>
          <t>16.094025376425346</t>
        </is>
      </c>
      <c r="F135" t="inlineStr">
        <is>
          <t>2.6571954748750386</t>
        </is>
      </c>
      <c r="G135" t="inlineStr">
        <is>
          <t>0.34201525914232639</t>
        </is>
      </c>
    </row>
    <row r="136">
      <c r="A136" t="inlineStr">
        <is>
          <t>2021-10-06</t>
        </is>
      </c>
      <c r="B136" t="n">
        <v>379</v>
      </c>
      <c r="C136" t="n">
        <v>129</v>
      </c>
      <c r="D136" t="n">
        <v>555</v>
      </c>
      <c r="E136" t="inlineStr">
        <is>
          <t>10.479742433708395</t>
        </is>
      </c>
      <c r="F136" t="inlineStr">
        <is>
          <t>1.6779721528025662</t>
        </is>
      </c>
      <c r="G136" t="inlineStr">
        <is>
          <t>0.32131381649410101</t>
        </is>
      </c>
    </row>
    <row r="137">
      <c r="A137" t="inlineStr">
        <is>
          <t>2021-10-07</t>
        </is>
      </c>
    </row>
    <row r="138">
      <c r="A138" t="inlineStr">
        <is>
          <t>2021-10-11</t>
        </is>
      </c>
      <c r="B138" t="n">
        <v>147</v>
      </c>
      <c r="C138" t="n">
        <v>210</v>
      </c>
      <c r="D138" t="n">
        <v>283</v>
      </c>
      <c r="E138" t="inlineStr">
        <is>
          <t>5.7862443919563846</t>
        </is>
      </c>
      <c r="F138" t="inlineStr">
        <is>
          <t>2.0867915579796086</t>
        </is>
      </c>
      <c r="G138" t="inlineStr">
        <is>
          <t>0.21342186388427919</t>
        </is>
      </c>
    </row>
    <row r="139">
      <c r="A139" t="inlineStr">
        <is>
          <t>2021-10-12</t>
        </is>
      </c>
      <c r="B139" t="n">
        <v>572</v>
      </c>
      <c r="C139" t="n">
        <v>645</v>
      </c>
      <c r="D139" t="n">
        <v>562</v>
      </c>
      <c r="E139" t="inlineStr">
        <is>
          <t>20.635921003463491</t>
        </is>
      </c>
      <c r="F139" t="inlineStr">
        <is>
          <t>11.522856370029745</t>
        </is>
      </c>
      <c r="G139" t="inlineStr">
        <is>
          <t>0.32458750338111669</t>
        </is>
      </c>
    </row>
    <row r="140">
      <c r="A140" t="inlineStr">
        <is>
          <t>2021-10-13</t>
        </is>
      </c>
      <c r="B140" t="n">
        <v>88</v>
      </c>
      <c r="C140" t="n">
        <v>84</v>
      </c>
      <c r="D140" t="n">
        <v>634</v>
      </c>
      <c r="E140" t="inlineStr">
        <is>
          <t>4.8735642368991243</t>
        </is>
      </c>
      <c r="F140" t="inlineStr">
        <is>
          <t>1.4432989690721609</t>
        </is>
      </c>
      <c r="G140" t="inlineStr">
        <is>
          <t>0.41237113402062431</t>
        </is>
      </c>
    </row>
    <row r="141">
      <c r="A141" t="inlineStr">
        <is>
          <t>2021-10-19</t>
        </is>
      </c>
      <c r="B141" t="n">
        <v>199</v>
      </c>
      <c r="C141" t="n">
        <v>257</v>
      </c>
      <c r="D141" t="n">
        <v>383</v>
      </c>
      <c r="E141" t="inlineStr">
        <is>
          <t>6.5512955658790482</t>
        </is>
      </c>
      <c r="F141" t="inlineStr">
        <is>
          <t>2.3676509710029205</t>
        </is>
      </c>
      <c r="G141" t="inlineStr">
        <is>
          <t>0.23942537909018499</t>
        </is>
      </c>
    </row>
    <row r="142">
      <c r="A142" t="inlineStr">
        <is>
          <t>2021-10-20</t>
        </is>
      </c>
      <c r="B142" t="n">
        <v>480</v>
      </c>
      <c r="C142" t="n">
        <v>444</v>
      </c>
      <c r="D142" t="n">
        <v>393</v>
      </c>
      <c r="E142" t="inlineStr">
        <is>
          <t>13.685276651669374</t>
        </is>
      </c>
      <c r="F142" t="inlineStr">
        <is>
          <t>4.2484538854530669</t>
        </is>
      </c>
      <c r="G142" t="inlineStr">
        <is>
          <t>0.24200053777897429</t>
        </is>
      </c>
    </row>
    <row r="143">
      <c r="A143" t="inlineStr">
        <is>
          <t>2021-10-21</t>
        </is>
      </c>
      <c r="B143" t="n">
        <v>236</v>
      </c>
      <c r="C143" t="n">
        <v>467</v>
      </c>
      <c r="D143" t="n">
        <v>197</v>
      </c>
      <c r="E143" t="inlineStr">
        <is>
          <t>7.1947347622879958</t>
        </is>
      </c>
      <c r="F143" t="inlineStr">
        <is>
          <t>4.6027131782945734</t>
        </is>
      </c>
      <c r="G143" t="inlineStr">
        <is>
          <t>0.19379844961239889</t>
        </is>
      </c>
    </row>
    <row r="144">
      <c r="A144" t="inlineStr">
        <is>
          <t>2021-10-25</t>
        </is>
      </c>
      <c r="B144" t="n">
        <v>469</v>
      </c>
      <c r="C144" t="n">
        <v>358</v>
      </c>
      <c r="D144" t="n">
        <v>403</v>
      </c>
      <c r="E144" t="inlineStr">
        <is>
          <t>13.302193898066887</t>
        </is>
      </c>
      <c r="F144" t="inlineStr">
        <is>
          <t>3.2215523737754381</t>
        </is>
      </c>
      <c r="G144" t="inlineStr">
        <is>
          <t>0.24491333835719881</t>
        </is>
      </c>
    </row>
    <row r="145">
      <c r="A145" t="inlineStr">
        <is>
          <t>2021-10-26</t>
        </is>
      </c>
      <c r="B145" t="n">
        <v>211</v>
      </c>
      <c r="C145" t="n">
        <v>92</v>
      </c>
      <c r="D145" t="n">
        <v>311</v>
      </c>
      <c r="E145" t="inlineStr">
        <is>
          <t>6.7891088401355537</t>
        </is>
      </c>
      <c r="F145" t="inlineStr">
        <is>
          <t>1.4738231412230507</t>
        </is>
      </c>
      <c r="G145" t="inlineStr">
        <is>
          <t>0.21997360316761361</t>
        </is>
      </c>
    </row>
    <row r="146">
      <c r="A146" t="inlineStr">
        <is>
          <t>2021-10-27</t>
        </is>
      </c>
      <c r="B146" t="n">
        <v>594</v>
      </c>
      <c r="C146" t="n">
        <v>593</v>
      </c>
      <c r="D146" t="n">
        <v>254</v>
      </c>
      <c r="E146" t="inlineStr">
        <is>
          <t>22.6107022167776</t>
        </is>
      </c>
      <c r="F146" t="inlineStr">
        <is>
          <t>8.195266272189345</t>
        </is>
      </c>
      <c r="G146" t="inlineStr">
        <is>
          <t>0.2071005917159813</t>
        </is>
      </c>
    </row>
    <row r="147">
      <c r="A147" t="inlineStr">
        <is>
          <t>2021-10-28</t>
        </is>
      </c>
      <c r="B147" t="n">
        <v>615</v>
      </c>
      <c r="C147" t="n">
        <v>541</v>
      </c>
      <c r="D147" t="n">
        <v>696</v>
      </c>
      <c r="E147" t="inlineStr">
        <is>
          <t>25.051962174290079</t>
        </is>
      </c>
      <c r="F147" t="inlineStr">
        <is>
          <t>6.2877871825876523</t>
        </is>
      </c>
      <c r="G147" t="inlineStr">
        <is>
          <t>0.60459492140265436</t>
        </is>
      </c>
    </row>
    <row r="148">
      <c r="A148" t="inlineStr">
        <is>
          <t>2021-10-29</t>
        </is>
      </c>
      <c r="B148" t="n">
        <v>584</v>
      </c>
      <c r="C148" t="n">
        <v>282</v>
      </c>
      <c r="D148" t="n">
        <v>62</v>
      </c>
      <c r="E148" t="inlineStr">
        <is>
          <t>21.140876390535983</t>
        </is>
      </c>
      <c r="F148" t="inlineStr">
        <is>
          <t>2.5486626522895857</t>
        </is>
      </c>
      <c r="G148" t="inlineStr">
        <is>
          <t>0.14003640946645329</t>
        </is>
      </c>
    </row>
    <row r="149">
      <c r="A149" t="inlineStr">
        <is>
          <t>2021-11-02</t>
        </is>
      </c>
      <c r="B149" t="n">
        <v>399</v>
      </c>
      <c r="C149" t="n">
        <v>440</v>
      </c>
      <c r="D149" t="n">
        <v>437</v>
      </c>
      <c r="E149" t="inlineStr">
        <is>
          <t>11.243066775488449</t>
        </is>
      </c>
      <c r="F149" t="inlineStr">
        <is>
          <t>4.2285714285714153</t>
        </is>
      </c>
      <c r="G149" t="inlineStr">
        <is>
          <t>0.25714285714285878</t>
        </is>
      </c>
    </row>
    <row r="150">
      <c r="A150" t="inlineStr">
        <is>
          <t>2021-11-03</t>
        </is>
      </c>
      <c r="B150" t="n">
        <v>275</v>
      </c>
      <c r="C150" t="n">
        <v>341</v>
      </c>
      <c r="D150" t="n">
        <v>577</v>
      </c>
      <c r="E150" t="inlineStr">
        <is>
          <t>7.9342763522393502</t>
        </is>
      </c>
      <c r="F150" t="inlineStr">
        <is>
          <t>3.0843373493975794</t>
        </is>
      </c>
      <c r="G150" t="inlineStr">
        <is>
          <t>0.33734939759036969</t>
        </is>
      </c>
    </row>
    <row r="151">
      <c r="A151" t="inlineStr">
        <is>
          <t>2021-11-08</t>
        </is>
      </c>
      <c r="B151" t="n">
        <v>360</v>
      </c>
      <c r="C151" t="n">
        <v>493</v>
      </c>
      <c r="D151" t="n">
        <v>366</v>
      </c>
      <c r="E151" t="inlineStr">
        <is>
          <t>9.9384761003324975</t>
        </is>
      </c>
      <c r="F151" t="inlineStr">
        <is>
          <t>4.9788135593220337</t>
        </is>
      </c>
      <c r="G151" t="inlineStr">
        <is>
          <t>0.23305084745763191</t>
        </is>
      </c>
    </row>
    <row r="152">
      <c r="A152" t="inlineStr">
        <is>
          <t>2021-11-09</t>
        </is>
      </c>
      <c r="B152" t="n">
        <v>389</v>
      </c>
      <c r="C152" t="n">
        <v>359</v>
      </c>
      <c r="D152" t="n">
        <v>79</v>
      </c>
      <c r="E152" t="inlineStr">
        <is>
          <t>11.030021562446557</t>
        </is>
      </c>
      <c r="F152" t="inlineStr">
        <is>
          <t>3.2225579053373505</t>
        </is>
      </c>
      <c r="G152" t="inlineStr">
        <is>
          <t>0.1510574018126945</t>
        </is>
      </c>
    </row>
    <row r="153">
      <c r="A153" t="inlineStr">
        <is>
          <t>2021-11-10</t>
        </is>
      </c>
      <c r="B153" t="n">
        <v>381</v>
      </c>
      <c r="C153" t="n">
        <v>149</v>
      </c>
      <c r="D153" t="n">
        <v>385</v>
      </c>
      <c r="E153" t="inlineStr">
        <is>
          <t>10.56254615888451</t>
        </is>
      </c>
      <c r="F153" t="inlineStr">
        <is>
          <t>1.7680551393467461</t>
        </is>
      </c>
      <c r="G153" t="inlineStr">
        <is>
          <t>0.2397362900809144</t>
        </is>
      </c>
    </row>
    <row r="154">
      <c r="A154" t="inlineStr">
        <is>
          <t>2021-11-11</t>
        </is>
      </c>
      <c r="B154" t="n">
        <v>289</v>
      </c>
      <c r="C154" t="n">
        <v>276</v>
      </c>
      <c r="D154" t="n">
        <v>620</v>
      </c>
      <c r="E154" t="inlineStr">
        <is>
          <t>8.3280644631167515</t>
        </is>
      </c>
      <c r="F154" t="inlineStr">
        <is>
          <t>2.4649589173513888</t>
        </is>
      </c>
      <c r="G154" t="inlineStr">
        <is>
          <t>0.38666022232962649</t>
        </is>
      </c>
    </row>
    <row r="155">
      <c r="A155" t="inlineStr">
        <is>
          <t>2021-11-16</t>
        </is>
      </c>
      <c r="B155" t="n">
        <v>623</v>
      </c>
      <c r="C155" t="n">
        <v>703</v>
      </c>
      <c r="D155" t="n">
        <v>670</v>
      </c>
      <c r="E155" t="inlineStr">
        <is>
          <t>26.092935027211208</t>
        </is>
      </c>
      <c r="F155" t="inlineStr">
        <is>
          <t>27.514278619319601</t>
        </is>
      </c>
      <c r="G155" t="inlineStr">
        <is>
          <t>0.47181524708218953</t>
        </is>
      </c>
    </row>
    <row r="156">
      <c r="A156" t="inlineStr">
        <is>
          <t>2021-11-17</t>
        </is>
      </c>
      <c r="B156" t="n">
        <v>153</v>
      </c>
      <c r="C156" t="n">
        <v>290</v>
      </c>
      <c r="D156" t="n">
        <v>509</v>
      </c>
      <c r="E156" t="inlineStr">
        <is>
          <t>5.856286723800026</t>
        </is>
      </c>
      <c r="F156" t="inlineStr">
        <is>
          <t>2.5722451571927669</t>
        </is>
      </c>
      <c r="G156" t="inlineStr">
        <is>
          <t>0.28580501746586401</t>
        </is>
      </c>
    </row>
    <row r="157">
      <c r="A157" t="inlineStr">
        <is>
          <t>2021-11-18</t>
        </is>
      </c>
      <c r="B157" t="n">
        <v>374</v>
      </c>
      <c r="C157" t="n">
        <v>513</v>
      </c>
      <c r="D157" t="n">
        <v>600</v>
      </c>
      <c r="E157" t="inlineStr">
        <is>
          <t>10.324323268511296</t>
        </is>
      </c>
      <c r="F157" t="inlineStr">
        <is>
          <t>5.4314720812182822</t>
        </is>
      </c>
      <c r="G157" t="inlineStr">
        <is>
          <t>0.35532994923858729</t>
        </is>
      </c>
    </row>
    <row r="158">
      <c r="A158" t="inlineStr">
        <is>
          <t>2021-11-22</t>
        </is>
      </c>
      <c r="B158" t="n">
        <v>543</v>
      </c>
      <c r="C158" t="n">
        <v>315</v>
      </c>
      <c r="D158" t="n">
        <v>662</v>
      </c>
      <c r="E158" t="inlineStr">
        <is>
          <t>17.697866094615662</t>
        </is>
      </c>
      <c r="F158" t="inlineStr">
        <is>
          <t>2.7735562310030222</t>
        </is>
      </c>
      <c r="G158" t="inlineStr">
        <is>
          <t>0.45592705167173903</t>
        </is>
      </c>
    </row>
    <row r="159">
      <c r="A159" t="inlineStr">
        <is>
          <t>2021-11-23</t>
        </is>
      </c>
      <c r="B159" t="n">
        <v>542</v>
      </c>
      <c r="C159" t="n">
        <v>171</v>
      </c>
      <c r="D159" t="n">
        <v>169</v>
      </c>
      <c r="E159" t="inlineStr">
        <is>
          <t>17.601868283688201</t>
        </is>
      </c>
      <c r="F159" t="inlineStr">
        <is>
          <t>1.8541409147095185</t>
        </is>
      </c>
      <c r="G159" t="inlineStr">
        <is>
          <t>0.18541409147095289</t>
        </is>
      </c>
    </row>
    <row r="160">
      <c r="A160" t="inlineStr">
        <is>
          <t>2021-11-24</t>
        </is>
      </c>
      <c r="B160" t="n">
        <v>323</v>
      </c>
      <c r="C160" t="n">
        <v>299</v>
      </c>
      <c r="D160" t="n">
        <v>606</v>
      </c>
      <c r="E160" t="inlineStr">
        <is>
          <t>9.0717438002627144</t>
        </is>
      </c>
      <c r="F160" t="inlineStr">
        <is>
          <t>2.6546003016591286</t>
        </is>
      </c>
      <c r="G160" t="inlineStr">
        <is>
          <t>0.36199095022624089</t>
        </is>
      </c>
    </row>
    <row r="161">
      <c r="A161" t="inlineStr">
        <is>
          <t>2021-11-25</t>
        </is>
      </c>
      <c r="B161" t="n">
        <v>592</v>
      </c>
      <c r="C161" t="n">
        <v>711</v>
      </c>
      <c r="D161" t="n">
        <v>712</v>
      </c>
      <c r="E161" t="inlineStr">
        <is>
          <t>22.2601213090336</t>
        </is>
      </c>
      <c r="F161" t="inlineStr">
        <is>
          <t>31.284442560406951</t>
        </is>
      </c>
      <c r="G161" t="inlineStr">
        <is>
          <t>0.93259855871131359</t>
        </is>
      </c>
    </row>
    <row r="162">
      <c r="A162" t="inlineStr">
        <is>
          <t>2021-11-26</t>
        </is>
      </c>
      <c r="B162" t="n">
        <v>577</v>
      </c>
      <c r="C162" t="n">
        <v>519</v>
      </c>
      <c r="D162" t="n">
        <v>511</v>
      </c>
      <c r="E162" t="inlineStr">
        <is>
          <t>20.803938032541438</t>
        </is>
      </c>
      <c r="F162" t="inlineStr">
        <is>
          <t>5.5546175924362622</t>
        </is>
      </c>
      <c r="G162" t="inlineStr">
        <is>
          <t>0.28701671450278388</t>
        </is>
      </c>
    </row>
    <row r="163">
      <c r="A163" t="inlineStr">
        <is>
          <t>2021-11-29</t>
        </is>
      </c>
      <c r="B163" t="n">
        <v>596</v>
      </c>
      <c r="C163" t="n">
        <v>352</v>
      </c>
      <c r="D163" t="n">
        <v>547</v>
      </c>
      <c r="E163" t="inlineStr">
        <is>
          <t>22.701475595915451</t>
        </is>
      </c>
      <c r="F163" t="inlineStr">
        <is>
          <t>3.1938762043024851</t>
        </is>
      </c>
      <c r="G163" t="inlineStr">
        <is>
          <t>0.3167480533192526</t>
        </is>
      </c>
    </row>
    <row r="164">
      <c r="A164" t="inlineStr">
        <is>
          <t>2021-11-30</t>
        </is>
      </c>
      <c r="B164" t="n">
        <v>593</v>
      </c>
      <c r="C164" t="n">
        <v>455</v>
      </c>
      <c r="D164" t="n">
        <v>432</v>
      </c>
      <c r="E164" t="inlineStr">
        <is>
          <t>22.409128337843889</t>
        </is>
      </c>
      <c r="F164" t="inlineStr">
        <is>
          <t>4.3840579710144798</t>
        </is>
      </c>
      <c r="G164" t="inlineStr">
        <is>
          <t>0.2536231884057929</t>
        </is>
      </c>
    </row>
    <row r="165">
      <c r="A165" t="inlineStr">
        <is>
          <t>2021-12-01</t>
        </is>
      </c>
      <c r="B165" t="n">
        <v>707</v>
      </c>
      <c r="C165" t="n">
        <v>659</v>
      </c>
      <c r="D165" t="n">
        <v>706</v>
      </c>
      <c r="E165" t="inlineStr">
        <is>
          <t>57.50040801100338</t>
        </is>
      </c>
      <c r="F165" t="inlineStr">
        <is>
          <t>13.975609756097564</t>
        </is>
      </c>
      <c r="G165" t="inlineStr">
        <is>
          <t>0.75609756097561531</t>
        </is>
      </c>
    </row>
    <row r="166">
      <c r="A166" t="inlineStr">
        <is>
          <t>2021-12-02</t>
        </is>
      </c>
      <c r="B166" t="n">
        <v>652</v>
      </c>
      <c r="C166" t="n">
        <v>663</v>
      </c>
      <c r="D166" t="n">
        <v>708</v>
      </c>
      <c r="E166" t="inlineStr">
        <is>
          <t>31.216753865661808</t>
        </is>
      </c>
      <c r="F166" t="inlineStr">
        <is>
          <t>14.433370247323737</t>
        </is>
      </c>
      <c r="G166" t="inlineStr">
        <is>
          <t>0.84902177925434164</t>
        </is>
      </c>
    </row>
    <row r="167">
      <c r="A167" t="inlineStr">
        <is>
          <t>2021-12-03</t>
        </is>
      </c>
      <c r="B167" t="n">
        <v>655</v>
      </c>
      <c r="C167" t="n">
        <v>570</v>
      </c>
      <c r="D167" t="n">
        <v>665</v>
      </c>
      <c r="E167" t="inlineStr">
        <is>
          <t>31.551792754539392</t>
        </is>
      </c>
      <c r="F167" t="inlineStr">
        <is>
          <t>7.2442955161959439</t>
        </is>
      </c>
      <c r="G167" t="inlineStr">
        <is>
          <t>0.4627413435455614</t>
        </is>
      </c>
    </row>
    <row r="168">
      <c r="A168" t="inlineStr">
        <is>
          <t>2021-12-06</t>
        </is>
      </c>
      <c r="B168" t="n">
        <v>644</v>
      </c>
      <c r="C168" t="n">
        <v>189</v>
      </c>
      <c r="D168" t="n">
        <v>570</v>
      </c>
      <c r="E168" t="inlineStr">
        <is>
          <t>28.26910790397298</t>
        </is>
      </c>
      <c r="F168" t="inlineStr">
        <is>
          <t>1.9777297656639672</t>
        </is>
      </c>
      <c r="G168" t="inlineStr">
        <is>
          <t>0.33239155725444569</t>
        </is>
      </c>
    </row>
    <row r="169">
      <c r="A169" t="inlineStr">
        <is>
          <t>2021-12-07</t>
        </is>
      </c>
      <c r="B169" t="n">
        <v>587</v>
      </c>
      <c r="C169" t="n">
        <v>325</v>
      </c>
      <c r="D169" t="n">
        <v>287</v>
      </c>
      <c r="E169" t="inlineStr">
        <is>
          <t>21.823685738925786</t>
        </is>
      </c>
      <c r="F169" t="inlineStr">
        <is>
          <t>2.866923406076173</t>
        </is>
      </c>
      <c r="G169" t="inlineStr">
        <is>
          <t>0.21394950791613779</t>
        </is>
      </c>
    </row>
    <row r="170">
      <c r="A170" t="inlineStr">
        <is>
          <t>2021-12-08</t>
        </is>
      </c>
      <c r="B170" t="n">
        <v>425</v>
      </c>
      <c r="C170" t="n">
        <v>232</v>
      </c>
      <c r="D170" t="n">
        <v>522</v>
      </c>
      <c r="E170" t="inlineStr">
        <is>
          <t>11.723599577143039</t>
        </is>
      </c>
      <c r="F170" t="inlineStr">
        <is>
          <t>2.2425494246090363</t>
        </is>
      </c>
      <c r="G170" t="inlineStr">
        <is>
          <t>0.29507229271171431</t>
        </is>
      </c>
    </row>
    <row r="171">
      <c r="A171" t="inlineStr">
        <is>
          <t>2021-12-09</t>
        </is>
      </c>
      <c r="B171" t="n">
        <v>93</v>
      </c>
      <c r="C171" t="n">
        <v>380</v>
      </c>
      <c r="D171" t="n">
        <v>535</v>
      </c>
      <c r="E171" t="inlineStr">
        <is>
          <t>5.0487619123695708</t>
        </is>
      </c>
      <c r="F171" t="inlineStr">
        <is>
          <t>3.5300050428643468</t>
        </is>
      </c>
      <c r="G171" t="inlineStr">
        <is>
          <t>0.30257186081694831</t>
        </is>
      </c>
    </row>
    <row r="172">
      <c r="A172" t="inlineStr">
        <is>
          <t>2021-12-10</t>
        </is>
      </c>
      <c r="B172" t="n">
        <v>643</v>
      </c>
      <c r="C172" t="n">
        <v>539</v>
      </c>
      <c r="D172" t="n">
        <v>693</v>
      </c>
      <c r="E172" t="inlineStr">
        <is>
          <t>28.242438130155403</t>
        </is>
      </c>
      <c r="F172" t="inlineStr">
        <is>
          <t>6.1294765840220231</t>
        </is>
      </c>
      <c r="G172" t="inlineStr">
        <is>
          <t>0.58539944903581853</t>
        </is>
      </c>
    </row>
    <row r="173">
      <c r="A173" t="inlineStr">
        <is>
          <t>2021-12-13</t>
        </is>
      </c>
      <c r="B173" t="n">
        <v>563</v>
      </c>
      <c r="C173" t="n">
        <v>412</v>
      </c>
      <c r="D173" t="n">
        <v>491</v>
      </c>
      <c r="E173" t="inlineStr">
        <is>
          <t>19.79479679627153</t>
        </is>
      </c>
      <c r="F173" t="inlineStr">
        <is>
          <t>3.8461538461538463</t>
        </is>
      </c>
      <c r="G173" t="inlineStr">
        <is>
          <t>0.27777777777778018</t>
        </is>
      </c>
    </row>
    <row r="174">
      <c r="A174" t="inlineStr">
        <is>
          <t>2021-12-15</t>
        </is>
      </c>
      <c r="B174" t="n">
        <v>385</v>
      </c>
      <c r="C174" t="n">
        <v>155</v>
      </c>
      <c r="D174" t="n">
        <v>492</v>
      </c>
      <c r="E174" t="inlineStr">
        <is>
          <t>10.72379876157337</t>
        </is>
      </c>
      <c r="F174" t="inlineStr">
        <is>
          <t>1.8065591995553083</t>
        </is>
      </c>
      <c r="G174" t="inlineStr">
        <is>
          <t>0.2779321845469705</t>
        </is>
      </c>
    </row>
    <row r="175">
      <c r="A175" t="inlineStr">
        <is>
          <t>2021-12-16</t>
        </is>
      </c>
      <c r="B175" t="n">
        <v>212</v>
      </c>
      <c r="C175" t="n">
        <v>275</v>
      </c>
      <c r="D175" t="n">
        <v>515</v>
      </c>
      <c r="E175" t="inlineStr">
        <is>
          <t>6.8045255861711924</t>
        </is>
      </c>
      <c r="F175" t="inlineStr">
        <is>
          <t>2.4649589173513751</t>
        </is>
      </c>
      <c r="G175" t="inlineStr">
        <is>
          <t>0.28999516674721809</t>
        </is>
      </c>
    </row>
    <row r="176">
      <c r="A176" t="inlineStr">
        <is>
          <t>2021-12-20</t>
        </is>
      </c>
      <c r="B176" t="n">
        <v>376</v>
      </c>
      <c r="C176" t="n">
        <v>233</v>
      </c>
      <c r="D176" t="n">
        <v>273</v>
      </c>
      <c r="E176" t="inlineStr">
        <is>
          <t>10.373351218422508</t>
        </is>
      </c>
      <c r="F176" t="inlineStr">
        <is>
          <t>2.2513767411726562</t>
        </is>
      </c>
      <c r="G176" t="inlineStr">
        <is>
          <t>0.21056041464204911</t>
        </is>
      </c>
    </row>
    <row r="177">
      <c r="A177" t="inlineStr">
        <is>
          <t>2021-12-22</t>
        </is>
      </c>
      <c r="B177" t="n">
        <v>286</v>
      </c>
      <c r="C177" t="n">
        <v>96</v>
      </c>
      <c r="D177" t="n">
        <v>175</v>
      </c>
      <c r="E177" t="inlineStr">
        <is>
          <t>8.2889283599763175</t>
        </is>
      </c>
      <c r="F177" t="inlineStr">
        <is>
          <t>1.5086206896551784</t>
        </is>
      </c>
      <c r="G177" t="inlineStr">
        <is>
          <t>0.18857758620689341</t>
        </is>
      </c>
    </row>
    <row r="178">
      <c r="A178" t="inlineStr">
        <is>
          <t>2021-12-23</t>
        </is>
      </c>
      <c r="B178" t="n">
        <v>316</v>
      </c>
      <c r="C178" t="n">
        <v>351</v>
      </c>
      <c r="D178" t="n">
        <v>602</v>
      </c>
      <c r="E178" t="inlineStr">
        <is>
          <t>8.9766870157791825</t>
        </is>
      </c>
      <c r="F178" t="inlineStr">
        <is>
          <t>3.1648800408371565</t>
        </is>
      </c>
      <c r="G178" t="inlineStr">
        <is>
          <t>0.35732516590097141</t>
        </is>
      </c>
    </row>
    <row r="179">
      <c r="A179" t="inlineStr">
        <is>
          <t>2021-12-24</t>
        </is>
      </c>
      <c r="B179" t="n">
        <v>576</v>
      </c>
      <c r="C179" t="n">
        <v>449</v>
      </c>
      <c r="D179" t="n">
        <v>605</v>
      </c>
      <c r="E179" t="inlineStr">
        <is>
          <t>20.784064965549479</t>
        </is>
      </c>
      <c r="F179" t="inlineStr">
        <is>
          <t>4.2695009908124737</t>
        </is>
      </c>
      <c r="G179" t="inlineStr">
        <is>
          <t>0.36029544226266558</t>
        </is>
      </c>
    </row>
    <row r="180">
      <c r="A180" t="inlineStr">
        <is>
          <t>2021-12-27</t>
        </is>
      </c>
      <c r="B180" t="n">
        <v>688</v>
      </c>
      <c r="C180" t="n">
        <v>671</v>
      </c>
      <c r="D180" t="n">
        <v>553</v>
      </c>
      <c r="E180" t="inlineStr">
        <is>
          <t>42.260945792268167</t>
        </is>
      </c>
      <c r="F180" t="inlineStr">
        <is>
          <t>15.583679637325274</t>
        </is>
      </c>
      <c r="G180" t="inlineStr">
        <is>
          <t>0.3211182470721658</t>
        </is>
      </c>
    </row>
    <row r="181">
      <c r="A181" t="inlineStr">
        <is>
          <t>2021-12-29</t>
        </is>
      </c>
      <c r="B181" t="n">
        <v>435</v>
      </c>
      <c r="C181" t="n">
        <v>364</v>
      </c>
      <c r="D181" t="n">
        <v>445</v>
      </c>
      <c r="E181" t="inlineStr">
        <is>
          <t>12.122974053346056</t>
        </is>
      </c>
      <c r="F181" t="inlineStr">
        <is>
          <t>3.3041788143828743</t>
        </is>
      </c>
      <c r="G181" t="inlineStr">
        <is>
          <t>0.2591512795594465</t>
        </is>
      </c>
    </row>
    <row r="182">
      <c r="A182" t="inlineStr">
        <is>
          <t>2021-12-30</t>
        </is>
      </c>
      <c r="B182" t="n">
        <v>638</v>
      </c>
      <c r="C182" t="n">
        <v>580</v>
      </c>
      <c r="D182" t="n">
        <v>707</v>
      </c>
      <c r="E182" t="inlineStr">
        <is>
          <t>27.320574023319452</t>
        </is>
      </c>
      <c r="F182" t="inlineStr">
        <is>
          <t>7.5362318840579823</t>
        </is>
      </c>
      <c r="G182" t="inlineStr">
        <is>
          <t>0.77294685990338574</t>
        </is>
      </c>
    </row>
    <row r="183">
      <c r="A183" t="inlineStr">
        <is>
          <t>2021-12-31</t>
        </is>
      </c>
      <c r="B183" t="n">
        <v>465</v>
      </c>
      <c r="C183" t="n">
        <v>204</v>
      </c>
      <c r="D183" t="n">
        <v>386</v>
      </c>
      <c r="E183" t="inlineStr">
        <is>
          <t>13.154927459973536</t>
        </is>
      </c>
      <c r="F183" t="inlineStr">
        <is>
          <t>2.0479704797047802</t>
        </is>
      </c>
      <c r="G183" t="inlineStr">
        <is>
          <t>0.2398523985239768</t>
        </is>
      </c>
    </row>
    <row r="184">
      <c r="A184" t="inlineStr">
        <is>
          <t>2022-01-04</t>
        </is>
      </c>
      <c r="B184" t="n">
        <v>545</v>
      </c>
      <c r="C184" t="n">
        <v>642</v>
      </c>
      <c r="D184" t="n">
        <v>581</v>
      </c>
      <c r="E184" t="inlineStr">
        <is>
          <t>18.132699678931225</t>
        </is>
      </c>
      <c r="F184" t="inlineStr">
        <is>
          <t>11.01343101343102</t>
        </is>
      </c>
      <c r="G184" t="inlineStr">
        <is>
          <t>0.34188034188034327</t>
        </is>
      </c>
    </row>
    <row r="185">
      <c r="A185" t="inlineStr">
        <is>
          <t>2022-01-05</t>
        </is>
      </c>
      <c r="B185" t="n">
        <v>453</v>
      </c>
      <c r="C185" t="n">
        <v>267</v>
      </c>
      <c r="D185" t="n">
        <v>234</v>
      </c>
      <c r="E185" t="inlineStr">
        <is>
          <t>12.83733107111575</t>
        </is>
      </c>
      <c r="F185" t="inlineStr">
        <is>
          <t>2.4316109422492169</t>
        </is>
      </c>
      <c r="G185" t="inlineStr">
        <is>
          <t>0.20263424518742509</t>
        </is>
      </c>
    </row>
    <row r="186">
      <c r="A186" t="inlineStr">
        <is>
          <t>2022-01-06</t>
        </is>
      </c>
      <c r="B186" t="n">
        <v>525</v>
      </c>
      <c r="C186" t="n">
        <v>523</v>
      </c>
      <c r="D186" t="n">
        <v>618</v>
      </c>
      <c r="E186" t="inlineStr">
        <is>
          <t>16.308122288423203</t>
        </is>
      </c>
      <c r="F186" t="inlineStr">
        <is>
          <t>5.712731229597388</t>
        </is>
      </c>
      <c r="G186" t="inlineStr">
        <is>
          <t>0.38084874863981971</t>
        </is>
      </c>
    </row>
    <row r="187">
      <c r="A187" t="inlineStr">
        <is>
          <t>2022-01-11</t>
        </is>
      </c>
      <c r="B187" t="n">
        <v>293</v>
      </c>
      <c r="C187" t="n">
        <v>401</v>
      </c>
      <c r="D187" t="n">
        <v>371</v>
      </c>
      <c r="E187" t="inlineStr">
        <is>
          <t>8.3950494144253298</t>
        </is>
      </c>
      <c r="F187" t="inlineStr">
        <is>
          <t>3.7080497535789743</t>
        </is>
      </c>
      <c r="G187" t="inlineStr">
        <is>
          <t>0.23468669326449179</t>
        </is>
      </c>
    </row>
    <row r="188">
      <c r="A188" t="inlineStr">
        <is>
          <t>2022-01-12</t>
        </is>
      </c>
      <c r="B188" t="n">
        <v>378</v>
      </c>
      <c r="C188" t="n">
        <v>495</v>
      </c>
      <c r="D188" t="n">
        <v>697</v>
      </c>
      <c r="E188" t="inlineStr">
        <is>
          <t>10.441691829583174</t>
        </is>
      </c>
      <c r="F188" t="inlineStr">
        <is>
          <t>5.004781638508125</t>
        </is>
      </c>
      <c r="G188" t="inlineStr">
        <is>
          <t>0.60567421102964802</t>
        </is>
      </c>
    </row>
    <row r="189">
      <c r="A189" t="inlineStr">
        <is>
          <t>2022-01-13</t>
        </is>
      </c>
      <c r="B189" t="n">
        <v>609</v>
      </c>
      <c r="C189" t="n">
        <v>710</v>
      </c>
      <c r="D189" t="n">
        <v>682</v>
      </c>
      <c r="E189" t="inlineStr">
        <is>
          <t>24.490087280254201</t>
        </is>
      </c>
      <c r="F189" t="inlineStr">
        <is>
          <t>30.492135971588024</t>
        </is>
      </c>
      <c r="G189" t="inlineStr">
        <is>
          <t>0.50735667174024068</t>
        </is>
      </c>
    </row>
    <row r="190">
      <c r="A190" t="inlineStr">
        <is>
          <t>2022-01-14</t>
        </is>
      </c>
      <c r="B190" t="n">
        <v>314</v>
      </c>
      <c r="C190" t="n">
        <v>33</v>
      </c>
      <c r="D190" t="n">
        <v>66</v>
      </c>
      <c r="E190" t="inlineStr">
        <is>
          <t>8.9344065651326989</t>
        </is>
      </c>
      <c r="F190" t="inlineStr">
        <is>
          <t>1.1165135962542647</t>
        </is>
      </c>
      <c r="G190" t="inlineStr">
        <is>
          <t>0.1440662704844248</t>
        </is>
      </c>
    </row>
    <row r="191">
      <c r="A191" t="inlineStr">
        <is>
          <t>2022-01-17</t>
        </is>
      </c>
      <c r="B191" t="n">
        <v>484</v>
      </c>
      <c r="C191" t="n">
        <v>345</v>
      </c>
      <c r="D191" t="n">
        <v>130</v>
      </c>
      <c r="E191" t="inlineStr">
        <is>
          <t>13.888888888887694</t>
        </is>
      </c>
      <c r="F191" t="inlineStr">
        <is>
          <t>3.1263475636050022</t>
        </is>
      </c>
      <c r="G191" t="inlineStr">
        <is>
          <t>0.17248814144027841</t>
        </is>
      </c>
    </row>
    <row r="192">
      <c r="A192" t="inlineStr">
        <is>
          <t>2022-01-18</t>
        </is>
      </c>
      <c r="B192" t="n">
        <v>423</v>
      </c>
      <c r="C192" t="n">
        <v>165</v>
      </c>
      <c r="D192" t="n">
        <v>104</v>
      </c>
      <c r="E192" t="inlineStr">
        <is>
          <t>11.693292302323171</t>
        </is>
      </c>
      <c r="F192" t="inlineStr">
        <is>
          <t>1.8463209340211812</t>
        </is>
      </c>
      <c r="G192" t="inlineStr">
        <is>
          <t>0.16291067064893369</t>
        </is>
      </c>
    </row>
    <row r="193">
      <c r="A193" t="inlineStr">
        <is>
          <t>2022-01-19</t>
        </is>
      </c>
      <c r="B193" t="n">
        <v>467</v>
      </c>
      <c r="C193" t="n">
        <v>477</v>
      </c>
      <c r="D193" t="n">
        <v>379</v>
      </c>
      <c r="E193" t="inlineStr">
        <is>
          <t>13.185887775908004</t>
        </is>
      </c>
      <c r="F193" t="inlineStr">
        <is>
          <t>4.7349612864800577</t>
        </is>
      </c>
      <c r="G193" t="inlineStr">
        <is>
          <t>0.2382370458606346</t>
        </is>
      </c>
    </row>
    <row r="194">
      <c r="A194" t="inlineStr">
        <is>
          <t>2022-01-20</t>
        </is>
      </c>
      <c r="B194" t="n">
        <v>315</v>
      </c>
      <c r="C194" t="n">
        <v>424</v>
      </c>
      <c r="D194" t="n">
        <v>462</v>
      </c>
      <c r="E194" t="inlineStr">
        <is>
          <t>8.9621996197363316</t>
        </is>
      </c>
      <c r="F194" t="inlineStr">
        <is>
          <t>3.9577836411609648</t>
        </is>
      </c>
      <c r="G194" t="inlineStr">
        <is>
          <t>0.26385224274406333</t>
        </is>
      </c>
    </row>
    <row r="195">
      <c r="A195" t="inlineStr">
        <is>
          <t>2022-01-21</t>
        </is>
      </c>
      <c r="B195" t="n">
        <v>714</v>
      </c>
      <c r="C195" t="n">
        <v>583</v>
      </c>
      <c r="D195" t="n">
        <v>624</v>
      </c>
      <c r="E195" t="inlineStr">
        <is>
          <t>66.110494508770216</t>
        </is>
      </c>
      <c r="F195" t="inlineStr">
        <is>
          <t>7.6226415094339446</t>
        </is>
      </c>
      <c r="G195" t="inlineStr">
        <is>
          <t>0.3924528301886826</t>
        </is>
      </c>
    </row>
    <row r="196">
      <c r="A196" t="inlineStr">
        <is>
          <t>2022-01-24</t>
        </is>
      </c>
      <c r="B196" t="n">
        <v>474</v>
      </c>
      <c r="C196" t="n">
        <v>433</v>
      </c>
      <c r="D196" t="n">
        <v>218</v>
      </c>
      <c r="E196" t="inlineStr">
        <is>
          <t>13.486587371335718</t>
        </is>
      </c>
      <c r="F196" t="inlineStr">
        <is>
          <t>4.0509915014164175</t>
        </is>
      </c>
      <c r="G196" t="inlineStr">
        <is>
          <t>0.19830028328611571</t>
        </is>
      </c>
    </row>
    <row r="197">
      <c r="A197" t="inlineStr">
        <is>
          <t>2022-01-25</t>
        </is>
      </c>
      <c r="B197" t="n">
        <v>487</v>
      </c>
      <c r="C197" t="n">
        <v>98</v>
      </c>
      <c r="D197" t="n">
        <v>536</v>
      </c>
      <c r="E197" t="inlineStr">
        <is>
          <t>14.15614314550135</t>
        </is>
      </c>
      <c r="F197" t="inlineStr">
        <is>
          <t>1.5166835187057637</t>
        </is>
      </c>
      <c r="G197" t="inlineStr">
        <is>
          <t>0.3033367037411478</t>
        </is>
      </c>
    </row>
    <row r="198">
      <c r="A198" t="inlineStr">
        <is>
          <t>2022-01-27</t>
        </is>
      </c>
      <c r="B198" t="n">
        <v>426</v>
      </c>
      <c r="C198" t="n">
        <v>255</v>
      </c>
      <c r="D198" t="n">
        <v>528</v>
      </c>
      <c r="E198" t="inlineStr">
        <is>
          <t>11.783490151948106</t>
        </is>
      </c>
      <c r="F198" t="inlineStr">
        <is>
          <t>2.3608349900596424</t>
        </is>
      </c>
      <c r="G198" t="inlineStr">
        <is>
          <t>0.29821073558648531</t>
        </is>
      </c>
    </row>
    <row r="199">
      <c r="A199" t="inlineStr">
        <is>
          <t>2022-01-31</t>
        </is>
      </c>
      <c r="B199" t="n">
        <v>636</v>
      </c>
      <c r="C199" t="n">
        <v>620</v>
      </c>
      <c r="D199" t="n">
        <v>504</v>
      </c>
      <c r="E199" t="inlineStr">
        <is>
          <t>27.20848465221674</t>
        </is>
      </c>
      <c r="F199" t="inlineStr">
        <is>
          <t>9.4665500655881107</t>
        </is>
      </c>
      <c r="G199" t="inlineStr">
        <is>
          <t>0.28421512898994561</t>
        </is>
      </c>
    </row>
    <row r="200">
      <c r="A200" t="inlineStr">
        <is>
          <t>2022-02-01</t>
        </is>
      </c>
      <c r="B200" t="n">
        <v>318</v>
      </c>
      <c r="C200" t="n">
        <v>82</v>
      </c>
      <c r="D200" t="n">
        <v>279</v>
      </c>
      <c r="E200" t="inlineStr">
        <is>
          <t>8.9850601913171637</t>
        </is>
      </c>
      <c r="F200" t="inlineStr">
        <is>
          <t>1.4386082301773142</t>
        </is>
      </c>
      <c r="G200" t="inlineStr">
        <is>
          <t>0.21188803390208921</t>
        </is>
      </c>
    </row>
    <row r="201">
      <c r="A201" t="inlineStr">
        <is>
          <t>2022-02-03</t>
        </is>
      </c>
      <c r="B201" t="n">
        <v>471</v>
      </c>
      <c r="C201" t="n">
        <v>369</v>
      </c>
      <c r="D201" t="n">
        <v>642</v>
      </c>
      <c r="E201" t="inlineStr">
        <is>
          <t>13.417899929527428</t>
        </is>
      </c>
      <c r="F201" t="inlineStr">
        <is>
          <t>3.3826638477801154</t>
        </is>
      </c>
      <c r="G201" t="inlineStr">
        <is>
          <t>0.42283298097250688</t>
        </is>
      </c>
    </row>
    <row r="202">
      <c r="A202" t="inlineStr">
        <is>
          <t>2022-02-04</t>
        </is>
      </c>
      <c r="B202" t="n">
        <v>262</v>
      </c>
      <c r="C202" t="n">
        <v>80</v>
      </c>
      <c r="D202" t="n">
        <v>378</v>
      </c>
      <c r="E202" t="inlineStr">
        <is>
          <t>7.6455870983558087</t>
        </is>
      </c>
      <c r="F202" t="inlineStr">
        <is>
          <t>1.4283588751673892</t>
        </is>
      </c>
      <c r="G202" t="inlineStr">
        <is>
          <t>0.23805981252789249</t>
        </is>
      </c>
    </row>
    <row r="203">
      <c r="A203" t="inlineStr">
        <is>
          <t>2022-02-09</t>
        </is>
      </c>
    </row>
    <row r="204">
      <c r="A204" t="inlineStr">
        <is>
          <t>2022-02-10</t>
        </is>
      </c>
      <c r="B204" t="n">
        <v>496</v>
      </c>
      <c r="C204" t="n">
        <v>527</v>
      </c>
      <c r="D204" t="n">
        <v>390</v>
      </c>
      <c r="E204" t="inlineStr">
        <is>
          <t>14.444019433771189</t>
        </is>
      </c>
      <c r="F204" t="inlineStr">
        <is>
          <t>5.7859209257473347</t>
        </is>
      </c>
      <c r="G204" t="inlineStr">
        <is>
          <t>0.24108003857281299</t>
        </is>
      </c>
    </row>
    <row r="205">
      <c r="A205" t="inlineStr">
        <is>
          <t>2022-02-11</t>
        </is>
      </c>
      <c r="B205" t="n">
        <v>415</v>
      </c>
      <c r="C205" t="n">
        <v>67</v>
      </c>
      <c r="D205" t="n">
        <v>209</v>
      </c>
      <c r="E205" t="inlineStr">
        <is>
          <t>11.632215204599831</t>
        </is>
      </c>
      <c r="F205" t="inlineStr">
        <is>
          <t>1.3361577317907845</t>
        </is>
      </c>
      <c r="G205" t="inlineStr">
        <is>
          <t>0.1955352778230387</t>
        </is>
      </c>
    </row>
    <row r="206">
      <c r="A206" t="inlineStr">
        <is>
          <t>2022-02-14</t>
        </is>
      </c>
      <c r="B206" t="n">
        <v>589</v>
      </c>
      <c r="C206" t="n">
        <v>568</v>
      </c>
      <c r="D206" t="n">
        <v>140</v>
      </c>
      <c r="E206" t="inlineStr">
        <is>
          <t>22.122657190009821</t>
        </is>
      </c>
      <c r="F206" t="inlineStr">
        <is>
          <t>7.1185157137447774</t>
        </is>
      </c>
      <c r="G206" t="inlineStr">
        <is>
          <t>0.17670074466742111</t>
        </is>
      </c>
    </row>
    <row r="207">
      <c r="A207" t="inlineStr">
        <is>
          <t>2022-02-16</t>
        </is>
      </c>
    </row>
    <row r="208">
      <c r="A208" t="inlineStr">
        <is>
          <t>2022-02-17</t>
        </is>
      </c>
      <c r="B208" t="n">
        <v>440</v>
      </c>
      <c r="C208" t="n">
        <v>268</v>
      </c>
      <c r="D208" t="n">
        <v>367</v>
      </c>
      <c r="E208" t="inlineStr">
        <is>
          <t>12.410084342611508</t>
        </is>
      </c>
      <c r="F208" t="inlineStr">
        <is>
          <t>2.4321796071094424</t>
        </is>
      </c>
      <c r="G208" t="inlineStr">
        <is>
          <t>0.2338634237605238</t>
        </is>
      </c>
    </row>
    <row r="209">
      <c r="A209" t="inlineStr">
        <is>
          <t>2022-02-18</t>
        </is>
      </c>
      <c r="B209" t="n">
        <v>667</v>
      </c>
      <c r="C209" t="n">
        <v>692</v>
      </c>
      <c r="D209" t="n">
        <v>517</v>
      </c>
      <c r="E209" t="inlineStr">
        <is>
          <t>35.410477795343922</t>
        </is>
      </c>
      <c r="F209" t="inlineStr">
        <is>
          <t>21.375921375921369</t>
        </is>
      </c>
      <c r="G209" t="inlineStr">
        <is>
          <t>0.29037301764574108</t>
        </is>
      </c>
    </row>
    <row r="210">
      <c r="A210" t="inlineStr">
        <is>
          <t>2022-02-21</t>
        </is>
      </c>
      <c r="B210" t="n">
        <v>678</v>
      </c>
      <c r="C210" t="n">
        <v>474</v>
      </c>
      <c r="D210" t="n">
        <v>487</v>
      </c>
      <c r="E210" t="inlineStr">
        <is>
          <t>38.316513574910807</t>
        </is>
      </c>
      <c r="F210" t="inlineStr">
        <is>
          <t>4.6723804257672192</t>
        </is>
      </c>
      <c r="G210" t="inlineStr">
        <is>
          <t>0.27647221454243848</t>
        </is>
      </c>
    </row>
    <row r="211">
      <c r="A211" t="inlineStr">
        <is>
          <t>2022-02-22</t>
        </is>
      </c>
      <c r="B211" t="n">
        <v>717</v>
      </c>
      <c r="C211" t="n">
        <v>713</v>
      </c>
      <c r="D211" t="n">
        <v>661</v>
      </c>
      <c r="E211" t="inlineStr">
        <is>
          <t>131.82218179885135</t>
        </is>
      </c>
      <c r="F211" t="inlineStr">
        <is>
          <t>31.692624155157223</t>
        </is>
      </c>
      <c r="G211" t="inlineStr">
        <is>
          <t>0.455480458419037</t>
        </is>
      </c>
    </row>
    <row r="212">
      <c r="A212" t="inlineStr">
        <is>
          <t>2022-02-23</t>
        </is>
      </c>
    </row>
    <row r="213">
      <c r="A213" t="inlineStr">
        <is>
          <t>2022-02-24</t>
        </is>
      </c>
      <c r="B213" t="n">
        <v>529</v>
      </c>
      <c r="C213" t="n">
        <v>558</v>
      </c>
      <c r="D213" t="n">
        <v>559</v>
      </c>
      <c r="E213" t="inlineStr">
        <is>
          <t>16.557927294828609</t>
        </is>
      </c>
      <c r="F213" t="inlineStr">
        <is>
          <t>6.8176914778856581</t>
        </is>
      </c>
      <c r="G213" t="inlineStr">
        <is>
          <t>0.3236245954692557</t>
        </is>
      </c>
    </row>
    <row r="214">
      <c r="A214" t="inlineStr">
        <is>
          <t>2022-03-02</t>
        </is>
      </c>
      <c r="B214" t="n">
        <v>647</v>
      </c>
      <c r="C214" t="n">
        <v>113</v>
      </c>
      <c r="D214" t="n">
        <v>37</v>
      </c>
      <c r="E214" t="inlineStr">
        <is>
          <t>28.95933050362876</t>
        </is>
      </c>
      <c r="F214" t="inlineStr">
        <is>
          <t>1.5982884470173444</t>
        </is>
      </c>
      <c r="G214" t="inlineStr">
        <is>
          <t>0.12584948401712259</t>
        </is>
      </c>
    </row>
    <row r="215">
      <c r="A215" t="inlineStr">
        <is>
          <t>2022-03-03</t>
        </is>
      </c>
    </row>
    <row r="216">
      <c r="A216" t="inlineStr">
        <is>
          <t>2022-03-09</t>
        </is>
      </c>
      <c r="B216" t="n">
        <v>549</v>
      </c>
      <c r="C216" t="n">
        <v>469</v>
      </c>
      <c r="D216" t="n">
        <v>341</v>
      </c>
      <c r="E216" t="inlineStr">
        <is>
          <t>18.220325785654214</t>
        </is>
      </c>
      <c r="F216" t="inlineStr">
        <is>
          <t>4.6183762761302862</t>
        </is>
      </c>
      <c r="G216" t="inlineStr">
        <is>
          <t>0.22686760654675639</t>
        </is>
      </c>
    </row>
    <row r="217">
      <c r="A217" t="inlineStr">
        <is>
          <t>2022-03-11</t>
        </is>
      </c>
      <c r="B217" t="n">
        <v>320</v>
      </c>
      <c r="C217" t="n">
        <v>156</v>
      </c>
      <c r="D217" t="n">
        <v>407</v>
      </c>
      <c r="E217" t="inlineStr">
        <is>
          <t>9.0199887778070433</t>
        </is>
      </c>
      <c r="F217" t="inlineStr">
        <is>
          <t>1.8103270931907041</t>
        </is>
      </c>
      <c r="G217" t="inlineStr">
        <is>
          <t>0.2468627854350933</t>
        </is>
      </c>
    </row>
    <row r="218">
      <c r="A218" t="inlineStr">
        <is>
          <t>2022-03-14</t>
        </is>
      </c>
      <c r="B218" t="n">
        <v>497</v>
      </c>
      <c r="C218" t="n">
        <v>39</v>
      </c>
      <c r="D218" t="n">
        <v>139</v>
      </c>
      <c r="E218" t="inlineStr">
        <is>
          <t>14.539240961688352</t>
        </is>
      </c>
      <c r="F218" t="inlineStr">
        <is>
          <t>1.1542991755005969</t>
        </is>
      </c>
      <c r="G218" t="inlineStr">
        <is>
          <t>0.1766784452296819</t>
        </is>
      </c>
    </row>
    <row r="219">
      <c r="A219" t="inlineStr">
        <is>
          <t>2022-03-15</t>
        </is>
      </c>
      <c r="B219" t="n">
        <v>264</v>
      </c>
      <c r="C219" t="n">
        <v>6</v>
      </c>
      <c r="D219" t="n">
        <v>16</v>
      </c>
      <c r="E219" t="inlineStr">
        <is>
          <t>7.717509580356289</t>
        </is>
      </c>
      <c r="F219" t="inlineStr">
        <is>
          <t>0.80645161290321365</t>
        </is>
      </c>
      <c r="G219" t="inlineStr">
        <is>
          <t>0.1057641459545153</t>
        </is>
      </c>
    </row>
    <row r="220">
      <c r="A220" t="inlineStr">
        <is>
          <t>2022-03-16</t>
        </is>
      </c>
    </row>
    <row r="221">
      <c r="A221" t="inlineStr">
        <is>
          <t>2022-03-17</t>
        </is>
      </c>
    </row>
    <row r="222">
      <c r="A222" t="inlineStr">
        <is>
          <t>2022-03-21</t>
        </is>
      </c>
      <c r="B222" t="n">
        <v>522</v>
      </c>
      <c r="C222" t="n">
        <v>174</v>
      </c>
      <c r="D222" t="n">
        <v>88</v>
      </c>
      <c r="E222" t="inlineStr">
        <is>
          <t>15.928170023821668</t>
        </is>
      </c>
      <c r="F222" t="inlineStr">
        <is>
          <t>1.8850754030161203</t>
        </is>
      </c>
      <c r="G222" t="inlineStr">
        <is>
          <t>0.15600624024960849</t>
        </is>
      </c>
    </row>
    <row r="223">
      <c r="A223" t="inlineStr">
        <is>
          <t>2022-03-22</t>
        </is>
      </c>
      <c r="B223" t="n">
        <v>511</v>
      </c>
      <c r="C223" t="n">
        <v>61</v>
      </c>
      <c r="D223" t="n">
        <v>173</v>
      </c>
      <c r="E223" t="inlineStr">
        <is>
          <t>15.30601812770052</t>
        </is>
      </c>
      <c r="F223" t="inlineStr">
        <is>
          <t>1.2840859904775612</t>
        </is>
      </c>
      <c r="G223" t="inlineStr">
        <is>
          <t>0.18756312220458971</t>
        </is>
      </c>
    </row>
    <row r="224">
      <c r="A224" t="inlineStr">
        <is>
          <t>2022-03-23</t>
        </is>
      </c>
      <c r="B224" t="n">
        <v>324</v>
      </c>
      <c r="C224" t="n">
        <v>58</v>
      </c>
      <c r="D224" t="n">
        <v>250</v>
      </c>
      <c r="E224" t="inlineStr">
        <is>
          <t>9.0987109681077527</t>
        </is>
      </c>
      <c r="F224" t="inlineStr">
        <is>
          <t>1.2606005042402018</t>
        </is>
      </c>
      <c r="G224" t="inlineStr">
        <is>
          <t>0.20628008251203431</t>
        </is>
      </c>
    </row>
    <row r="225">
      <c r="A225" t="inlineStr">
        <is>
          <t>2022-03-24</t>
        </is>
      </c>
      <c r="B225" t="n">
        <v>138</v>
      </c>
      <c r="C225" t="n">
        <v>287</v>
      </c>
      <c r="D225" t="n">
        <v>340</v>
      </c>
      <c r="E225" t="inlineStr">
        <is>
          <t>5.7140524876531407</t>
        </is>
      </c>
      <c r="F225" t="inlineStr">
        <is>
          <t>2.5699168556311451</t>
        </is>
      </c>
      <c r="G225" t="inlineStr">
        <is>
          <t>0.226757369614521</t>
        </is>
      </c>
    </row>
    <row r="226">
      <c r="A226" t="inlineStr">
        <is>
          <t>2022-03-25</t>
        </is>
      </c>
      <c r="B226" t="n">
        <v>507</v>
      </c>
      <c r="C226" t="n">
        <v>133</v>
      </c>
      <c r="D226" t="n">
        <v>267</v>
      </c>
      <c r="E226" t="inlineStr">
        <is>
          <t>15.066786428302381</t>
        </is>
      </c>
      <c r="F226" t="inlineStr">
        <is>
          <t>1.6902515723270557</t>
        </is>
      </c>
      <c r="G226" t="inlineStr">
        <is>
          <t>0.2096436058700239</t>
        </is>
      </c>
    </row>
    <row r="227">
      <c r="A227" t="inlineStr">
        <is>
          <t>2022-03-28</t>
        </is>
      </c>
      <c r="B227" t="n">
        <v>437</v>
      </c>
      <c r="C227" t="n">
        <v>361</v>
      </c>
      <c r="D227" t="n">
        <v>351</v>
      </c>
      <c r="E227" t="inlineStr">
        <is>
          <t>12.259791088502247</t>
        </is>
      </c>
      <c r="F227" t="inlineStr">
        <is>
          <t>3.2341723874904722</t>
        </is>
      </c>
      <c r="G227" t="inlineStr">
        <is>
          <t>0.2288329519450801</t>
        </is>
      </c>
    </row>
    <row r="228">
      <c r="A228" t="inlineStr">
        <is>
          <t>2022-03-29</t>
        </is>
      </c>
      <c r="B228" t="n">
        <v>98</v>
      </c>
      <c r="C228" t="n">
        <v>435</v>
      </c>
      <c r="D228" t="n">
        <v>25</v>
      </c>
      <c r="E228" t="inlineStr">
        <is>
          <t>5.083854717296818</t>
        </is>
      </c>
      <c r="F228" t="inlineStr">
        <is>
          <t>4.0811775200713676</t>
        </is>
      </c>
      <c r="G228" t="inlineStr">
        <is>
          <t>0.11150758251561101</t>
        </is>
      </c>
    </row>
    <row r="229">
      <c r="A229" t="inlineStr">
        <is>
          <t>2022-03-30</t>
        </is>
      </c>
    </row>
    <row r="230">
      <c r="A230" t="inlineStr">
        <is>
          <t>2022-03-31</t>
        </is>
      </c>
      <c r="B230" t="n">
        <v>607</v>
      </c>
      <c r="C230" t="n">
        <v>669</v>
      </c>
      <c r="D230" t="n">
        <v>659</v>
      </c>
      <c r="E230" t="inlineStr">
        <is>
          <t>24.326806258235724</t>
        </is>
      </c>
      <c r="F230" t="inlineStr">
        <is>
          <t>15.307150050352467</t>
        </is>
      </c>
      <c r="G230" t="inlineStr">
        <is>
          <t>0.4531722054380693</t>
        </is>
      </c>
    </row>
    <row r="231">
      <c r="A231" t="inlineStr">
        <is>
          <t>2022-04-01</t>
        </is>
      </c>
      <c r="B231" t="n">
        <v>565</v>
      </c>
      <c r="C231" t="n">
        <v>595</v>
      </c>
      <c r="D231" t="n">
        <v>542</v>
      </c>
      <c r="E231" t="inlineStr">
        <is>
          <t>19.955793765316741</t>
        </is>
      </c>
      <c r="F231" t="inlineStr">
        <is>
          <t>8.2166333238067857</t>
        </is>
      </c>
      <c r="G231" t="inlineStr">
        <is>
          <t>0.31437553586739719</t>
        </is>
      </c>
    </row>
    <row r="232">
      <c r="A232" t="inlineStr">
        <is>
          <t>2022-04-05</t>
        </is>
      </c>
      <c r="B232" t="n">
        <v>422</v>
      </c>
      <c r="C232" t="n">
        <v>393</v>
      </c>
      <c r="D232" t="n">
        <v>529</v>
      </c>
      <c r="E232" t="inlineStr">
        <is>
          <t>11.688099465171703</t>
        </is>
      </c>
      <c r="F232" t="inlineStr">
        <is>
          <t>3.6321839080459792</t>
        </is>
      </c>
      <c r="G232" t="inlineStr">
        <is>
          <t>0.29885057471264631</t>
        </is>
      </c>
    </row>
    <row r="233">
      <c r="A233" t="inlineStr">
        <is>
          <t>2022-04-06</t>
        </is>
      </c>
      <c r="B233" t="n">
        <v>506</v>
      </c>
      <c r="C233" t="n">
        <v>389</v>
      </c>
      <c r="D233" t="n">
        <v>297</v>
      </c>
      <c r="E233" t="inlineStr">
        <is>
          <t>15.016192834812305</t>
        </is>
      </c>
      <c r="F233" t="inlineStr">
        <is>
          <t>3.6066584463625295</t>
        </is>
      </c>
      <c r="G233" t="inlineStr">
        <is>
          <t>0.21578298397040341</t>
        </is>
      </c>
    </row>
    <row r="234">
      <c r="A234" t="inlineStr">
        <is>
          <t>2022-04-07</t>
        </is>
      </c>
      <c r="B234" t="n">
        <v>477</v>
      </c>
      <c r="C234" t="n">
        <v>438</v>
      </c>
      <c r="D234" t="n">
        <v>544</v>
      </c>
      <c r="E234" t="inlineStr">
        <is>
          <t>13.648797270240957</t>
        </is>
      </c>
      <c r="F234" t="inlineStr">
        <is>
          <t>4.1469816272965909</t>
        </is>
      </c>
      <c r="G234" t="inlineStr">
        <is>
          <t>0.31496062992126428</t>
        </is>
      </c>
    </row>
    <row r="235">
      <c r="A235" t="inlineStr">
        <is>
          <t>2022-04-08</t>
        </is>
      </c>
      <c r="B235" t="n">
        <v>366</v>
      </c>
      <c r="C235" t="n">
        <v>247</v>
      </c>
      <c r="D235" t="n">
        <v>75</v>
      </c>
      <c r="E235" t="inlineStr">
        <is>
          <t>10.051670101928044</t>
        </is>
      </c>
      <c r="F235" t="inlineStr">
        <is>
          <t>2.3160315374507268</t>
        </is>
      </c>
      <c r="G235" t="inlineStr">
        <is>
          <t>0.14783180026280829</t>
        </is>
      </c>
    </row>
    <row r="236">
      <c r="A236" t="inlineStr">
        <is>
          <t>2022-04-11</t>
        </is>
      </c>
      <c r="B236" t="n">
        <v>359</v>
      </c>
      <c r="C236" t="n">
        <v>447</v>
      </c>
      <c r="D236" t="n">
        <v>438</v>
      </c>
      <c r="E236" t="inlineStr">
        <is>
          <t>9.9136498566455504</t>
        </is>
      </c>
      <c r="F236" t="inlineStr">
        <is>
          <t>4.2648949849978512</t>
        </is>
      </c>
      <c r="G236" t="inlineStr">
        <is>
          <t>0.25717959708529542</t>
        </is>
      </c>
    </row>
    <row r="237">
      <c r="A237" t="inlineStr">
        <is>
          <t>2022-04-13</t>
        </is>
      </c>
    </row>
    <row r="238">
      <c r="A238" t="inlineStr">
        <is>
          <t>2022-04-18</t>
        </is>
      </c>
      <c r="B238" t="n">
        <v>568</v>
      </c>
      <c r="C238" t="n">
        <v>697</v>
      </c>
      <c r="D238" t="n">
        <v>582</v>
      </c>
      <c r="E238" t="inlineStr">
        <is>
          <t>20.212975744428267</t>
        </is>
      </c>
      <c r="F238" t="inlineStr">
        <is>
          <t>22.98221614227085</t>
        </is>
      </c>
      <c r="G238" t="inlineStr">
        <is>
          <t>0.34199726402188779</t>
        </is>
      </c>
    </row>
    <row r="239">
      <c r="A239" t="inlineStr">
        <is>
          <t>2022-04-20</t>
        </is>
      </c>
      <c r="B239" t="n">
        <v>446</v>
      </c>
      <c r="C239" t="n">
        <v>532</v>
      </c>
      <c r="D239" t="n">
        <v>307</v>
      </c>
      <c r="E239" t="inlineStr">
        <is>
          <t>12.690467427311246</t>
        </is>
      </c>
      <c r="F239" t="inlineStr">
        <is>
          <t>5.9386973180076756</t>
        </is>
      </c>
      <c r="G239" t="inlineStr">
        <is>
          <t>0.2189381499726358</t>
        </is>
      </c>
    </row>
    <row r="240">
      <c r="A240" t="inlineStr">
        <is>
          <t>2022-04-21</t>
        </is>
      </c>
    </row>
    <row r="241">
      <c r="A241" t="inlineStr">
        <is>
          <t>2022-04-22</t>
        </is>
      </c>
      <c r="B241" t="n">
        <v>71</v>
      </c>
      <c r="C241" t="n">
        <v>305</v>
      </c>
      <c r="D241" t="n">
        <v>43</v>
      </c>
      <c r="E241" t="inlineStr">
        <is>
          <t>4.5006983341608811</t>
        </is>
      </c>
      <c r="F241" t="inlineStr">
        <is>
          <t>2.6961964371689864</t>
        </is>
      </c>
      <c r="G241" t="inlineStr">
        <is>
          <t>0.12839030653184949</t>
        </is>
      </c>
    </row>
    <row r="242">
      <c r="A242" t="inlineStr">
        <is>
          <t>2022-04-25</t>
        </is>
      </c>
      <c r="B242" t="n">
        <v>348</v>
      </c>
      <c r="C242" t="n">
        <v>53</v>
      </c>
      <c r="D242" t="n">
        <v>236</v>
      </c>
      <c r="E242" t="inlineStr">
        <is>
          <t>9.6139667934762283</t>
        </is>
      </c>
      <c r="F242" t="inlineStr">
        <is>
          <t>1.2186865267433873</t>
        </is>
      </c>
      <c r="G242" t="inlineStr">
        <is>
          <t>0.20311442112388819</t>
        </is>
      </c>
    </row>
    <row r="243">
      <c r="A243" t="inlineStr">
        <is>
          <t>2022-04-27</t>
        </is>
      </c>
      <c r="B243" t="n">
        <v>403</v>
      </c>
      <c r="C243" t="n">
        <v>339</v>
      </c>
      <c r="D243" t="n">
        <v>408</v>
      </c>
      <c r="E243" t="inlineStr">
        <is>
          <t>11.368664094067761</t>
        </is>
      </c>
      <c r="F243" t="inlineStr">
        <is>
          <t>3.072702331961588</t>
        </is>
      </c>
      <c r="G243" t="inlineStr">
        <is>
          <t>0.24691358024691509</t>
        </is>
      </c>
    </row>
    <row r="244">
      <c r="A244" t="inlineStr">
        <is>
          <t>2022-04-28</t>
        </is>
      </c>
    </row>
    <row r="245">
      <c r="A245" t="inlineStr">
        <is>
          <t>2022-05-02</t>
        </is>
      </c>
      <c r="B245" t="n">
        <v>515</v>
      </c>
      <c r="C245" t="n">
        <v>128</v>
      </c>
      <c r="D245" t="n">
        <v>186</v>
      </c>
      <c r="E245" t="inlineStr">
        <is>
          <t>15.548762565399288</t>
        </is>
      </c>
      <c r="F245" t="inlineStr">
        <is>
          <t>1.6666666666666703</t>
        </is>
      </c>
      <c r="G245" t="inlineStr">
        <is>
          <t>0.1909722222222261</t>
        </is>
      </c>
    </row>
    <row r="246">
      <c r="A246" t="inlineStr">
        <is>
          <t>2022-05-04</t>
        </is>
      </c>
    </row>
    <row r="247">
      <c r="A247" t="inlineStr">
        <is>
          <t>2022-05-05</t>
        </is>
      </c>
      <c r="B247" t="n">
        <v>152</v>
      </c>
      <c r="C247" t="n">
        <v>454</v>
      </c>
      <c r="D247" t="n">
        <v>235</v>
      </c>
      <c r="E247" t="inlineStr">
        <is>
          <t>5.8536353452596215</t>
        </is>
      </c>
      <c r="F247" t="inlineStr">
        <is>
          <t>4.3372517227401772</t>
        </is>
      </c>
      <c r="G247" t="inlineStr">
        <is>
          <t>0.2026753141467369</t>
        </is>
      </c>
    </row>
    <row r="248">
      <c r="A248" t="inlineStr">
        <is>
          <t>2022-05-06</t>
        </is>
      </c>
      <c r="B248" t="n">
        <v>555</v>
      </c>
      <c r="C248" t="n">
        <v>443</v>
      </c>
      <c r="D248" t="n">
        <v>145</v>
      </c>
      <c r="E248" t="inlineStr">
        <is>
          <t>18.807936522453492</t>
        </is>
      </c>
      <c r="F248" t="inlineStr">
        <is>
          <t>4.2447418738049798</t>
        </is>
      </c>
      <c r="G248" t="inlineStr">
        <is>
          <t>0.178457616316122</t>
        </is>
      </c>
    </row>
    <row r="249">
      <c r="A249" t="inlineStr">
        <is>
          <t>2022-05-10</t>
        </is>
      </c>
      <c r="B249" t="n">
        <v>702</v>
      </c>
      <c r="C249" t="n">
        <v>602</v>
      </c>
      <c r="D249" t="n">
        <v>360</v>
      </c>
      <c r="E249" t="inlineStr">
        <is>
          <t>52.999690579840014</t>
        </is>
      </c>
      <c r="F249" t="inlineStr">
        <is>
          <t>8.5129118432769282</t>
        </is>
      </c>
      <c r="G249" t="inlineStr">
        <is>
          <t>0.23152270703472019</t>
        </is>
      </c>
    </row>
    <row r="250">
      <c r="A250" t="inlineStr">
        <is>
          <t>2022-05-11</t>
        </is>
      </c>
      <c r="B250" t="n">
        <v>654</v>
      </c>
      <c r="C250" t="n">
        <v>644</v>
      </c>
      <c r="D250" t="n">
        <v>630</v>
      </c>
      <c r="E250" t="inlineStr">
        <is>
          <t>31.470581914085731</t>
        </is>
      </c>
      <c r="F250" t="inlineStr">
        <is>
          <t>11.499647969960105</t>
        </is>
      </c>
      <c r="G250" t="inlineStr">
        <is>
          <t>0.39896737854964021</t>
        </is>
      </c>
    </row>
    <row r="251">
      <c r="A251" t="inlineStr">
        <is>
          <t>2022-05-12</t>
        </is>
      </c>
      <c r="B251" t="n">
        <v>585</v>
      </c>
      <c r="C251" t="n">
        <v>484</v>
      </c>
      <c r="D251" t="n">
        <v>389</v>
      </c>
      <c r="E251" t="inlineStr">
        <is>
          <t>21.491564717491983</t>
        </is>
      </c>
      <c r="F251" t="inlineStr">
        <is>
          <t>4.8192771084337354</t>
        </is>
      </c>
      <c r="G251" t="inlineStr">
        <is>
          <t>0.2409638554216828</t>
        </is>
      </c>
    </row>
    <row r="252">
      <c r="A252" t="inlineStr">
        <is>
          <t>2022-05-16</t>
        </is>
      </c>
      <c r="B252" t="n">
        <v>660</v>
      </c>
      <c r="C252" t="n">
        <v>567</v>
      </c>
      <c r="D252" t="n">
        <v>593</v>
      </c>
      <c r="E252" t="inlineStr">
        <is>
          <t>34.265628161036268</t>
        </is>
      </c>
      <c r="F252" t="inlineStr">
        <is>
          <t>7.0909619296716002</t>
        </is>
      </c>
      <c r="G252" t="inlineStr">
        <is>
          <t>0.34873583260679702</t>
        </is>
      </c>
    </row>
    <row r="253">
      <c r="A253" t="inlineStr">
        <is>
          <t>2022-05-17</t>
        </is>
      </c>
      <c r="B253" t="n">
        <v>628</v>
      </c>
      <c r="C253" t="n">
        <v>549</v>
      </c>
      <c r="D253" t="n">
        <v>364</v>
      </c>
      <c r="E253" t="inlineStr">
        <is>
          <t>26.657372694560458</t>
        </is>
      </c>
      <c r="F253" t="inlineStr">
        <is>
          <t>6.5652951699463404</t>
        </is>
      </c>
      <c r="G253" t="inlineStr">
        <is>
          <t>0.23255813953488069</t>
        </is>
      </c>
    </row>
    <row r="254">
      <c r="A254" t="inlineStr">
        <is>
          <t>2022-05-18</t>
        </is>
      </c>
      <c r="B254" t="n">
        <v>646</v>
      </c>
      <c r="C254" t="n">
        <v>621</v>
      </c>
      <c r="D254" t="n">
        <v>632</v>
      </c>
      <c r="E254" t="inlineStr">
        <is>
          <t>28.886755943710916</t>
        </is>
      </c>
      <c r="F254" t="inlineStr">
        <is>
          <t>9.4800483675937084</t>
        </is>
      </c>
      <c r="G254" t="inlineStr">
        <is>
          <t>0.41112454655380609</t>
        </is>
      </c>
    </row>
    <row r="255">
      <c r="A255" t="inlineStr">
        <is>
          <t>2022-05-19</t>
        </is>
      </c>
      <c r="B255" t="n">
        <v>625</v>
      </c>
      <c r="C255" t="n">
        <v>666</v>
      </c>
      <c r="D255" t="n">
        <v>701</v>
      </c>
      <c r="E255" t="inlineStr">
        <is>
          <t>26.170225420804872</t>
        </is>
      </c>
      <c r="F255" t="inlineStr">
        <is>
          <t>15.153393244499544</t>
        </is>
      </c>
      <c r="G255" t="inlineStr">
        <is>
          <t>0.65075921908894396</t>
        </is>
      </c>
    </row>
    <row r="256">
      <c r="A256" t="inlineStr">
        <is>
          <t>2022-05-23</t>
        </is>
      </c>
      <c r="B256" t="n">
        <v>454</v>
      </c>
      <c r="C256" t="n">
        <v>201</v>
      </c>
      <c r="D256" t="n">
        <v>61</v>
      </c>
      <c r="E256" t="inlineStr">
        <is>
          <t>12.845983100939938</t>
        </is>
      </c>
      <c r="F256" t="inlineStr">
        <is>
          <t>2.0368303571428448</t>
        </is>
      </c>
      <c r="G256" t="inlineStr">
        <is>
          <t>0.13950892857143651</t>
        </is>
      </c>
    </row>
    <row r="257">
      <c r="A257" t="inlineStr">
        <is>
          <t>2022-05-24</t>
        </is>
      </c>
      <c r="B257" t="n">
        <v>603</v>
      </c>
      <c r="C257" t="n">
        <v>531</v>
      </c>
      <c r="D257" t="n">
        <v>627</v>
      </c>
      <c r="E257" t="inlineStr">
        <is>
          <t>23.634316039554637</t>
        </is>
      </c>
      <c r="F257" t="inlineStr">
        <is>
          <t>5.8852785145888404</t>
        </is>
      </c>
      <c r="G257" t="inlineStr">
        <is>
          <t>0.39787798408487679</t>
        </is>
      </c>
    </row>
    <row r="258">
      <c r="A258" t="inlineStr">
        <is>
          <t>2022-05-25</t>
        </is>
      </c>
      <c r="B258" t="n">
        <v>684</v>
      </c>
      <c r="C258" t="n">
        <v>707</v>
      </c>
      <c r="D258" t="n">
        <v>480</v>
      </c>
      <c r="E258" t="inlineStr">
        <is>
          <t>39.751982198025139</t>
        </is>
      </c>
      <c r="F258" t="inlineStr">
        <is>
          <t>29.114213778896762</t>
        </is>
      </c>
      <c r="G258" t="inlineStr">
        <is>
          <t>0.2746623941405395</t>
        </is>
      </c>
    </row>
    <row r="259">
      <c r="A259" t="inlineStr">
        <is>
          <t>2022-05-26</t>
        </is>
      </c>
      <c r="B259" t="n">
        <v>516</v>
      </c>
      <c r="C259" t="n">
        <v>459</v>
      </c>
      <c r="D259" t="n">
        <v>548</v>
      </c>
      <c r="E259" t="inlineStr">
        <is>
          <t>15.56533869369283</t>
        </is>
      </c>
      <c r="F259" t="inlineStr">
        <is>
          <t>4.4391597304795942</t>
        </is>
      </c>
      <c r="G259" t="inlineStr">
        <is>
          <t>0.3170828378913923</t>
        </is>
      </c>
    </row>
    <row r="260">
      <c r="A260" t="inlineStr">
        <is>
          <t>2022-05-27</t>
        </is>
      </c>
      <c r="B260" t="n">
        <v>491</v>
      </c>
      <c r="C260" t="n">
        <v>281</v>
      </c>
      <c r="D260" t="n">
        <v>363</v>
      </c>
      <c r="E260" t="inlineStr">
        <is>
          <t>14.301409885772417</t>
        </is>
      </c>
      <c r="F260" t="inlineStr">
        <is>
          <t>2.5300875273522974</t>
        </is>
      </c>
      <c r="G260" t="inlineStr">
        <is>
          <t>0.2324945295404876</t>
        </is>
      </c>
    </row>
    <row r="261">
      <c r="A261" t="inlineStr">
        <is>
          <t>2022-05-31</t>
        </is>
      </c>
      <c r="B261" t="n">
        <v>510</v>
      </c>
      <c r="C261" t="n">
        <v>643</v>
      </c>
      <c r="D261" t="n">
        <v>603</v>
      </c>
      <c r="E261" t="inlineStr">
        <is>
          <t>15.265195053595868</t>
        </is>
      </c>
      <c r="F261" t="inlineStr">
        <is>
          <t>11.040127770013966</t>
        </is>
      </c>
      <c r="G261" t="inlineStr">
        <is>
          <t>0.35935316430424891</t>
        </is>
      </c>
    </row>
    <row r="262">
      <c r="A262" t="inlineStr">
        <is>
          <t>2022-06-01</t>
        </is>
      </c>
      <c r="B262" t="n">
        <v>526</v>
      </c>
      <c r="C262" t="n">
        <v>552</v>
      </c>
      <c r="D262" t="n">
        <v>376</v>
      </c>
      <c r="E262" t="inlineStr">
        <is>
          <t>16.401336182250443</t>
        </is>
      </c>
      <c r="F262" t="inlineStr">
        <is>
          <t>6.6113744075829466</t>
        </is>
      </c>
      <c r="G262" t="inlineStr">
        <is>
          <t>0.23696682464454971</t>
        </is>
      </c>
    </row>
    <row r="263">
      <c r="A263" t="inlineStr">
        <is>
          <t>2022-06-02</t>
        </is>
      </c>
      <c r="B263" t="n">
        <v>402</v>
      </c>
      <c r="C263" t="n">
        <v>670</v>
      </c>
      <c r="D263" t="n">
        <v>677</v>
      </c>
      <c r="E263" t="inlineStr">
        <is>
          <t>11.312182795142174</t>
        </is>
      </c>
      <c r="F263" t="inlineStr">
        <is>
          <t>15.477680433875689</t>
        </is>
      </c>
      <c r="G263" t="inlineStr">
        <is>
          <t>0.50062578222777998</t>
        </is>
      </c>
    </row>
    <row r="264">
      <c r="A264" t="inlineStr">
        <is>
          <t>2022-06-03</t>
        </is>
      </c>
      <c r="B264" t="n">
        <v>341</v>
      </c>
      <c r="C264" t="n">
        <v>38</v>
      </c>
      <c r="D264" t="n">
        <v>223</v>
      </c>
      <c r="E264" t="inlineStr">
        <is>
          <t>9.445262173064938</t>
        </is>
      </c>
      <c r="F264" t="inlineStr">
        <is>
          <t>1.1506597115679658</t>
        </is>
      </c>
      <c r="G264" t="inlineStr">
        <is>
          <t>0.1994476833384404</t>
        </is>
      </c>
    </row>
    <row r="265">
      <c r="A265" t="inlineStr">
        <is>
          <t>2022-06-06</t>
        </is>
      </c>
      <c r="B265" t="n">
        <v>602</v>
      </c>
      <c r="C265" t="n">
        <v>623</v>
      </c>
      <c r="D265" t="n">
        <v>641</v>
      </c>
      <c r="E265" t="inlineStr">
        <is>
          <t>23.6239002667104</t>
        </is>
      </c>
      <c r="F265" t="inlineStr">
        <is>
          <t>9.5145972564192594</t>
        </is>
      </c>
      <c r="G265" t="inlineStr">
        <is>
          <t>0.42208934224411437</t>
        </is>
      </c>
    </row>
    <row r="266">
      <c r="A266" t="inlineStr">
        <is>
          <t>2022-06-07</t>
        </is>
      </c>
      <c r="B266" t="n">
        <v>284</v>
      </c>
      <c r="C266" t="n">
        <v>419</v>
      </c>
      <c r="D266" t="n">
        <v>111</v>
      </c>
      <c r="E266" t="inlineStr">
        <is>
          <t>8.2746955550904175</t>
        </is>
      </c>
      <c r="F266" t="inlineStr">
        <is>
          <t>3.9170984455958497</t>
        </is>
      </c>
      <c r="G266" t="inlineStr">
        <is>
          <t>0.16580310880829249</t>
        </is>
      </c>
    </row>
    <row r="267">
      <c r="A267" t="inlineStr">
        <is>
          <t>2022-06-08</t>
        </is>
      </c>
      <c r="B267" t="n">
        <v>639</v>
      </c>
      <c r="C267" t="n">
        <v>629</v>
      </c>
      <c r="D267" t="n">
        <v>655</v>
      </c>
      <c r="E267" t="inlineStr">
        <is>
          <t>27.387350144689652</t>
        </is>
      </c>
      <c r="F267" t="inlineStr">
        <is>
          <t>9.8685841805108048</t>
        </is>
      </c>
      <c r="G267" t="inlineStr">
        <is>
          <t>0.44631787751053392</t>
        </is>
      </c>
    </row>
    <row r="268">
      <c r="A268" t="inlineStr">
        <is>
          <t>2022-06-09</t>
        </is>
      </c>
      <c r="B268" t="n">
        <v>445</v>
      </c>
      <c r="C268" t="n">
        <v>372</v>
      </c>
      <c r="D268" t="n">
        <v>182</v>
      </c>
      <c r="E268" t="inlineStr">
        <is>
          <t>12.663713849245584</t>
        </is>
      </c>
      <c r="F268" t="inlineStr">
        <is>
          <t>3.4236804564907222</t>
        </is>
      </c>
      <c r="G268" t="inlineStr">
        <is>
          <t>0.1902044698050363</t>
        </is>
      </c>
    </row>
    <row r="269">
      <c r="A269" t="inlineStr">
        <is>
          <t>2022-06-13</t>
        </is>
      </c>
      <c r="B269" t="n">
        <v>358</v>
      </c>
      <c r="C269" t="n">
        <v>154</v>
      </c>
      <c r="D269" t="n">
        <v>229</v>
      </c>
      <c r="E269" t="inlineStr">
        <is>
          <t>9.8747515537757238</t>
        </is>
      </c>
      <c r="F269" t="inlineStr">
        <is>
          <t>1.8012422360248483</t>
        </is>
      </c>
      <c r="G269" t="inlineStr">
        <is>
          <t>0.20186335403726</t>
        </is>
      </c>
    </row>
    <row r="270">
      <c r="A270" t="inlineStr">
        <is>
          <t>2022-06-15</t>
        </is>
      </c>
      <c r="B270" t="n">
        <v>627</v>
      </c>
      <c r="C270" t="n">
        <v>615</v>
      </c>
      <c r="D270" t="n">
        <v>676</v>
      </c>
      <c r="E270" t="inlineStr">
        <is>
          <t>26.44261255548556</t>
        </is>
      </c>
      <c r="F270" t="inlineStr">
        <is>
          <t>9.1882630113514647</t>
        </is>
      </c>
      <c r="G270" t="inlineStr">
        <is>
          <t>0.4926108374384261</t>
        </is>
      </c>
    </row>
    <row r="271">
      <c r="A271" t="inlineStr">
        <is>
          <t>2022-06-16</t>
        </is>
      </c>
    </row>
    <row r="272">
      <c r="A272" t="inlineStr">
        <is>
          <t>2022-06-17</t>
        </is>
      </c>
      <c r="B272" t="n">
        <v>708</v>
      </c>
      <c r="C272" t="n">
        <v>456</v>
      </c>
      <c r="D272" t="n">
        <v>651</v>
      </c>
      <c r="E272" t="inlineStr">
        <is>
          <t>59.276298327878031</t>
        </is>
      </c>
      <c r="F272" t="inlineStr">
        <is>
          <t>4.3999534396461364</t>
        </is>
      </c>
      <c r="G272" t="inlineStr">
        <is>
          <t>0.44232336165754987</t>
        </is>
      </c>
    </row>
    <row r="273">
      <c r="A273" t="inlineStr">
        <is>
          <t>2022-06-20</t>
        </is>
      </c>
      <c r="B273" t="n">
        <v>583</v>
      </c>
      <c r="C273" t="n">
        <v>177</v>
      </c>
      <c r="D273" t="n">
        <v>64</v>
      </c>
      <c r="E273" t="inlineStr">
        <is>
          <t>21.084927214569667</t>
        </is>
      </c>
      <c r="F273" t="inlineStr">
        <is>
          <t>1.8957345971563719</t>
        </is>
      </c>
      <c r="G273" t="inlineStr">
        <is>
          <t>0.1436162573603332</t>
        </is>
      </c>
    </row>
    <row r="274">
      <c r="A274" t="inlineStr">
        <is>
          <t>2022-06-21</t>
        </is>
      </c>
      <c r="B274" t="n">
        <v>495</v>
      </c>
      <c r="C274" t="n">
        <v>385</v>
      </c>
      <c r="D274" t="n">
        <v>163</v>
      </c>
      <c r="E274" t="inlineStr">
        <is>
          <t>14.427307075202677</t>
        </is>
      </c>
      <c r="F274" t="inlineStr">
        <is>
          <t>3.5670607419486342</t>
        </is>
      </c>
      <c r="G274" t="inlineStr">
        <is>
          <t>0.18344883815735369</t>
        </is>
      </c>
    </row>
    <row r="275">
      <c r="A275" t="inlineStr">
        <is>
          <t>2022-06-22</t>
        </is>
      </c>
      <c r="B275" t="n">
        <v>671</v>
      </c>
      <c r="C275" t="n">
        <v>599</v>
      </c>
      <c r="D275" t="n">
        <v>653</v>
      </c>
      <c r="E275" t="inlineStr">
        <is>
          <t>36.591925940002952</t>
        </is>
      </c>
      <c r="F275" t="inlineStr">
        <is>
          <t>8.3746412731541948</t>
        </is>
      </c>
      <c r="G275" t="inlineStr">
        <is>
          <t>0.4435168275502262</t>
        </is>
      </c>
    </row>
    <row r="276">
      <c r="A276" t="inlineStr">
        <is>
          <t>2022-06-23</t>
        </is>
      </c>
      <c r="B276" t="n">
        <v>363</v>
      </c>
      <c r="C276" t="n">
        <v>334</v>
      </c>
      <c r="D276" t="n">
        <v>404</v>
      </c>
      <c r="E276" t="inlineStr">
        <is>
          <t>9.9518292564320863</t>
        </is>
      </c>
      <c r="F276" t="inlineStr">
        <is>
          <t>2.9532403609515958</t>
        </is>
      </c>
      <c r="G276" t="inlineStr">
        <is>
          <t>0.24610336341261929</t>
        </is>
      </c>
    </row>
    <row r="277">
      <c r="A277" t="inlineStr">
        <is>
          <t>2022-06-24</t>
        </is>
      </c>
      <c r="B277" t="n">
        <v>686</v>
      </c>
      <c r="C277" t="n">
        <v>681</v>
      </c>
      <c r="D277" t="n">
        <v>678</v>
      </c>
      <c r="E277" t="inlineStr">
        <is>
          <t>41.570909276106647</t>
        </is>
      </c>
      <c r="F277" t="inlineStr">
        <is>
          <t>17.21170395869191</t>
        </is>
      </c>
      <c r="G277" t="inlineStr">
        <is>
          <t>0.50200803212851408</t>
        </is>
      </c>
    </row>
    <row r="278">
      <c r="A278" t="inlineStr">
        <is>
          <t>2022-06-27</t>
        </is>
      </c>
      <c r="B278" t="n">
        <v>637</v>
      </c>
      <c r="C278" t="n">
        <v>509</v>
      </c>
      <c r="D278" t="n">
        <v>293</v>
      </c>
      <c r="E278" t="inlineStr">
        <is>
          <t>27.229257758764515</t>
        </is>
      </c>
      <c r="F278" t="inlineStr">
        <is>
          <t>5.2904378909740881</t>
        </is>
      </c>
      <c r="G278" t="inlineStr">
        <is>
          <t>0.2144772117962446</t>
        </is>
      </c>
    </row>
    <row r="279">
      <c r="A279" t="inlineStr">
        <is>
          <t>2022-06-28</t>
        </is>
      </c>
      <c r="B279" t="n">
        <v>539</v>
      </c>
      <c r="C279" t="n">
        <v>483</v>
      </c>
      <c r="D279" t="n">
        <v>265</v>
      </c>
      <c r="E279" t="inlineStr">
        <is>
          <t>17.323873948194059</t>
        </is>
      </c>
      <c r="F279" t="inlineStr">
        <is>
          <t>4.7988264878457736</t>
        </is>
      </c>
      <c r="G279" t="inlineStr">
        <is>
          <t>0.209555741827326</t>
        </is>
      </c>
    </row>
    <row r="280">
      <c r="A280" t="inlineStr">
        <is>
          <t>2022-06-30</t>
        </is>
      </c>
      <c r="B280" t="n">
        <v>698</v>
      </c>
      <c r="C280" t="n">
        <v>690</v>
      </c>
      <c r="D280" t="n">
        <v>679</v>
      </c>
      <c r="E280" t="inlineStr">
        <is>
          <t>49.185610129013739</t>
        </is>
      </c>
      <c r="F280" t="inlineStr">
        <is>
          <t>20.782483847810472</t>
        </is>
      </c>
      <c r="G280" t="inlineStr">
        <is>
          <t>0.50251256281407231</t>
        </is>
      </c>
    </row>
    <row r="281">
      <c r="A281" t="inlineStr">
        <is>
          <t>2022-07-01</t>
        </is>
      </c>
      <c r="B281" t="n">
        <v>569</v>
      </c>
      <c r="C281" t="n">
        <v>346</v>
      </c>
      <c r="D281" t="n">
        <v>369</v>
      </c>
      <c r="E281" t="inlineStr">
        <is>
          <t>20.28436442857188</t>
        </is>
      </c>
      <c r="F281" t="inlineStr">
        <is>
          <t>3.1288766368021963</t>
        </is>
      </c>
      <c r="G281" t="inlineStr">
        <is>
          <t>0.23432115782219781</t>
        </is>
      </c>
    </row>
    <row r="282">
      <c r="A282" t="inlineStr">
        <is>
          <t>2022-07-04</t>
        </is>
      </c>
      <c r="B282" t="n">
        <v>699</v>
      </c>
      <c r="C282" t="n">
        <v>657</v>
      </c>
      <c r="D282" t="n">
        <v>260</v>
      </c>
      <c r="E282" t="inlineStr">
        <is>
          <t>51.368832016630243</t>
        </is>
      </c>
      <c r="F282" t="inlineStr">
        <is>
          <t>13.782329456691542</t>
        </is>
      </c>
      <c r="G282" t="inlineStr">
        <is>
          <t>0.2082971706300969</t>
        </is>
      </c>
    </row>
    <row r="283">
      <c r="A283" t="inlineStr">
        <is>
          <t>2022-07-05</t>
        </is>
      </c>
      <c r="B283" t="n">
        <v>112</v>
      </c>
      <c r="C283" t="n">
        <v>36</v>
      </c>
      <c r="D283" t="n">
        <v>252</v>
      </c>
      <c r="E283" t="inlineStr">
        <is>
          <t>5.3459287607811223</t>
        </is>
      </c>
      <c r="F283" t="inlineStr">
        <is>
          <t>1.1475786091347255</t>
        </is>
      </c>
      <c r="G283" t="inlineStr">
        <is>
          <t>0.20656414964424541</t>
        </is>
      </c>
    </row>
    <row r="284">
      <c r="A284" t="inlineStr">
        <is>
          <t>2022-07-06</t>
        </is>
      </c>
      <c r="B284" t="n">
        <v>268</v>
      </c>
      <c r="C284" t="n">
        <v>205</v>
      </c>
      <c r="D284" t="n">
        <v>213</v>
      </c>
      <c r="E284" t="inlineStr">
        <is>
          <t>7.8570955252425616</t>
        </is>
      </c>
      <c r="F284" t="inlineStr">
        <is>
          <t>2.0488352511928025</t>
        </is>
      </c>
      <c r="G284" t="inlineStr">
        <is>
          <t>0.19646365422396539</t>
        </is>
      </c>
    </row>
    <row r="285">
      <c r="A285" t="inlineStr">
        <is>
          <t>2022-07-07</t>
        </is>
      </c>
      <c r="B285" t="n">
        <v>656</v>
      </c>
      <c r="C285" t="n">
        <v>672</v>
      </c>
      <c r="D285" t="n">
        <v>683</v>
      </c>
      <c r="E285" t="inlineStr">
        <is>
          <t>31.695426182531147</t>
        </is>
      </c>
      <c r="F285" t="inlineStr">
        <is>
          <t>15.726495726495733</t>
        </is>
      </c>
      <c r="G285" t="inlineStr">
        <is>
          <t>0.512820512820514</t>
        </is>
      </c>
    </row>
    <row r="286">
      <c r="A286" t="inlineStr">
        <is>
          <t>2022-07-12</t>
        </is>
      </c>
      <c r="B286" t="n">
        <v>146</v>
      </c>
      <c r="C286" t="n">
        <v>57</v>
      </c>
      <c r="D286" t="n">
        <v>30</v>
      </c>
      <c r="E286" t="inlineStr">
        <is>
          <t>5.7784612516899454</t>
        </is>
      </c>
      <c r="F286" t="inlineStr">
        <is>
          <t>1.231586573291481</t>
        </is>
      </c>
      <c r="G286" t="inlineStr">
        <is>
          <t>0.12074378169524259</t>
        </is>
      </c>
    </row>
    <row r="287">
      <c r="A287" t="inlineStr">
        <is>
          <t>2022-07-13</t>
        </is>
      </c>
      <c r="B287" t="n">
        <v>87</v>
      </c>
      <c r="C287" t="n">
        <v>51</v>
      </c>
      <c r="D287" t="n">
        <v>70</v>
      </c>
      <c r="E287" t="inlineStr">
        <is>
          <t>4.839520267042924</t>
        </is>
      </c>
      <c r="F287" t="inlineStr">
        <is>
          <t>1.2023460410557083</t>
        </is>
      </c>
      <c r="G287" t="inlineStr">
        <is>
          <t>0.1466275659824047</t>
        </is>
      </c>
    </row>
    <row r="288">
      <c r="A288" t="inlineStr">
        <is>
          <t>2022-07-14</t>
        </is>
      </c>
      <c r="B288" t="n">
        <v>361</v>
      </c>
      <c r="C288" t="n">
        <v>538</v>
      </c>
      <c r="D288" t="n">
        <v>133</v>
      </c>
      <c r="E288" t="inlineStr">
        <is>
          <t>9.9393946971139098</t>
        </is>
      </c>
      <c r="F288" t="inlineStr">
        <is>
          <t>6.1171366594360181</t>
        </is>
      </c>
      <c r="G288" t="inlineStr">
        <is>
          <t>0.1735357917570523</t>
        </is>
      </c>
    </row>
    <row r="289">
      <c r="A289" t="inlineStr">
        <is>
          <t>2022-07-20</t>
        </is>
      </c>
      <c r="B289" t="n">
        <v>290</v>
      </c>
      <c r="C289" t="n">
        <v>356</v>
      </c>
      <c r="D289" t="n">
        <v>281</v>
      </c>
      <c r="E289" t="inlineStr">
        <is>
          <t>8.3302788977374966</t>
        </is>
      </c>
      <c r="F289" t="inlineStr">
        <is>
          <t>3.2189600282985369</t>
        </is>
      </c>
      <c r="G289" t="inlineStr">
        <is>
          <t>0.21223912274495721</t>
        </is>
      </c>
    </row>
    <row r="290">
      <c r="A290" t="inlineStr">
        <is>
          <t>2022-07-21</t>
        </is>
      </c>
      <c r="B290" t="n">
        <v>114</v>
      </c>
      <c r="C290" t="n">
        <v>526</v>
      </c>
      <c r="D290" t="n">
        <v>508</v>
      </c>
      <c r="E290" t="inlineStr">
        <is>
          <t>5.3655712211364373</t>
        </is>
      </c>
      <c r="F290" t="inlineStr">
        <is>
          <t>5.764840182648383</t>
        </is>
      </c>
      <c r="G290" t="inlineStr">
        <is>
          <t>0.2853881278538894</t>
        </is>
      </c>
    </row>
    <row r="291">
      <c r="A291" t="inlineStr">
        <is>
          <t>2022-07-22</t>
        </is>
      </c>
      <c r="B291" t="n">
        <v>213</v>
      </c>
      <c r="C291" t="n">
        <v>93</v>
      </c>
      <c r="D291" t="n">
        <v>201</v>
      </c>
      <c r="E291" t="inlineStr">
        <is>
          <t>6.81429982318756</t>
        </is>
      </c>
      <c r="F291" t="inlineStr">
        <is>
          <t>1.4788869429850209</t>
        </is>
      </c>
      <c r="G291" t="inlineStr">
        <is>
          <t>0.19459038723487049</t>
        </is>
      </c>
    </row>
    <row r="292">
      <c r="A292" t="inlineStr">
        <is>
          <t>2022-07-25</t>
        </is>
      </c>
      <c r="B292" t="n">
        <v>345</v>
      </c>
      <c r="C292" t="n">
        <v>88</v>
      </c>
      <c r="D292" t="n">
        <v>74</v>
      </c>
      <c r="E292" t="inlineStr">
        <is>
          <t>9.562321455869192</t>
        </is>
      </c>
      <c r="F292" t="inlineStr">
        <is>
          <t>1.4553891584053948</t>
        </is>
      </c>
      <c r="G292" t="inlineStr">
        <is>
          <t>0.1476481754904124</t>
        </is>
      </c>
    </row>
    <row r="293">
      <c r="A293" t="inlineStr">
        <is>
          <t>2022-07-26</t>
        </is>
      </c>
      <c r="B293" t="n">
        <v>182</v>
      </c>
      <c r="C293" t="n">
        <v>360</v>
      </c>
      <c r="D293" t="n">
        <v>83</v>
      </c>
      <c r="E293" t="inlineStr">
        <is>
          <t>6.3321292236787636</t>
        </is>
      </c>
      <c r="F293" t="inlineStr">
        <is>
          <t>3.2299084435401806</t>
        </is>
      </c>
      <c r="G293" t="inlineStr">
        <is>
          <t>0.15259409969480309</t>
        </is>
      </c>
    </row>
    <row r="294">
      <c r="A294" t="inlineStr">
        <is>
          <t>2022-07-27</t>
        </is>
      </c>
      <c r="B294" t="n">
        <v>448</v>
      </c>
      <c r="C294" t="n">
        <v>297</v>
      </c>
      <c r="D294" t="n">
        <v>412</v>
      </c>
      <c r="E294" t="inlineStr">
        <is>
          <t>12.73263586783524</t>
        </is>
      </c>
      <c r="F294" t="inlineStr">
        <is>
          <t>2.6372944461681667</t>
        </is>
      </c>
      <c r="G294" t="inlineStr">
        <is>
          <t>0.24821594787465451</t>
        </is>
      </c>
    </row>
    <row r="295">
      <c r="A295" t="inlineStr">
        <is>
          <t>2022-07-28</t>
        </is>
      </c>
      <c r="B295" t="n">
        <v>59</v>
      </c>
      <c r="C295" t="n">
        <v>480</v>
      </c>
      <c r="D295" t="n">
        <v>81</v>
      </c>
      <c r="E295" t="inlineStr">
        <is>
          <t>4.1708499298403465</t>
        </is>
      </c>
      <c r="F295" t="inlineStr">
        <is>
          <t>4.7691527143581824</t>
        </is>
      </c>
      <c r="G295" t="inlineStr">
        <is>
          <t>0.15220700152206129</t>
        </is>
      </c>
    </row>
    <row r="296">
      <c r="A296" t="inlineStr">
        <is>
          <t>2022-08-02</t>
        </is>
      </c>
      <c r="B296" t="n">
        <v>339</v>
      </c>
      <c r="C296" t="n">
        <v>271</v>
      </c>
      <c r="D296" t="n">
        <v>193</v>
      </c>
      <c r="E296" t="inlineStr">
        <is>
          <t>9.4369935938441127</t>
        </is>
      </c>
      <c r="F296" t="inlineStr">
        <is>
          <t>2.4513338139870195</t>
        </is>
      </c>
      <c r="G296" t="inlineStr">
        <is>
          <t>0.19226147560682799</t>
        </is>
      </c>
    </row>
    <row r="297">
      <c r="A297" t="inlineStr">
        <is>
          <t>2022-08-03</t>
        </is>
      </c>
      <c r="B297" t="n">
        <v>558</v>
      </c>
      <c r="C297" t="n">
        <v>445</v>
      </c>
      <c r="D297" t="n">
        <v>335</v>
      </c>
      <c r="E297" t="inlineStr">
        <is>
          <t>19.202312338420484</t>
        </is>
      </c>
      <c r="F297" t="inlineStr">
        <is>
          <t>4.251126126126116</t>
        </is>
      </c>
      <c r="G297" t="inlineStr">
        <is>
          <t>0.22522522522522839</t>
        </is>
      </c>
    </row>
    <row r="298">
      <c r="A298" t="inlineStr">
        <is>
          <t>2022-08-04</t>
        </is>
      </c>
      <c r="B298" t="n">
        <v>17</v>
      </c>
      <c r="C298" t="n">
        <v>324</v>
      </c>
      <c r="D298" t="n">
        <v>381</v>
      </c>
      <c r="E298" t="inlineStr">
        <is>
          <t>2.9473961329005625</t>
        </is>
      </c>
      <c r="F298" t="inlineStr">
        <is>
          <t>2.8666985188724321</t>
        </is>
      </c>
      <c r="G298" t="inlineStr">
        <is>
          <t>0.23889154323936929</t>
        </is>
      </c>
    </row>
    <row r="299">
      <c r="A299" t="inlineStr">
        <is>
          <t>2022-08-10</t>
        </is>
      </c>
      <c r="B299" t="n">
        <v>551</v>
      </c>
      <c r="C299" t="n">
        <v>265</v>
      </c>
      <c r="D299" t="n">
        <v>232</v>
      </c>
      <c r="E299" t="inlineStr">
        <is>
          <t>18.33122990560398</t>
        </is>
      </c>
      <c r="F299" t="inlineStr">
        <is>
          <t>2.3995958575397687</t>
        </is>
      </c>
      <c r="G299" t="inlineStr">
        <is>
          <t>0.20207123010861611</t>
        </is>
      </c>
    </row>
    <row r="300">
      <c r="A300" t="inlineStr">
        <is>
          <t>2022-08-11</t>
        </is>
      </c>
    </row>
    <row r="301">
      <c r="A301" t="inlineStr">
        <is>
          <t>2022-08-16</t>
        </is>
      </c>
      <c r="B301" t="n">
        <v>224</v>
      </c>
      <c r="C301" t="n">
        <v>234</v>
      </c>
      <c r="D301" t="n">
        <v>108</v>
      </c>
      <c r="E301" t="inlineStr">
        <is>
          <t>7.0041406003854183</t>
        </is>
      </c>
      <c r="F301" t="inlineStr">
        <is>
          <t>2.2671401256487171</t>
        </is>
      </c>
      <c r="G301" t="inlineStr">
        <is>
          <t>0.163889647637256</t>
        </is>
      </c>
    </row>
    <row r="302">
      <c r="A302" t="inlineStr">
        <is>
          <t>2022-08-18</t>
        </is>
      </c>
      <c r="B302" t="n">
        <v>500</v>
      </c>
      <c r="C302" t="n">
        <v>712</v>
      </c>
      <c r="D302" t="n">
        <v>488</v>
      </c>
      <c r="E302" t="inlineStr">
        <is>
          <t>14.5526661266441</t>
        </is>
      </c>
      <c r="F302" t="inlineStr">
        <is>
          <t>31.637168141592912</t>
        </is>
      </c>
      <c r="G302" t="inlineStr">
        <is>
          <t>0.27654867256637161</t>
        </is>
      </c>
    </row>
    <row r="303">
      <c r="A303" t="inlineStr">
        <is>
          <t>2022-08-19</t>
        </is>
      </c>
      <c r="B303" t="n">
        <v>347</v>
      </c>
      <c r="C303" t="n">
        <v>104</v>
      </c>
      <c r="D303" t="n">
        <v>103</v>
      </c>
      <c r="E303" t="inlineStr">
        <is>
          <t>9.6021909694852727</t>
        </is>
      </c>
      <c r="F303" t="inlineStr">
        <is>
          <t>1.5462868769074309</t>
        </is>
      </c>
      <c r="G303" t="inlineStr">
        <is>
          <t>0.16276703967446821</t>
        </is>
      </c>
    </row>
    <row r="304">
      <c r="A304" t="inlineStr">
        <is>
          <t>2022-08-23</t>
        </is>
      </c>
      <c r="B304" t="n">
        <v>499</v>
      </c>
      <c r="C304" t="n">
        <v>596</v>
      </c>
      <c r="D304" t="n">
        <v>180</v>
      </c>
      <c r="E304" t="inlineStr">
        <is>
          <t>14.552204601705848</t>
        </is>
      </c>
      <c r="F304" t="inlineStr">
        <is>
          <t>8.2461977186311888</t>
        </is>
      </c>
      <c r="G304" t="inlineStr">
        <is>
          <t>0.1901140684410538</t>
        </is>
      </c>
    </row>
    <row r="305">
      <c r="A305" t="inlineStr">
        <is>
          <t>2022-08-24</t>
        </is>
      </c>
      <c r="B305" t="n">
        <v>439</v>
      </c>
      <c r="C305" t="n">
        <v>546</v>
      </c>
      <c r="D305" t="n">
        <v>380</v>
      </c>
      <c r="E305" t="inlineStr">
        <is>
          <t>12.361958134168452</t>
        </is>
      </c>
      <c r="F305" t="inlineStr">
        <is>
          <t>6.4776119402985044</t>
        </is>
      </c>
      <c r="G305" t="inlineStr">
        <is>
          <t>0.23880597014925711</t>
        </is>
      </c>
    </row>
    <row r="306">
      <c r="A306" t="inlineStr">
        <is>
          <t>2022-08-25</t>
        </is>
      </c>
      <c r="B306" t="n">
        <v>194</v>
      </c>
      <c r="C306" t="n">
        <v>464</v>
      </c>
      <c r="D306" t="n">
        <v>612</v>
      </c>
      <c r="E306" t="inlineStr">
        <is>
          <t>6.4241525495670313</t>
        </is>
      </c>
      <c r="F306" t="inlineStr">
        <is>
          <t>4.5309168443496803</t>
        </is>
      </c>
      <c r="G306" t="inlineStr">
        <is>
          <t>0.37313432835821048</t>
        </is>
      </c>
    </row>
    <row r="307">
      <c r="A307" t="inlineStr">
        <is>
          <t>2022-08-29</t>
        </is>
      </c>
      <c r="B307" t="n">
        <v>580</v>
      </c>
      <c r="C307" t="n">
        <v>508</v>
      </c>
      <c r="D307" t="n">
        <v>127</v>
      </c>
      <c r="E307" t="inlineStr">
        <is>
          <t>20.98050440387307</t>
        </is>
      </c>
      <c r="F307" t="inlineStr">
        <is>
          <t>5.2902782548952167</t>
        </is>
      </c>
      <c r="G307" t="inlineStr">
        <is>
          <t>0.17176228100309171</t>
        </is>
      </c>
    </row>
    <row r="308">
      <c r="A308" t="inlineStr">
        <is>
          <t>2022-09-01</t>
        </is>
      </c>
      <c r="B308" t="n">
        <v>693</v>
      </c>
      <c r="C308" t="n">
        <v>716</v>
      </c>
      <c r="D308" t="n">
        <v>664</v>
      </c>
      <c r="E308" t="inlineStr">
        <is>
          <t>43.928950687404921</t>
        </is>
      </c>
      <c r="F308" t="inlineStr">
        <is>
          <t>39.525691699604721</t>
        </is>
      </c>
      <c r="G308" t="inlineStr">
        <is>
          <t>0.46113306982872382</t>
        </is>
      </c>
    </row>
    <row r="309">
      <c r="A309" t="inlineStr">
        <is>
          <t>2022-09-06</t>
        </is>
      </c>
      <c r="B309" t="n">
        <v>327</v>
      </c>
      <c r="C309" t="n">
        <v>405</v>
      </c>
      <c r="D309" t="n">
        <v>9</v>
      </c>
      <c r="E309" t="inlineStr">
        <is>
          <t>9.1587736824751804</t>
        </is>
      </c>
      <c r="F309" t="inlineStr">
        <is>
          <t>3.7458193979933134</t>
        </is>
      </c>
      <c r="G309" t="inlineStr">
        <is>
          <t>0.089186176142692794</t>
        </is>
      </c>
    </row>
    <row r="310">
      <c r="A310" t="inlineStr">
        <is>
          <t>2022-09-07</t>
        </is>
      </c>
      <c r="B310" t="n">
        <v>462</v>
      </c>
      <c r="C310" t="n">
        <v>458</v>
      </c>
      <c r="D310" t="n">
        <v>36</v>
      </c>
      <c r="E310" t="inlineStr">
        <is>
          <t>13.06846391334742</t>
        </is>
      </c>
      <c r="F310" t="inlineStr">
        <is>
          <t>4.4073705179282978</t>
        </is>
      </c>
      <c r="G310" t="inlineStr">
        <is>
          <t>0.1245019920318725</t>
        </is>
      </c>
    </row>
    <row r="311">
      <c r="A311" t="inlineStr">
        <is>
          <t>2022-09-08</t>
        </is>
      </c>
      <c r="B311" t="n">
        <v>209</v>
      </c>
      <c r="C311" t="n">
        <v>187</v>
      </c>
      <c r="D311" t="n">
        <v>513</v>
      </c>
      <c r="E311" t="inlineStr">
        <is>
          <t>6.708155764503041</t>
        </is>
      </c>
      <c r="F311" t="inlineStr">
        <is>
          <t>1.965484180249278</t>
        </is>
      </c>
      <c r="G311" t="inlineStr">
        <is>
          <t>0.2876318312559964</t>
        </is>
      </c>
    </row>
    <row r="312">
      <c r="A312" t="inlineStr">
        <is>
          <t>2022-09-12</t>
        </is>
      </c>
      <c r="B312" t="n">
        <v>228</v>
      </c>
      <c r="C312" t="n">
        <v>263</v>
      </c>
      <c r="D312" t="n">
        <v>69</v>
      </c>
      <c r="E312" t="inlineStr">
        <is>
          <t>7.0380445407688139</t>
        </is>
      </c>
      <c r="F312" t="inlineStr">
        <is>
          <t>2.3908523908523911</t>
        </is>
      </c>
      <c r="G312" t="inlineStr">
        <is>
          <t>0.1455301455301431</t>
        </is>
      </c>
    </row>
    <row r="313">
      <c r="A313" t="inlineStr">
        <is>
          <t>2022-09-13</t>
        </is>
      </c>
      <c r="B313" t="n">
        <v>177</v>
      </c>
      <c r="C313" t="n">
        <v>410</v>
      </c>
      <c r="D313" t="n">
        <v>482</v>
      </c>
      <c r="E313" t="inlineStr">
        <is>
          <t>6.2676450848901348</t>
        </is>
      </c>
      <c r="F313" t="inlineStr">
        <is>
          <t>3.8250000000000028</t>
        </is>
      </c>
      <c r="G313" t="inlineStr">
        <is>
          <t>0.27499999999999858</t>
        </is>
      </c>
    </row>
    <row r="314">
      <c r="A314" t="inlineStr">
        <is>
          <t>2022-09-14</t>
        </is>
      </c>
      <c r="B314" t="n">
        <v>178</v>
      </c>
      <c r="C314" t="n">
        <v>108</v>
      </c>
      <c r="D314" t="n">
        <v>106</v>
      </c>
      <c r="E314" t="inlineStr">
        <is>
          <t>6.2893081761006284</t>
        </is>
      </c>
      <c r="F314" t="inlineStr">
        <is>
          <t>1.5778019586506948</t>
        </is>
      </c>
      <c r="G314" t="inlineStr">
        <is>
          <t>0.16322089227420181</t>
        </is>
      </c>
    </row>
    <row r="315">
      <c r="A315" t="inlineStr">
        <is>
          <t>2022-09-15</t>
        </is>
      </c>
    </row>
    <row r="316">
      <c r="A316" t="inlineStr">
        <is>
          <t>2022-09-19</t>
        </is>
      </c>
      <c r="B316" t="n">
        <v>604</v>
      </c>
      <c r="C316" t="n">
        <v>224</v>
      </c>
      <c r="D316" t="n">
        <v>41</v>
      </c>
      <c r="E316" t="inlineStr">
        <is>
          <t>23.635674186936072</t>
        </is>
      </c>
      <c r="F316" t="inlineStr">
        <is>
          <t>2.1866582158136518</t>
        </is>
      </c>
      <c r="G316" t="inlineStr">
        <is>
          <t>0.1267627951196342</t>
        </is>
      </c>
    </row>
    <row r="317">
      <c r="A317" t="inlineStr">
        <is>
          <t>2022-09-20</t>
        </is>
      </c>
      <c r="B317" t="n">
        <v>392</v>
      </c>
      <c r="C317" t="n">
        <v>452</v>
      </c>
      <c r="D317" t="n">
        <v>339</v>
      </c>
      <c r="E317" t="inlineStr">
        <is>
          <t>11.105456856002991</t>
        </is>
      </c>
      <c r="F317" t="inlineStr">
        <is>
          <t>4.2780748663101633</t>
        </is>
      </c>
      <c r="G317" t="inlineStr">
        <is>
          <t>0.2262443438914073</t>
        </is>
      </c>
    </row>
    <row r="318">
      <c r="A318" t="inlineStr">
        <is>
          <t>2022-09-21</t>
        </is>
      </c>
      <c r="B318" t="n">
        <v>692</v>
      </c>
      <c r="C318" t="n">
        <v>646</v>
      </c>
      <c r="D318" t="n">
        <v>505</v>
      </c>
      <c r="E318" t="inlineStr">
        <is>
          <t>43.820643955866373</t>
        </is>
      </c>
      <c r="F318" t="inlineStr">
        <is>
          <t>11.668126094570916</t>
        </is>
      </c>
      <c r="G318" t="inlineStr">
        <is>
          <t>0.2845884413310007</t>
        </is>
      </c>
    </row>
    <row r="319">
      <c r="A319" t="inlineStr">
        <is>
          <t>2022-09-22</t>
        </is>
      </c>
      <c r="B319" t="n">
        <v>517</v>
      </c>
      <c r="C319" t="n">
        <v>698</v>
      </c>
      <c r="D319" t="n">
        <v>595</v>
      </c>
      <c r="E319" t="inlineStr">
        <is>
          <t>15.568196641351337</t>
        </is>
      </c>
      <c r="F319" t="inlineStr">
        <is>
          <t>23.002350176263224</t>
        </is>
      </c>
      <c r="G319" t="inlineStr">
        <is>
          <t>0.35252643948296619</t>
        </is>
      </c>
    </row>
    <row r="320">
      <c r="A320" t="inlineStr">
        <is>
          <t>2022-09-26</t>
        </is>
      </c>
      <c r="B320" t="n">
        <v>349</v>
      </c>
      <c r="C320" t="n">
        <v>107</v>
      </c>
      <c r="D320" t="n">
        <v>71</v>
      </c>
      <c r="E320" t="inlineStr">
        <is>
          <t>9.6618921546036471</t>
        </is>
      </c>
      <c r="F320" t="inlineStr">
        <is>
          <t>1.5698356807511638</t>
        </is>
      </c>
      <c r="G320" t="inlineStr">
        <is>
          <t>0.1467136150234741</t>
        </is>
      </c>
    </row>
    <row r="321">
      <c r="A321" t="inlineStr">
        <is>
          <t>2022-09-27</t>
        </is>
      </c>
      <c r="B321" t="n">
        <v>25</v>
      </c>
      <c r="C321" t="n">
        <v>26</v>
      </c>
      <c r="D321" t="n">
        <v>259</v>
      </c>
      <c r="E321" t="inlineStr">
        <is>
          <t>3.2951740410909278</t>
        </is>
      </c>
      <c r="F321" t="inlineStr">
        <is>
          <t>1.0604052262829051</t>
        </is>
      </c>
      <c r="G321" t="inlineStr">
        <is>
          <t>0.20829388373414551</t>
        </is>
      </c>
    </row>
    <row r="322">
      <c r="A322" t="inlineStr">
        <is>
          <t>2022-09-28</t>
        </is>
      </c>
      <c r="B322" t="n">
        <v>664</v>
      </c>
      <c r="C322" t="n">
        <v>564</v>
      </c>
      <c r="D322" t="n">
        <v>497</v>
      </c>
      <c r="E322" t="inlineStr">
        <is>
          <t>35.097384134205285</t>
        </is>
      </c>
      <c r="F322" t="inlineStr">
        <is>
          <t>7.0245040840140076</t>
        </is>
      </c>
      <c r="G322" t="inlineStr">
        <is>
          <t>0.28004667444573828</t>
        </is>
      </c>
    </row>
    <row r="323">
      <c r="A323" t="inlineStr">
        <is>
          <t>2022-09-29</t>
        </is>
      </c>
      <c r="B323" t="n">
        <v>230</v>
      </c>
      <c r="C323" t="n">
        <v>550</v>
      </c>
      <c r="D323" t="n">
        <v>499</v>
      </c>
      <c r="E323" t="inlineStr">
        <is>
          <t>7.0580346902405013</t>
        </is>
      </c>
      <c r="F323" t="inlineStr">
        <is>
          <t>6.5949485500467837</t>
        </is>
      </c>
      <c r="G323" t="inlineStr">
        <is>
          <t>0.2806361085126326</t>
        </is>
      </c>
    </row>
    <row r="324">
      <c r="A324" t="inlineStr">
        <is>
          <t>2022-09-30</t>
        </is>
      </c>
      <c r="B324" t="n">
        <v>616</v>
      </c>
      <c r="C324" t="n">
        <v>582</v>
      </c>
      <c r="D324" t="n">
        <v>156</v>
      </c>
      <c r="E324" t="inlineStr">
        <is>
          <t>25.064969472533345</t>
        </is>
      </c>
      <c r="F324" t="inlineStr">
        <is>
          <t>7.5822603719599346</t>
        </is>
      </c>
      <c r="G324" t="inlineStr">
        <is>
          <t>0.18207829366627351</t>
        </is>
      </c>
    </row>
    <row r="325">
      <c r="A325" t="inlineStr">
        <is>
          <t>2022-10-03</t>
        </is>
      </c>
      <c r="B325" t="n">
        <v>689</v>
      </c>
      <c r="C325" t="n">
        <v>709</v>
      </c>
      <c r="D325" t="n">
        <v>457</v>
      </c>
      <c r="E325" t="inlineStr">
        <is>
          <t>42.41088438564217</t>
        </is>
      </c>
      <c r="F325" t="inlineStr">
        <is>
          <t>30.13407455853498</t>
        </is>
      </c>
      <c r="G325" t="inlineStr">
        <is>
          <t>0.2616088947024236</t>
        </is>
      </c>
    </row>
    <row r="326">
      <c r="A326" t="inlineStr">
        <is>
          <t>2022-10-06</t>
        </is>
      </c>
      <c r="B326" t="n">
        <v>386</v>
      </c>
      <c r="C326" t="n">
        <v>521</v>
      </c>
      <c r="D326" t="n">
        <v>310</v>
      </c>
      <c r="E326" t="inlineStr">
        <is>
          <t>10.810064860386651</t>
        </is>
      </c>
      <c r="F326" t="inlineStr">
        <is>
          <t>5.6140350877193033</t>
        </is>
      </c>
      <c r="G326" t="inlineStr">
        <is>
          <t>0.21929824561403499</t>
        </is>
      </c>
    </row>
    <row r="327">
      <c r="A327" t="inlineStr">
        <is>
          <t>2022-10-10</t>
        </is>
      </c>
      <c r="B327" t="n">
        <v>433</v>
      </c>
      <c r="C327" t="n">
        <v>166</v>
      </c>
      <c r="D327" t="n">
        <v>47</v>
      </c>
      <c r="E327" t="inlineStr">
        <is>
          <t>12.051223550196005</t>
        </is>
      </c>
      <c r="F327" t="inlineStr">
        <is>
          <t>1.850813236118918</t>
        </is>
      </c>
      <c r="G327" t="inlineStr">
        <is>
          <t>0.13086558235184989</t>
        </is>
      </c>
    </row>
    <row r="328">
      <c r="A328" t="inlineStr">
        <is>
          <t>2022-10-11</t>
        </is>
      </c>
      <c r="B328" t="n">
        <v>50</v>
      </c>
      <c r="C328" t="n">
        <v>76</v>
      </c>
      <c r="D328" t="n">
        <v>85</v>
      </c>
      <c r="E328" t="inlineStr">
        <is>
          <t>3.8848109732774398</t>
        </is>
      </c>
      <c r="F328" t="inlineStr">
        <is>
          <t>1.3910355486862469</t>
        </is>
      </c>
      <c r="G328" t="inlineStr">
        <is>
          <t>0.15455950540958019</t>
        </is>
      </c>
    </row>
    <row r="329">
      <c r="A329" t="inlineStr">
        <is>
          <t>2022-10-12</t>
        </is>
      </c>
      <c r="B329" t="n">
        <v>397</v>
      </c>
      <c r="C329" t="n">
        <v>279</v>
      </c>
      <c r="D329" t="n">
        <v>302</v>
      </c>
      <c r="E329" t="inlineStr">
        <is>
          <t>11.200940761428354</t>
        </is>
      </c>
      <c r="F329" t="inlineStr">
        <is>
          <t>2.502406159769003</t>
        </is>
      </c>
      <c r="G329" t="inlineStr">
        <is>
          <t>0.21655437921078091</t>
        </is>
      </c>
    </row>
    <row r="330">
      <c r="A330" t="inlineStr">
        <is>
          <t>2022-10-13</t>
        </is>
      </c>
      <c r="B330" t="n">
        <v>311</v>
      </c>
      <c r="C330" t="n">
        <v>408</v>
      </c>
      <c r="D330" t="n">
        <v>526</v>
      </c>
      <c r="E330" t="inlineStr">
        <is>
          <t>8.7167891794818804</t>
        </is>
      </c>
      <c r="F330" t="inlineStr">
        <is>
          <t>3.8006756756756759</t>
        </is>
      </c>
      <c r="G330" t="inlineStr">
        <is>
          <t>0.29560810810810928</t>
        </is>
      </c>
    </row>
    <row r="331">
      <c r="A331" t="inlineStr">
        <is>
          <t>2022-10-18</t>
        </is>
      </c>
      <c r="B331" t="n">
        <v>125</v>
      </c>
      <c r="C331" t="n">
        <v>413</v>
      </c>
      <c r="D331" t="n">
        <v>4</v>
      </c>
      <c r="E331" t="inlineStr">
        <is>
          <t>5.555714653911676</t>
        </is>
      </c>
      <c r="F331" t="inlineStr">
        <is>
          <t>3.8518518518518579</t>
        </is>
      </c>
      <c r="G331" t="inlineStr">
        <is>
          <t>0.074074074074069796</t>
        </is>
      </c>
    </row>
    <row r="332">
      <c r="A332" t="inlineStr">
        <is>
          <t>2022-10-19</t>
        </is>
      </c>
    </row>
    <row r="333">
      <c r="A333" t="inlineStr">
        <is>
          <t>2022-10-20</t>
        </is>
      </c>
      <c r="B333" t="n">
        <v>449</v>
      </c>
      <c r="C333" t="n">
        <v>714</v>
      </c>
      <c r="D333" t="n">
        <v>637</v>
      </c>
      <c r="E333" t="inlineStr">
        <is>
          <t>12.771685317151862</t>
        </is>
      </c>
      <c r="F333" t="inlineStr">
        <is>
          <t>32.378969286829793</t>
        </is>
      </c>
      <c r="G333" t="inlineStr">
        <is>
          <t>0.41644976574700521</t>
        </is>
      </c>
    </row>
    <row r="334">
      <c r="A334" t="inlineStr">
        <is>
          <t>2022-10-27</t>
        </is>
      </c>
      <c r="B334" t="n">
        <v>626</v>
      </c>
      <c r="C334" t="n">
        <v>668</v>
      </c>
      <c r="D334" t="n">
        <v>687</v>
      </c>
      <c r="E334" t="inlineStr">
        <is>
          <t>26.345343544968216</t>
        </is>
      </c>
      <c r="F334" t="inlineStr">
        <is>
          <t>15.266772319070244</t>
        </is>
      </c>
      <c r="G334" t="inlineStr">
        <is>
          <t>0.5282620179609161</t>
        </is>
      </c>
    </row>
    <row r="335">
      <c r="A335" t="inlineStr">
        <is>
          <t>2022-11-01</t>
        </is>
      </c>
      <c r="B335" t="n">
        <v>19</v>
      </c>
      <c r="C335" t="n">
        <v>3</v>
      </c>
      <c r="D335" t="n">
        <v>159</v>
      </c>
      <c r="E335" t="inlineStr">
        <is>
          <t>3.0345413566626882</t>
        </is>
      </c>
      <c r="F335" t="inlineStr">
        <is>
          <t>0.57426259462282581</t>
        </is>
      </c>
      <c r="G335" t="inlineStr">
        <is>
          <t>0.18271991647089969</t>
        </is>
      </c>
    </row>
    <row r="336">
      <c r="A336" t="inlineStr">
        <is>
          <t>2022-11-02</t>
        </is>
      </c>
      <c r="B336" t="n">
        <v>192</v>
      </c>
      <c r="C336" t="n">
        <v>242</v>
      </c>
      <c r="D336" t="n">
        <v>272</v>
      </c>
      <c r="E336" t="inlineStr">
        <is>
          <t>6.420873073392408</t>
        </is>
      </c>
      <c r="F336" t="inlineStr">
        <is>
          <t>2.2857142857142927</t>
        </is>
      </c>
      <c r="G336" t="inlineStr">
        <is>
          <t>0.2105263157894702</t>
        </is>
      </c>
    </row>
    <row r="337">
      <c r="A337" t="inlineStr">
        <is>
          <t>2022-11-03</t>
        </is>
      </c>
      <c r="B337" t="n">
        <v>292</v>
      </c>
      <c r="C337" t="n">
        <v>557</v>
      </c>
      <c r="D337" t="n">
        <v>564</v>
      </c>
      <c r="E337" t="inlineStr">
        <is>
          <t>8.3858140903882727</t>
        </is>
      </c>
      <c r="F337" t="inlineStr">
        <is>
          <t>6.7947516401124659</t>
        </is>
      </c>
      <c r="G337" t="inlineStr">
        <is>
          <t>0.32802249297094788</t>
        </is>
      </c>
    </row>
    <row r="338">
      <c r="A338" t="inlineStr">
        <is>
          <t>2022-11-10</t>
        </is>
      </c>
    </row>
    <row r="339">
      <c r="A339" t="inlineStr">
        <is>
          <t>2022-11-15</t>
        </is>
      </c>
      <c r="B339" t="n">
        <v>464</v>
      </c>
      <c r="C339" t="n">
        <v>153</v>
      </c>
      <c r="D339" t="n">
        <v>315</v>
      </c>
      <c r="E339" t="inlineStr">
        <is>
          <t>13.122073396492729</t>
        </is>
      </c>
      <c r="F339" t="inlineStr">
        <is>
          <t>1.7981072555205011</t>
        </is>
      </c>
      <c r="G339" t="inlineStr">
        <is>
          <t>0.22082018927445329</t>
        </is>
      </c>
    </row>
    <row r="340">
      <c r="A340" t="inlineStr">
        <is>
          <t>2022-11-16</t>
        </is>
      </c>
      <c r="B340" t="n">
        <v>126</v>
      </c>
      <c r="C340" t="n">
        <v>375</v>
      </c>
      <c r="D340" t="n">
        <v>333</v>
      </c>
      <c r="E340" t="inlineStr">
        <is>
          <t>5.5680950867691941</t>
        </is>
      </c>
      <c r="F340" t="inlineStr">
        <is>
          <t>3.4792368125701287</t>
        </is>
      </c>
      <c r="G340" t="inlineStr">
        <is>
          <t>0.224466891133561</t>
        </is>
      </c>
    </row>
    <row r="341">
      <c r="A341" t="inlineStr">
        <is>
          <t>2022-11-17</t>
        </is>
      </c>
    </row>
    <row r="342">
      <c r="A342" t="inlineStr">
        <is>
          <t>2022-11-22</t>
        </is>
      </c>
      <c r="B342" t="n">
        <v>181</v>
      </c>
      <c r="C342" t="n">
        <v>143</v>
      </c>
      <c r="D342" t="n">
        <v>48</v>
      </c>
      <c r="E342" t="inlineStr">
        <is>
          <t>6.3209735398551112</t>
        </is>
      </c>
      <c r="F342" t="inlineStr">
        <is>
          <t>1.7377049180328092</t>
        </is>
      </c>
      <c r="G342" t="inlineStr">
        <is>
          <t>0.1311475409836084</t>
        </is>
      </c>
    </row>
    <row r="343">
      <c r="A343" t="inlineStr">
        <is>
          <t>2022-11-25</t>
        </is>
      </c>
      <c r="B343" t="n">
        <v>203</v>
      </c>
      <c r="C343" t="n">
        <v>309</v>
      </c>
      <c r="D343" t="n">
        <v>72</v>
      </c>
      <c r="E343" t="inlineStr">
        <is>
          <t>6.6185627723403524</t>
        </is>
      </c>
      <c r="F343" t="inlineStr">
        <is>
          <t>2.740396378761925</t>
        </is>
      </c>
      <c r="G343" t="inlineStr">
        <is>
          <t>0.14680694886223769</t>
        </is>
      </c>
    </row>
    <row r="344">
      <c r="A344" t="inlineStr">
        <is>
          <t>2022-11-28</t>
        </is>
      </c>
      <c r="B344" t="n">
        <v>179</v>
      </c>
      <c r="C344" t="n">
        <v>332</v>
      </c>
      <c r="D344" t="n">
        <v>365</v>
      </c>
      <c r="E344" t="inlineStr">
        <is>
          <t>6.2957999178561943</t>
        </is>
      </c>
      <c r="F344" t="inlineStr">
        <is>
          <t>2.9377545084351437</t>
        </is>
      </c>
      <c r="G344" t="inlineStr">
        <is>
          <t>0.23269342641070709</t>
        </is>
      </c>
    </row>
    <row r="345">
      <c r="A345" t="inlineStr">
        <is>
          <t>2022-11-29</t>
        </is>
      </c>
      <c r="B345" t="n">
        <v>244</v>
      </c>
      <c r="C345" t="n">
        <v>373</v>
      </c>
      <c r="D345" t="n">
        <v>50</v>
      </c>
      <c r="E345" t="inlineStr">
        <is>
          <t>7.336244541485498</t>
        </is>
      </c>
      <c r="F345" t="inlineStr">
        <is>
          <t>3.4253408713003037</t>
        </is>
      </c>
      <c r="G345" t="inlineStr">
        <is>
          <t>0.1330229464582659</t>
        </is>
      </c>
    </row>
    <row r="346">
      <c r="A346" t="inlineStr">
        <is>
          <t>2022-12-02</t>
        </is>
      </c>
      <c r="B346" t="n">
        <v>234</v>
      </c>
      <c r="C346" t="n">
        <v>229</v>
      </c>
      <c r="D346" t="n">
        <v>409</v>
      </c>
      <c r="E346" t="inlineStr">
        <is>
          <t>7.1321930695316738</t>
        </is>
      </c>
      <c r="F346" t="inlineStr">
        <is>
          <t>2.2277227722772355</t>
        </is>
      </c>
      <c r="G346" t="inlineStr">
        <is>
          <t>0.24752475247524619</t>
        </is>
      </c>
    </row>
    <row r="347">
      <c r="A347" t="inlineStr">
        <is>
          <t>2022-12-05</t>
        </is>
      </c>
      <c r="B347" t="n">
        <v>135</v>
      </c>
      <c r="C347" t="n">
        <v>99</v>
      </c>
      <c r="D347" t="n">
        <v>44</v>
      </c>
      <c r="E347" t="inlineStr">
        <is>
          <t>5.6638151672687833</t>
        </is>
      </c>
      <c r="F347" t="inlineStr">
        <is>
          <t>1.5269151138716299</t>
        </is>
      </c>
      <c r="G347" t="inlineStr">
        <is>
          <t>0.129399585921325</t>
        </is>
      </c>
    </row>
    <row r="348">
      <c r="A348" t="inlineStr">
        <is>
          <t>2022-12-06</t>
        </is>
      </c>
      <c r="B348" t="n">
        <v>438</v>
      </c>
      <c r="C348" t="n">
        <v>258</v>
      </c>
      <c r="D348" t="n">
        <v>453</v>
      </c>
      <c r="E348" t="inlineStr">
        <is>
          <t>12.333299372072242</t>
        </is>
      </c>
      <c r="F348" t="inlineStr">
        <is>
          <t>2.371998842927407</t>
        </is>
      </c>
      <c r="G348" t="inlineStr">
        <is>
          <t>0.26034133641885371</t>
        </is>
      </c>
    </row>
    <row r="349">
      <c r="A349" t="inlineStr">
        <is>
          <t>2022-12-07</t>
        </is>
      </c>
      <c r="B349" t="n">
        <v>242</v>
      </c>
      <c r="C349" t="n">
        <v>81</v>
      </c>
      <c r="D349" t="n">
        <v>114</v>
      </c>
      <c r="E349" t="inlineStr">
        <is>
          <t>7.3215866119566897</t>
        </is>
      </c>
      <c r="F349" t="inlineStr">
        <is>
          <t>1.4352469959946443</t>
        </is>
      </c>
      <c r="G349" t="inlineStr">
        <is>
          <t>0.16688918558077431</t>
        </is>
      </c>
    </row>
    <row r="350">
      <c r="A350" t="inlineStr">
        <is>
          <t>2022-12-08</t>
        </is>
      </c>
    </row>
    <row r="351">
      <c r="A351" t="inlineStr">
        <is>
          <t>2022-12-12</t>
        </is>
      </c>
      <c r="B351" t="n">
        <v>206</v>
      </c>
      <c r="C351" t="n">
        <v>116</v>
      </c>
      <c r="D351" t="n">
        <v>174</v>
      </c>
      <c r="E351" t="inlineStr">
        <is>
          <t>6.6783039279825118</t>
        </is>
      </c>
      <c r="F351" t="inlineStr">
        <is>
          <t>1.6133369185264856</t>
        </is>
      </c>
      <c r="G351" t="inlineStr">
        <is>
          <t>0.18822264049474591</t>
        </is>
      </c>
    </row>
    <row r="352">
      <c r="A352" t="inlineStr">
        <is>
          <t>2022-12-16</t>
        </is>
      </c>
      <c r="B352" t="n">
        <v>443</v>
      </c>
      <c r="C352" t="n">
        <v>302</v>
      </c>
      <c r="D352" t="n">
        <v>147</v>
      </c>
      <c r="E352" t="inlineStr">
        <is>
          <t>12.596621815057896</t>
        </is>
      </c>
      <c r="F352" t="inlineStr">
        <is>
          <t>2.6604068857589933</t>
        </is>
      </c>
      <c r="G352" t="inlineStr">
        <is>
          <t>0.17885088307623129</t>
        </is>
      </c>
    </row>
    <row r="353">
      <c r="A353" t="inlineStr">
        <is>
          <t>2022-12-21</t>
        </is>
      </c>
      <c r="B353" t="n">
        <v>83</v>
      </c>
      <c r="C353" t="n">
        <v>213</v>
      </c>
      <c r="D353" t="n">
        <v>290</v>
      </c>
      <c r="E353" t="inlineStr">
        <is>
          <t>4.7108927822595152</t>
        </is>
      </c>
      <c r="F353" t="inlineStr">
        <is>
          <t>2.106390574794728</t>
        </is>
      </c>
      <c r="G353" t="inlineStr">
        <is>
          <t>0.21420921099607079</t>
        </is>
      </c>
    </row>
    <row r="354">
      <c r="A354" t="inlineStr">
        <is>
          <t>2022-12-22</t>
        </is>
      </c>
      <c r="B354" t="n">
        <v>452</v>
      </c>
      <c r="C354" t="n">
        <v>462</v>
      </c>
      <c r="D354" t="n">
        <v>142</v>
      </c>
      <c r="E354" t="inlineStr">
        <is>
          <t>12.83468704161872</t>
        </is>
      </c>
      <c r="F354" t="inlineStr">
        <is>
          <t>4.5172719220549116</t>
        </is>
      </c>
      <c r="G354" t="inlineStr">
        <is>
          <t>0.17714791851195369</t>
        </is>
      </c>
    </row>
    <row r="355">
      <c r="A355" t="inlineStr">
        <is>
          <t>2022-12-23</t>
        </is>
      </c>
      <c r="B355" t="n">
        <v>266</v>
      </c>
      <c r="C355" t="n">
        <v>163</v>
      </c>
      <c r="D355" t="n">
        <v>286</v>
      </c>
      <c r="E355" t="inlineStr">
        <is>
          <t>7.8174636059785394</t>
        </is>
      </c>
      <c r="F355" t="inlineStr">
        <is>
          <t>1.8343722172751475</t>
        </is>
      </c>
      <c r="G355" t="inlineStr">
        <is>
          <t>0.2137132680320549</t>
        </is>
      </c>
    </row>
    <row r="356">
      <c r="A356" t="inlineStr">
        <is>
          <t>2022-12-26</t>
        </is>
      </c>
      <c r="B356" t="n">
        <v>503</v>
      </c>
      <c r="C356" t="n">
        <v>160</v>
      </c>
      <c r="D356" t="n">
        <v>57</v>
      </c>
      <c r="E356" t="inlineStr">
        <is>
          <t>14.751409361405916</t>
        </is>
      </c>
      <c r="F356" t="inlineStr">
        <is>
          <t>1.8221003134796367</t>
        </is>
      </c>
      <c r="G356" t="inlineStr">
        <is>
          <t>0.13714733542319529</t>
        </is>
      </c>
    </row>
    <row r="357">
      <c r="A357" t="inlineStr">
        <is>
          <t>2022-12-28</t>
        </is>
      </c>
      <c r="B357" t="n">
        <v>573</v>
      </c>
      <c r="C357" t="n">
        <v>633</v>
      </c>
      <c r="D357" t="n">
        <v>45</v>
      </c>
      <c r="E357" t="inlineStr">
        <is>
          <t>20.672920132882361</t>
        </is>
      </c>
      <c r="F357" t="inlineStr">
        <is>
          <t>10.012961762799732</t>
        </is>
      </c>
      <c r="G357" t="inlineStr">
        <is>
          <t>0.12961762799740939</t>
        </is>
      </c>
    </row>
    <row r="358">
      <c r="A358" t="inlineStr">
        <is>
          <t>2022-12-29</t>
        </is>
      </c>
      <c r="B358" t="n">
        <v>541</v>
      </c>
      <c r="C358" t="n">
        <v>676</v>
      </c>
      <c r="D358" t="n">
        <v>646</v>
      </c>
      <c r="E358" t="inlineStr">
        <is>
          <t>17.594462870141779</t>
        </is>
      </c>
      <c r="F358" t="inlineStr">
        <is>
          <t>16.229244777718272</t>
        </is>
      </c>
      <c r="G358" t="inlineStr">
        <is>
          <t>0.42849491162292291</t>
        </is>
      </c>
    </row>
    <row r="359">
      <c r="A359" t="inlineStr">
        <is>
          <t>2023-01-02</t>
        </is>
      </c>
      <c r="B359" t="n">
        <v>357</v>
      </c>
      <c r="C359" t="n">
        <v>353</v>
      </c>
      <c r="D359" t="n">
        <v>282</v>
      </c>
      <c r="E359" t="inlineStr">
        <is>
          <t>9.8109193327468471</t>
        </is>
      </c>
      <c r="F359" t="inlineStr">
        <is>
          <t>3.1982942430703627</t>
        </is>
      </c>
      <c r="G359" t="inlineStr">
        <is>
          <t>0.2132196162046921</t>
        </is>
      </c>
    </row>
    <row r="360">
      <c r="A360" t="inlineStr">
        <is>
          <t>2023-01-03</t>
        </is>
      </c>
      <c r="B360" t="n">
        <v>161</v>
      </c>
      <c r="C360" t="n">
        <v>131</v>
      </c>
      <c r="D360" t="n">
        <v>26</v>
      </c>
      <c r="E360" t="inlineStr">
        <is>
          <t>5.9687862734411246</t>
        </is>
      </c>
      <c r="F360" t="inlineStr">
        <is>
          <t>1.6844469399213926</t>
        </is>
      </c>
      <c r="G360" t="inlineStr">
        <is>
          <t>0.1122964626614197</t>
        </is>
      </c>
    </row>
    <row r="361">
      <c r="A361" t="inlineStr">
        <is>
          <t>2023-01-04</t>
        </is>
      </c>
      <c r="B361" t="n">
        <v>185</v>
      </c>
      <c r="C361" t="n">
        <v>83</v>
      </c>
      <c r="D361" t="n">
        <v>561</v>
      </c>
      <c r="E361" t="inlineStr">
        <is>
          <t>6.3669096337921234</t>
        </is>
      </c>
      <c r="F361" t="inlineStr">
        <is>
          <t>1.4409221902017291</t>
        </is>
      </c>
      <c r="G361" t="inlineStr">
        <is>
          <t>0.32420749279539107</t>
        </is>
      </c>
    </row>
    <row r="362">
      <c r="A362" t="inlineStr">
        <is>
          <t>2023-01-05</t>
        </is>
      </c>
      <c r="B362" t="n">
        <v>111</v>
      </c>
      <c r="C362" t="n">
        <v>238</v>
      </c>
      <c r="D362" t="n">
        <v>395</v>
      </c>
      <c r="E362" t="inlineStr">
        <is>
          <t>5.3424570319732592</t>
        </is>
      </c>
      <c r="F362" t="inlineStr">
        <is>
          <t>2.2760290556900946</t>
        </is>
      </c>
      <c r="G362" t="inlineStr">
        <is>
          <t>0.24213075060532679</t>
        </is>
      </c>
    </row>
    <row r="363">
      <c r="A363" t="inlineStr">
        <is>
          <t>2023-01-11</t>
        </is>
      </c>
      <c r="B363" t="n">
        <v>282</v>
      </c>
      <c r="C363" t="n">
        <v>329</v>
      </c>
      <c r="D363" t="n">
        <v>255</v>
      </c>
      <c r="E363" t="inlineStr">
        <is>
          <t>8.1593190880575968</t>
        </is>
      </c>
      <c r="F363" t="inlineStr">
        <is>
          <t>2.903703703703707</t>
        </is>
      </c>
      <c r="G363" t="inlineStr">
        <is>
          <t>0.2074074074074124</t>
        </is>
      </c>
    </row>
    <row r="364">
      <c r="A364" t="inlineStr">
        <is>
          <t>2023-01-12</t>
        </is>
      </c>
      <c r="B364" t="n">
        <v>428</v>
      </c>
      <c r="C364" t="n">
        <v>272</v>
      </c>
      <c r="D364" t="n">
        <v>588</v>
      </c>
      <c r="E364" t="inlineStr">
        <is>
          <t>11.91236738075898</t>
        </is>
      </c>
      <c r="F364" t="inlineStr">
        <is>
          <t>2.460077686663785</t>
        </is>
      </c>
      <c r="G364" t="inlineStr">
        <is>
          <t>0.34527406128614468</t>
        </is>
      </c>
    </row>
    <row r="365">
      <c r="A365" t="inlineStr">
        <is>
          <t>2023-01-13</t>
        </is>
      </c>
      <c r="B365" t="n">
        <v>559</v>
      </c>
      <c r="C365" t="n">
        <v>386</v>
      </c>
      <c r="D365" t="n">
        <v>558</v>
      </c>
      <c r="E365" t="inlineStr">
        <is>
          <t>19.212349675966227</t>
        </is>
      </c>
      <c r="F365" t="inlineStr">
        <is>
          <t>3.5688665710186478</t>
        </is>
      </c>
      <c r="G365" t="inlineStr">
        <is>
          <t>0.32281205164993038</t>
        </is>
      </c>
    </row>
    <row r="366">
      <c r="A366" t="inlineStr">
        <is>
          <t>2023-01-17</t>
        </is>
      </c>
      <c r="B366" t="n">
        <v>546</v>
      </c>
      <c r="C366" t="n">
        <v>497</v>
      </c>
      <c r="D366" t="n">
        <v>53</v>
      </c>
      <c r="E366" t="inlineStr">
        <is>
          <t>18.154700391582921</t>
        </is>
      </c>
      <c r="F366" t="inlineStr">
        <is>
          <t>5.0965665236051514</t>
        </is>
      </c>
      <c r="G366" t="inlineStr">
        <is>
          <t>0.1341201716738197</t>
        </is>
      </c>
    </row>
    <row r="367">
      <c r="A367" t="inlineStr">
        <is>
          <t>2023-01-18</t>
        </is>
      </c>
      <c r="B367" t="n">
        <v>476</v>
      </c>
      <c r="C367" t="n">
        <v>374</v>
      </c>
      <c r="D367" t="n">
        <v>266</v>
      </c>
      <c r="E367" t="inlineStr">
        <is>
          <t>13.560072504877477</t>
        </is>
      </c>
      <c r="F367" t="inlineStr">
        <is>
          <t>3.4579112818721538</t>
        </is>
      </c>
      <c r="G367" t="inlineStr">
        <is>
          <t>0.209570380719523</t>
        </is>
      </c>
    </row>
    <row r="368">
      <c r="A368" t="inlineStr">
        <is>
          <t>2023-01-19</t>
        </is>
      </c>
      <c r="B368" t="n">
        <v>533</v>
      </c>
      <c r="C368" t="n">
        <v>674</v>
      </c>
      <c r="D368" t="n">
        <v>672</v>
      </c>
      <c r="E368" t="inlineStr">
        <is>
          <t>16.89254464655507</t>
        </is>
      </c>
      <c r="F368" t="inlineStr">
        <is>
          <t>15.839493136219639</t>
        </is>
      </c>
      <c r="G368" t="inlineStr">
        <is>
          <t>0.47518479408658471</t>
        </is>
      </c>
    </row>
    <row r="369">
      <c r="A369" t="inlineStr">
        <is>
          <t>2023-01-20</t>
        </is>
      </c>
      <c r="B369" t="n">
        <v>208</v>
      </c>
      <c r="C369" t="n">
        <v>72</v>
      </c>
      <c r="D369" t="n">
        <v>183</v>
      </c>
      <c r="E369" t="inlineStr">
        <is>
          <t>6.7059456625254059</t>
        </is>
      </c>
      <c r="F369" t="inlineStr">
        <is>
          <t>1.3561741613133584</t>
        </is>
      </c>
      <c r="G369" t="inlineStr">
        <is>
          <t>0.1903402331667815</t>
        </is>
      </c>
    </row>
    <row r="370">
      <c r="A370" t="inlineStr">
        <is>
          <t>2023-01-27</t>
        </is>
      </c>
      <c r="B370" t="n">
        <v>687</v>
      </c>
      <c r="C370" t="n">
        <v>622</v>
      </c>
      <c r="D370" t="n">
        <v>264</v>
      </c>
      <c r="E370" t="inlineStr">
        <is>
          <t>41.608837593488069</t>
        </is>
      </c>
      <c r="F370" t="inlineStr">
        <is>
          <t>9.512074913750622</t>
        </is>
      </c>
      <c r="G370" t="inlineStr">
        <is>
          <t>0.2094627895515018</t>
        </is>
      </c>
    </row>
    <row r="371">
      <c r="A371" t="inlineStr">
        <is>
          <t>2023-01-30</t>
        </is>
      </c>
      <c r="B371" t="n">
        <v>706</v>
      </c>
      <c r="C371" t="n">
        <v>656</v>
      </c>
      <c r="D371" t="n">
        <v>458</v>
      </c>
      <c r="E371" t="inlineStr">
        <is>
          <t>56.914056914056914</t>
        </is>
      </c>
      <c r="F371" t="inlineStr">
        <is>
          <t>13.650668764752153</t>
        </is>
      </c>
      <c r="G371" t="inlineStr">
        <is>
          <t>0.26226068712300021</t>
        </is>
      </c>
    </row>
    <row r="372">
      <c r="A372" t="inlineStr">
        <is>
          <t>2023-01-31</t>
        </is>
      </c>
      <c r="B372" t="n">
        <v>622</v>
      </c>
      <c r="C372" t="n">
        <v>545</v>
      </c>
      <c r="D372" t="n">
        <v>440</v>
      </c>
      <c r="E372" t="inlineStr">
        <is>
          <t>25.811553070417379</t>
        </is>
      </c>
      <c r="F372" t="inlineStr">
        <is>
          <t>6.4687168610816608</t>
        </is>
      </c>
      <c r="G372" t="inlineStr">
        <is>
          <t>0.25753673685805001</t>
        </is>
      </c>
    </row>
    <row r="373">
      <c r="A373" t="inlineStr">
        <is>
          <t>2023-02-01</t>
        </is>
      </c>
      <c r="B373" t="n">
        <v>346</v>
      </c>
      <c r="C373" t="n">
        <v>180</v>
      </c>
      <c r="D373" t="n">
        <v>129</v>
      </c>
      <c r="E373" t="inlineStr">
        <is>
          <t>9.5897499353200395</t>
        </is>
      </c>
      <c r="F373" t="inlineStr">
        <is>
          <t>1.9144532597447239</t>
        </is>
      </c>
      <c r="G373" t="inlineStr">
        <is>
          <t>0.17247326664367019</t>
        </is>
      </c>
    </row>
    <row r="374">
      <c r="A374" t="inlineStr">
        <is>
          <t>2023-02-02</t>
        </is>
      </c>
      <c r="B374" t="n">
        <v>680</v>
      </c>
      <c r="C374" t="n">
        <v>708</v>
      </c>
      <c r="D374" t="n">
        <v>703</v>
      </c>
      <c r="E374" t="inlineStr">
        <is>
          <t>39.306470581517992</t>
        </is>
      </c>
      <c r="F374" t="inlineStr">
        <is>
          <t>29.829210836277991</t>
        </is>
      </c>
      <c r="G374" t="inlineStr">
        <is>
          <t>0.73616018845700815</t>
        </is>
      </c>
    </row>
    <row r="375">
      <c r="A375" t="inlineStr">
        <is>
          <t>2023-02-07</t>
        </is>
      </c>
      <c r="B375" t="n">
        <v>257</v>
      </c>
      <c r="C375" t="n">
        <v>245</v>
      </c>
      <c r="D375" t="n">
        <v>330</v>
      </c>
      <c r="E375" t="inlineStr">
        <is>
          <t>7.5641688974876446</t>
        </is>
      </c>
      <c r="F375" t="inlineStr">
        <is>
          <t>2.3076923076922964</t>
        </is>
      </c>
      <c r="G375" t="inlineStr">
        <is>
          <t>0.2233250620347409</t>
        </is>
      </c>
    </row>
    <row r="376">
      <c r="A376" t="inlineStr">
        <is>
          <t>2023-02-08</t>
        </is>
      </c>
      <c r="B376" t="n">
        <v>271</v>
      </c>
      <c r="C376" t="n">
        <v>161</v>
      </c>
      <c r="D376" t="n">
        <v>89</v>
      </c>
      <c r="E376" t="inlineStr">
        <is>
          <t>7.9123280265354552</t>
        </is>
      </c>
      <c r="F376" t="inlineStr">
        <is>
          <t>1.823899371069168</t>
        </is>
      </c>
      <c r="G376" t="inlineStr">
        <is>
          <t>0.1572327044025067</t>
        </is>
      </c>
    </row>
    <row r="377">
      <c r="A377" t="inlineStr">
        <is>
          <t>2023-02-09</t>
        </is>
      </c>
      <c r="B377" t="n">
        <v>581</v>
      </c>
      <c r="C377" t="n">
        <v>664</v>
      </c>
      <c r="D377" t="n">
        <v>688</v>
      </c>
      <c r="E377" t="inlineStr">
        <is>
          <t>20.992740827938409</t>
        </is>
      </c>
      <c r="F377" t="inlineStr">
        <is>
          <t>14.867517173699696</t>
        </is>
      </c>
      <c r="G377" t="inlineStr">
        <is>
          <t>0.53974484789009247</t>
        </is>
      </c>
    </row>
    <row r="378">
      <c r="A378" t="inlineStr">
        <is>
          <t>2023-02-10</t>
        </is>
      </c>
      <c r="B378" t="n">
        <v>305</v>
      </c>
      <c r="C378" t="n">
        <v>184</v>
      </c>
      <c r="D378" t="n">
        <v>280</v>
      </c>
      <c r="E378" t="inlineStr">
        <is>
          <t>8.5945767380933926</t>
        </is>
      </c>
      <c r="F378" t="inlineStr">
        <is>
          <t>1.93213949104618</t>
        </is>
      </c>
      <c r="G378" t="inlineStr">
        <is>
          <t>0.2120640904806799</t>
        </is>
      </c>
    </row>
    <row r="379">
      <c r="A379" t="inlineStr">
        <is>
          <t>2023-02-14</t>
        </is>
      </c>
      <c r="B379" t="n">
        <v>342</v>
      </c>
      <c r="C379" t="n">
        <v>170</v>
      </c>
      <c r="D379" t="n">
        <v>300</v>
      </c>
      <c r="E379" t="inlineStr">
        <is>
          <t>9.5097566175567092</t>
        </is>
      </c>
      <c r="F379" t="inlineStr">
        <is>
          <t>1.8541409147095176</t>
        </is>
      </c>
      <c r="G379" t="inlineStr">
        <is>
          <t>0.2163164400494402</t>
        </is>
      </c>
    </row>
    <row r="380">
      <c r="A380" t="inlineStr">
        <is>
          <t>2023-02-15</t>
        </is>
      </c>
      <c r="B380" t="n">
        <v>202</v>
      </c>
      <c r="C380" t="n">
        <v>349</v>
      </c>
      <c r="D380" t="n">
        <v>190</v>
      </c>
      <c r="E380" t="inlineStr">
        <is>
          <t>6.5941864981253575</t>
        </is>
      </c>
      <c r="F380" t="inlineStr">
        <is>
          <t>3.145377828922149</t>
        </is>
      </c>
      <c r="G380" t="inlineStr">
        <is>
          <t>0.1917913310318482</t>
        </is>
      </c>
    </row>
    <row r="381">
      <c r="A381" t="inlineStr">
        <is>
          <t>2023-02-21</t>
        </is>
      </c>
      <c r="B381" t="n">
        <v>77</v>
      </c>
      <c r="C381" t="n">
        <v>266</v>
      </c>
      <c r="D381" t="n">
        <v>392</v>
      </c>
      <c r="E381" t="inlineStr">
        <is>
          <t>4.5852450170392673</t>
        </is>
      </c>
      <c r="F381" t="inlineStr">
        <is>
          <t>2.4176488365064976</t>
        </is>
      </c>
      <c r="G381" t="inlineStr">
        <is>
          <t>0.24176488365065321</t>
        </is>
      </c>
    </row>
    <row r="382">
      <c r="A382" t="inlineStr">
        <is>
          <t>2023-02-22</t>
        </is>
      </c>
      <c r="B382" t="n">
        <v>382</v>
      </c>
      <c r="C382" t="n">
        <v>392</v>
      </c>
      <c r="D382" t="n">
        <v>587</v>
      </c>
      <c r="E382" t="inlineStr">
        <is>
          <t>10.580968327448838</t>
        </is>
      </c>
      <c r="F382" t="inlineStr">
        <is>
          <t>3.6273386788850712</t>
        </is>
      </c>
      <c r="G382" t="inlineStr">
        <is>
          <t>0.34364261168385102</t>
        </is>
      </c>
    </row>
    <row r="383">
      <c r="A383" t="inlineStr">
        <is>
          <t>2023-02-23</t>
        </is>
      </c>
      <c r="B383" t="n">
        <v>395</v>
      </c>
      <c r="C383" t="n">
        <v>439</v>
      </c>
      <c r="D383" t="n">
        <v>631</v>
      </c>
      <c r="E383" t="inlineStr">
        <is>
          <t>11.169013964117935</t>
        </is>
      </c>
      <c r="F383" t="inlineStr">
        <is>
          <t>4.1982802225594398</t>
        </is>
      </c>
      <c r="G383" t="inlineStr">
        <is>
          <t>0.40465351542742101</t>
        </is>
      </c>
    </row>
    <row r="384">
      <c r="A384" t="inlineStr">
        <is>
          <t>2023-02-28</t>
        </is>
      </c>
      <c r="B384" t="n">
        <v>548</v>
      </c>
      <c r="C384" t="n">
        <v>384</v>
      </c>
      <c r="D384" t="n">
        <v>28</v>
      </c>
      <c r="E384" t="inlineStr">
        <is>
          <t>18.206201020581467</t>
        </is>
      </c>
      <c r="F384" t="inlineStr">
        <is>
          <t>3.5600578871201187</t>
        </is>
      </c>
      <c r="G384" t="inlineStr">
        <is>
          <t>0.1157742402315583</t>
        </is>
      </c>
    </row>
    <row r="385">
      <c r="A385" t="inlineStr">
        <is>
          <t>2023-03-01</t>
        </is>
      </c>
      <c r="B385" t="n">
        <v>333</v>
      </c>
      <c r="C385" t="n">
        <v>259</v>
      </c>
      <c r="D385" t="n">
        <v>450</v>
      </c>
      <c r="E385" t="inlineStr">
        <is>
          <t>9.3488591515242163</t>
        </is>
      </c>
      <c r="F385" t="inlineStr">
        <is>
          <t>2.3774145616642031</t>
        </is>
      </c>
      <c r="G385" t="inlineStr">
        <is>
          <t>0.2600297176820271</t>
        </is>
      </c>
    </row>
    <row r="386">
      <c r="A386" t="inlineStr">
        <is>
          <t>2023-03-02</t>
        </is>
      </c>
    </row>
    <row r="387">
      <c r="A387" t="inlineStr">
        <is>
          <t>2023-03-08</t>
        </is>
      </c>
      <c r="B387" t="n">
        <v>162</v>
      </c>
      <c r="C387" t="n">
        <v>168</v>
      </c>
      <c r="D387" t="n">
        <v>195</v>
      </c>
      <c r="E387" t="inlineStr">
        <is>
          <t>5.9876501169148408</t>
        </is>
      </c>
      <c r="F387" t="inlineStr">
        <is>
          <t>1.8518518518518343</t>
        </is>
      </c>
      <c r="G387" t="inlineStr">
        <is>
          <t>0.19290123456789021</t>
        </is>
      </c>
    </row>
    <row r="388">
      <c r="A388" t="inlineStr">
        <is>
          <t>2023-03-09</t>
        </is>
      </c>
    </row>
    <row r="389">
      <c r="A389" t="inlineStr">
        <is>
          <t>2023-03-10</t>
        </is>
      </c>
      <c r="B389" t="n">
        <v>711</v>
      </c>
      <c r="C389" t="n">
        <v>551</v>
      </c>
      <c r="D389" t="n">
        <v>549</v>
      </c>
      <c r="E389" t="inlineStr">
        <is>
          <t>60.057128913260051</t>
        </is>
      </c>
      <c r="F389" t="inlineStr">
        <is>
          <t>6.6087693285321008</t>
        </is>
      </c>
      <c r="G389" t="inlineStr">
        <is>
          <t>0.31772929464096589</t>
        </is>
      </c>
    </row>
    <row r="390">
      <c r="A390" t="inlineStr">
        <is>
          <t>2023-03-16</t>
        </is>
      </c>
      <c r="B390" t="n">
        <v>362</v>
      </c>
      <c r="C390" t="n">
        <v>524</v>
      </c>
      <c r="D390" t="n">
        <v>51</v>
      </c>
      <c r="E390" t="inlineStr">
        <is>
          <t>9.9473117168697236</t>
        </is>
      </c>
      <c r="F390" t="inlineStr">
        <is>
          <t>5.7307863171923614</t>
        </is>
      </c>
      <c r="G390" t="inlineStr">
        <is>
          <t>0.13327410039982099</t>
        </is>
      </c>
    </row>
    <row r="391">
      <c r="A391" t="inlineStr">
        <is>
          <t>2023-03-22</t>
        </is>
      </c>
      <c r="B391" t="n">
        <v>225</v>
      </c>
      <c r="C391" t="n">
        <v>159</v>
      </c>
      <c r="D391" t="n">
        <v>204</v>
      </c>
      <c r="E391" t="inlineStr">
        <is>
          <t>7.0050290270890292</t>
        </is>
      </c>
      <c r="F391" t="inlineStr">
        <is>
          <t>1.8211382113821211</t>
        </is>
      </c>
      <c r="G391" t="inlineStr">
        <is>
          <t>0.1951219512195011</t>
        </is>
      </c>
    </row>
    <row r="392">
      <c r="A392" t="inlineStr">
        <is>
          <t>2023-03-23</t>
        </is>
      </c>
      <c r="B392" t="n">
        <v>110</v>
      </c>
      <c r="C392" t="n">
        <v>430</v>
      </c>
      <c r="D392" t="n">
        <v>485</v>
      </c>
      <c r="E392" t="inlineStr">
        <is>
          <t>5.3276661016990241</t>
        </is>
      </c>
      <c r="F392" t="inlineStr">
        <is>
          <t>3.9999999999999942</t>
        </is>
      </c>
      <c r="G392" t="inlineStr">
        <is>
          <t>0.27586206896552767</t>
        </is>
      </c>
    </row>
    <row r="393">
      <c r="A393" t="inlineStr">
        <is>
          <t>2023-03-27</t>
        </is>
      </c>
      <c r="B393" t="n">
        <v>216</v>
      </c>
      <c r="C393" t="n">
        <v>274</v>
      </c>
      <c r="D393" t="n">
        <v>32</v>
      </c>
      <c r="E393" t="inlineStr">
        <is>
          <t>6.8837094368600455</t>
        </is>
      </c>
      <c r="F393" t="inlineStr">
        <is>
          <t>2.4648755237860489</t>
        </is>
      </c>
      <c r="G393" t="inlineStr">
        <is>
          <t>0.12324377618930241</t>
        </is>
      </c>
    </row>
    <row r="394">
      <c r="A394" t="inlineStr">
        <is>
          <t>2023-03-28</t>
        </is>
      </c>
    </row>
    <row r="395">
      <c r="A395" t="inlineStr">
        <is>
          <t>2023-03-29</t>
        </is>
      </c>
      <c r="B395" t="n">
        <v>461</v>
      </c>
      <c r="C395" t="n">
        <v>685</v>
      </c>
      <c r="D395" t="n">
        <v>565</v>
      </c>
      <c r="E395" t="inlineStr">
        <is>
          <t>12.998432541957319</t>
        </is>
      </c>
      <c r="F395" t="inlineStr">
        <is>
          <t>18.97211591033351</t>
        </is>
      </c>
      <c r="G395" t="inlineStr">
        <is>
          <t>0.32804811372335069</t>
        </is>
      </c>
    </row>
    <row r="396">
      <c r="A396" t="inlineStr">
        <is>
          <t>2023-04-05</t>
        </is>
      </c>
      <c r="B396" t="n">
        <v>414</v>
      </c>
      <c r="C396" t="n">
        <v>121</v>
      </c>
      <c r="D396" t="n">
        <v>489</v>
      </c>
      <c r="E396" t="inlineStr">
        <is>
          <t>11.585026639826529</t>
        </is>
      </c>
      <c r="F396" t="inlineStr">
        <is>
          <t>1.6237623762376214</t>
        </is>
      </c>
      <c r="G396" t="inlineStr">
        <is>
          <t>0.2772277227722727</t>
        </is>
      </c>
    </row>
    <row r="397">
      <c r="A397" t="inlineStr">
        <is>
          <t>2023-04-17</t>
        </is>
      </c>
      <c r="B397" t="n">
        <v>554</v>
      </c>
      <c r="C397" t="n">
        <v>535</v>
      </c>
      <c r="D397" t="n">
        <v>399</v>
      </c>
      <c r="E397" t="inlineStr">
        <is>
          <t>18.700393187752969</t>
        </is>
      </c>
      <c r="F397" t="inlineStr">
        <is>
          <t>6.0237709346299333</t>
        </is>
      </c>
      <c r="G397" t="inlineStr">
        <is>
          <t>0.24311183144246501</t>
        </is>
      </c>
    </row>
    <row r="398">
      <c r="A398" t="inlineStr">
        <is>
          <t>2023-05-10</t>
        </is>
      </c>
      <c r="B398" t="n">
        <v>22</v>
      </c>
      <c r="C398" t="n">
        <v>300</v>
      </c>
      <c r="D398" t="n">
        <v>59</v>
      </c>
      <c r="E398" t="inlineStr">
        <is>
          <t>3.0937205685863161</t>
        </is>
      </c>
      <c r="F398" t="inlineStr">
        <is>
          <t>2.6556776556776609</t>
        </is>
      </c>
      <c r="G398" t="inlineStr">
        <is>
          <t>0.13736263736264251</t>
        </is>
      </c>
    </row>
    <row r="399">
      <c r="A399" t="inlineStr">
        <is>
          <t>2023-05-15</t>
        </is>
      </c>
      <c r="B399" t="n">
        <v>188</v>
      </c>
      <c r="C399" t="n">
        <v>221</v>
      </c>
      <c r="D399" t="n">
        <v>245</v>
      </c>
      <c r="E399" t="inlineStr">
        <is>
          <t>6.3776726945671101</t>
        </is>
      </c>
      <c r="F399" t="inlineStr">
        <is>
          <t>2.1758306380476262</t>
        </is>
      </c>
      <c r="G399" t="inlineStr">
        <is>
          <t>0.20582181711261061</t>
        </is>
      </c>
    </row>
    <row r="400">
      <c r="A400" t="inlineStr">
        <is>
          <t>2023-05-16</t>
        </is>
      </c>
      <c r="B400" t="n">
        <v>301</v>
      </c>
      <c r="C400" t="n">
        <v>333</v>
      </c>
      <c r="D400" t="n">
        <v>551</v>
      </c>
      <c r="E400" t="inlineStr">
        <is>
          <t>8.5261677319854723</t>
        </is>
      </c>
      <c r="F400" t="inlineStr">
        <is>
          <t>2.9474431818181857</t>
        </is>
      </c>
      <c r="G400" t="inlineStr">
        <is>
          <t>0.3196022727272696</t>
        </is>
      </c>
    </row>
    <row r="401">
      <c r="A401" t="inlineStr">
        <is>
          <t>2023-05-23</t>
        </is>
      </c>
      <c r="B401" t="n">
        <v>79</v>
      </c>
      <c r="C401" t="n">
        <v>198</v>
      </c>
      <c r="D401" t="n">
        <v>585</v>
      </c>
      <c r="E401" t="inlineStr">
        <is>
          <t>4.6259258654563062</t>
        </is>
      </c>
      <c r="F401" t="inlineStr">
        <is>
          <t>2.0213577421815447</t>
        </is>
      </c>
      <c r="G401" t="inlineStr">
        <is>
          <t>0.3432494279176222</t>
        </is>
      </c>
    </row>
    <row r="402">
      <c r="A402" t="inlineStr">
        <is>
          <t>2023-05-29</t>
        </is>
      </c>
      <c r="B402" t="n">
        <v>141</v>
      </c>
      <c r="C402" t="n">
        <v>169</v>
      </c>
      <c r="D402" t="n">
        <v>398</v>
      </c>
      <c r="E402" t="inlineStr">
        <is>
          <t>5.745706829336787</t>
        </is>
      </c>
      <c r="F402" t="inlineStr">
        <is>
          <t>1.8524142119647808</t>
        </is>
      </c>
      <c r="G402" t="inlineStr">
        <is>
          <t>0.2429395687822602</t>
        </is>
      </c>
    </row>
    <row r="403">
      <c r="A403" t="inlineStr">
        <is>
          <t>2023-05-31</t>
        </is>
      </c>
      <c r="B403" t="n">
        <v>37</v>
      </c>
      <c r="C403" t="n">
        <v>468</v>
      </c>
      <c r="D403" t="n">
        <v>276</v>
      </c>
      <c r="E403" t="inlineStr">
        <is>
          <t>3.675010200857094</t>
        </is>
      </c>
      <c r="F403" t="inlineStr">
        <is>
          <t>4.6088794926004129</t>
        </is>
      </c>
      <c r="G403" t="inlineStr">
        <is>
          <t>0.2114164904862639</t>
        </is>
      </c>
    </row>
    <row r="404">
      <c r="A404" t="inlineStr">
        <is>
          <t>2023-06-06</t>
        </is>
      </c>
      <c r="B404" t="n">
        <v>34</v>
      </c>
      <c r="C404" t="n">
        <v>35</v>
      </c>
      <c r="D404" t="n">
        <v>199</v>
      </c>
      <c r="E404" t="inlineStr">
        <is>
          <t>3.6011921558494322</t>
        </is>
      </c>
      <c r="F404" t="inlineStr">
        <is>
          <t>1.1270890011659671</t>
        </is>
      </c>
      <c r="G404" t="inlineStr">
        <is>
          <t>0.19432568985620449</t>
        </is>
      </c>
    </row>
    <row r="405">
      <c r="A405" t="inlineStr">
        <is>
          <t>2023-06-12</t>
        </is>
      </c>
      <c r="B405" t="n">
        <v>48</v>
      </c>
      <c r="C405" t="n">
        <v>65</v>
      </c>
      <c r="D405" t="n">
        <v>320</v>
      </c>
      <c r="E405" t="inlineStr">
        <is>
          <t>3.8686902065703737</t>
        </is>
      </c>
      <c r="F405" t="inlineStr">
        <is>
          <t>1.3286934514394142</t>
        </is>
      </c>
      <c r="G405" t="inlineStr">
        <is>
          <t>0.22144890857324159</t>
        </is>
      </c>
    </row>
    <row r="406">
      <c r="A406" t="inlineStr">
        <is>
          <t>2023-06-13</t>
        </is>
      </c>
      <c r="B406" t="n">
        <v>21</v>
      </c>
      <c r="C406" t="n">
        <v>49</v>
      </c>
      <c r="D406" t="n">
        <v>222</v>
      </c>
      <c r="E406" t="inlineStr">
        <is>
          <t>3.076527964303521</t>
        </is>
      </c>
      <c r="F406" t="inlineStr">
        <is>
          <t>1.1961722488038278</t>
        </is>
      </c>
      <c r="G406" t="inlineStr">
        <is>
          <t>0.1993620414673046</t>
        </is>
      </c>
    </row>
    <row r="407">
      <c r="A407" t="inlineStr">
        <is>
          <t>2023-06-20</t>
        </is>
      </c>
      <c r="B407" t="n">
        <v>137</v>
      </c>
      <c r="C407" t="n">
        <v>115</v>
      </c>
      <c r="D407" t="n">
        <v>29</v>
      </c>
      <c r="E407" t="inlineStr">
        <is>
          <t>5.709422414550537</t>
        </is>
      </c>
      <c r="F407" t="inlineStr">
        <is>
          <t>1.6084739113377662</t>
        </is>
      </c>
      <c r="G407" t="inlineStr">
        <is>
          <t>0.11769321302470891</t>
        </is>
      </c>
    </row>
    <row r="408">
      <c r="A408" t="inlineStr">
        <is>
          <t>2023-06-27</t>
        </is>
      </c>
      <c r="B408" t="n">
        <v>11</v>
      </c>
      <c r="C408" t="n">
        <v>112</v>
      </c>
      <c r="D408" t="n">
        <v>295</v>
      </c>
      <c r="E408" t="inlineStr">
        <is>
          <t>2.5590719099202808</t>
        </is>
      </c>
      <c r="F408" t="inlineStr">
        <is>
          <t>1.5948275862068917</t>
        </is>
      </c>
      <c r="G408" t="inlineStr">
        <is>
          <t>0.2155172413793103</t>
        </is>
      </c>
    </row>
    <row r="409">
      <c r="A409" t="inlineStr">
        <is>
          <t>2023-06-30</t>
        </is>
      </c>
      <c r="B409" t="n">
        <v>421</v>
      </c>
      <c r="C409" t="n">
        <v>114</v>
      </c>
      <c r="D409" t="n">
        <v>17</v>
      </c>
      <c r="E409" t="inlineStr">
        <is>
          <t>11.686161069886008</t>
        </is>
      </c>
      <c r="F409" t="inlineStr">
        <is>
          <t>1.601708489054992</t>
        </is>
      </c>
      <c r="G409" t="inlineStr">
        <is>
          <t>0.1067805659370009</t>
        </is>
      </c>
    </row>
    <row r="410">
      <c r="A410" t="inlineStr">
        <is>
          <t>2023-07-04</t>
        </is>
      </c>
      <c r="B410" t="n">
        <v>369</v>
      </c>
      <c r="C410" t="n">
        <v>489</v>
      </c>
      <c r="D410" t="n">
        <v>263</v>
      </c>
      <c r="E410" t="inlineStr">
        <is>
          <t>10.130954836047543</t>
        </is>
      </c>
      <c r="F410" t="inlineStr">
        <is>
          <t>4.8499651081646808</t>
        </is>
      </c>
      <c r="G410" t="inlineStr">
        <is>
          <t>0.20935101186323191</t>
        </is>
      </c>
    </row>
    <row r="411">
      <c r="A411" t="inlineStr">
        <is>
          <t>2023-07-07</t>
        </is>
      </c>
      <c r="B411" t="n">
        <v>140</v>
      </c>
      <c r="C411" t="n">
        <v>280</v>
      </c>
      <c r="D411" t="n">
        <v>110</v>
      </c>
      <c r="E411" t="inlineStr">
        <is>
          <t>5.7327804499302957</t>
        </is>
      </c>
      <c r="F411" t="inlineStr">
        <is>
          <t>2.5088757396449624</t>
        </is>
      </c>
      <c r="G411" t="inlineStr">
        <is>
          <t>0.16568047337277839</t>
        </is>
      </c>
    </row>
    <row r="412">
      <c r="A412" t="inlineStr">
        <is>
          <t>2023-07-18</t>
        </is>
      </c>
      <c r="B412" t="n">
        <v>107</v>
      </c>
      <c r="C412" t="n">
        <v>446</v>
      </c>
      <c r="D412" t="n">
        <v>80</v>
      </c>
      <c r="E412" t="inlineStr">
        <is>
          <t>5.3099896075917687</t>
        </is>
      </c>
      <c r="F412" t="inlineStr">
        <is>
          <t>4.2636830964620565</t>
        </is>
      </c>
      <c r="G412" t="inlineStr">
        <is>
          <t>0.1511944360447621</t>
        </is>
      </c>
    </row>
    <row r="413">
      <c r="A413" t="inlineStr">
        <is>
          <t>2023-07-25</t>
        </is>
      </c>
      <c r="B413" t="n">
        <v>30</v>
      </c>
      <c r="C413" t="n">
        <v>200</v>
      </c>
      <c r="D413" t="n">
        <v>382</v>
      </c>
      <c r="E413" t="inlineStr">
        <is>
          <t>3.4757018000068727</t>
        </is>
      </c>
      <c r="F413" t="inlineStr">
        <is>
          <t>2.0328849028400637</t>
        </is>
      </c>
      <c r="G413" t="inlineStr">
        <is>
          <t>0.2391629297458843</t>
        </is>
      </c>
    </row>
    <row r="414">
      <c r="A414" t="inlineStr">
        <is>
          <t>2023-07-28</t>
        </is>
      </c>
      <c r="B414" t="n">
        <v>122</v>
      </c>
      <c r="C414" t="n">
        <v>62</v>
      </c>
      <c r="D414" t="n">
        <v>417</v>
      </c>
      <c r="E414" t="inlineStr">
        <is>
          <t>5.5176692551393369</t>
        </is>
      </c>
      <c r="F414" t="inlineStr">
        <is>
          <t>1.2942779291553237</t>
        </is>
      </c>
      <c r="G414" t="inlineStr">
        <is>
          <t>0.24977293369663811</t>
        </is>
      </c>
    </row>
    <row r="415">
      <c r="A415" t="inlineStr">
        <is>
          <t>2023-08-01</t>
        </is>
      </c>
      <c r="B415" t="n">
        <v>75</v>
      </c>
      <c r="C415" t="n">
        <v>22</v>
      </c>
      <c r="D415" t="n">
        <v>257</v>
      </c>
      <c r="E415" t="inlineStr">
        <is>
          <t>4.5783144720282243</t>
        </is>
      </c>
      <c r="F415" t="inlineStr">
        <is>
          <t>1.0387811634349031</t>
        </is>
      </c>
      <c r="G415" t="inlineStr">
        <is>
          <t>0.20775623268698351</t>
        </is>
      </c>
    </row>
    <row r="416">
      <c r="A416" t="inlineStr">
        <is>
          <t>2023-08-02</t>
        </is>
      </c>
      <c r="B416" t="n">
        <v>109</v>
      </c>
      <c r="C416" t="n">
        <v>400</v>
      </c>
      <c r="D416" t="n">
        <v>353</v>
      </c>
      <c r="E416" t="inlineStr">
        <is>
          <t>5.3198563638789196</t>
        </is>
      </c>
      <c r="F416" t="inlineStr">
        <is>
          <t>3.702290076335895</t>
        </is>
      </c>
      <c r="G416" t="inlineStr">
        <is>
          <t>0.22900763358779491</t>
        </is>
      </c>
    </row>
    <row r="417">
      <c r="A417" t="inlineStr">
        <is>
          <t>2023-08-03</t>
        </is>
      </c>
    </row>
    <row r="418">
      <c r="A418" t="inlineStr">
        <is>
          <t>2023-08-08</t>
        </is>
      </c>
      <c r="B418" t="n">
        <v>16</v>
      </c>
      <c r="C418" t="n">
        <v>34</v>
      </c>
      <c r="D418" t="n">
        <v>135</v>
      </c>
      <c r="E418" t="inlineStr">
        <is>
          <t>2.9061763896097004</t>
        </is>
      </c>
      <c r="F418" t="inlineStr">
        <is>
          <t>1.118881118881115</t>
        </is>
      </c>
      <c r="G418" t="inlineStr">
        <is>
          <t>0.17482517482517479</t>
        </is>
      </c>
    </row>
    <row r="419">
      <c r="A419" t="inlineStr">
        <is>
          <t>2023-08-10</t>
        </is>
      </c>
      <c r="B419" t="n">
        <v>595</v>
      </c>
      <c r="C419" t="n">
        <v>667</v>
      </c>
      <c r="D419" t="n">
        <v>532</v>
      </c>
      <c r="E419" t="inlineStr">
        <is>
          <t>22.686152770441517</t>
        </is>
      </c>
      <c r="F419" t="inlineStr">
        <is>
          <t>15.168257157207442</t>
        </is>
      </c>
      <c r="G419" t="inlineStr">
        <is>
          <t>0.30135610246107197</t>
        </is>
      </c>
    </row>
    <row r="420">
      <c r="A420" t="inlineStr">
        <is>
          <t>2023-09-11</t>
        </is>
      </c>
      <c r="B420" t="n">
        <v>35</v>
      </c>
      <c r="C420" t="n">
        <v>30</v>
      </c>
      <c r="D420" t="n">
        <v>396</v>
      </c>
      <c r="E420" t="inlineStr">
        <is>
          <t>3.6203281425224461</t>
        </is>
      </c>
      <c r="F420" t="inlineStr">
        <is>
          <t>1.0895883777239781</t>
        </is>
      </c>
      <c r="G420" t="inlineStr">
        <is>
          <t>0.24213075060533029</t>
        </is>
      </c>
    </row>
    <row r="421">
      <c r="A421" t="inlineStr">
        <is>
          <t>2023-09-12</t>
        </is>
      </c>
      <c r="B421" t="n">
        <v>68</v>
      </c>
      <c r="C421" t="n">
        <v>371</v>
      </c>
      <c r="D421" t="n">
        <v>39</v>
      </c>
      <c r="E421" t="inlineStr">
        <is>
          <t>4.45872565137104</t>
        </is>
      </c>
      <c r="F421" t="inlineStr">
        <is>
          <t>3.4047919293820792</t>
        </is>
      </c>
      <c r="G421" t="inlineStr">
        <is>
          <t>0.1261034047919222</t>
        </is>
      </c>
    </row>
    <row r="422">
      <c r="A422" t="inlineStr">
        <is>
          <t>2023-09-18</t>
        </is>
      </c>
      <c r="B422" t="n">
        <v>56</v>
      </c>
      <c r="C422" t="n">
        <v>10</v>
      </c>
      <c r="D422" t="n">
        <v>490</v>
      </c>
      <c r="E422" t="inlineStr">
        <is>
          <t>4.0921908597798957</t>
        </is>
      </c>
      <c r="F422" t="inlineStr">
        <is>
          <t>0.86339808818995112</t>
        </is>
      </c>
      <c r="G422" t="inlineStr">
        <is>
          <t>0.27752081406105628</t>
        </is>
      </c>
    </row>
    <row r="423">
      <c r="A423" t="inlineStr">
        <is>
          <t>2023-09-25</t>
        </is>
      </c>
      <c r="B423" t="n">
        <v>297</v>
      </c>
      <c r="C423" t="n">
        <v>167</v>
      </c>
      <c r="D423" t="n">
        <v>23</v>
      </c>
      <c r="E423" t="inlineStr">
        <is>
          <t>8.4368027567009989</t>
        </is>
      </c>
      <c r="F423" t="inlineStr">
        <is>
          <t>1.8508287292817649</t>
        </is>
      </c>
      <c r="G423" t="inlineStr">
        <is>
          <t>0.1104972375690545</t>
        </is>
      </c>
    </row>
    <row r="424">
      <c r="A424" t="inlineStr">
        <is>
          <t>2023-09-26</t>
        </is>
      </c>
      <c r="B424" t="n">
        <v>219</v>
      </c>
      <c r="C424" t="n">
        <v>142</v>
      </c>
      <c r="D424" t="n">
        <v>117</v>
      </c>
      <c r="E424" t="inlineStr">
        <is>
          <t>6.9092701067391706</t>
        </is>
      </c>
      <c r="F424" t="inlineStr">
        <is>
          <t>1.7323369565217277</t>
        </is>
      </c>
      <c r="G424" t="inlineStr">
        <is>
          <t>0.16983695652173911</t>
        </is>
      </c>
    </row>
    <row r="425">
      <c r="A425" t="inlineStr">
        <is>
          <t>2023-10-17</t>
        </is>
      </c>
      <c r="B425" t="n">
        <v>13</v>
      </c>
      <c r="C425" t="n">
        <v>8</v>
      </c>
      <c r="D425" t="n">
        <v>397</v>
      </c>
      <c r="E425" t="inlineStr">
        <is>
          <t>2.6736551640636894</t>
        </is>
      </c>
      <c r="F425" t="inlineStr">
        <is>
          <t>0.83188908145581764</t>
        </is>
      </c>
      <c r="G425" t="inlineStr">
        <is>
          <t>0.242634315424611</t>
        </is>
      </c>
    </row>
    <row r="426">
      <c r="A426" t="inlineStr">
        <is>
          <t>2023-10-18</t>
        </is>
      </c>
      <c r="B426" t="n">
        <v>91</v>
      </c>
      <c r="C426" t="n">
        <v>256</v>
      </c>
      <c r="D426" t="n">
        <v>388</v>
      </c>
      <c r="E426" t="inlineStr">
        <is>
          <t>4.9198869947609438</t>
        </is>
      </c>
      <c r="F426" t="inlineStr">
        <is>
          <t>2.3637820512820538</t>
        </is>
      </c>
      <c r="G426" t="inlineStr">
        <is>
          <t>0.2403846153846188</t>
        </is>
      </c>
    </row>
    <row r="427">
      <c r="A427" t="inlineStr">
        <is>
          <t>2023-10-25</t>
        </is>
      </c>
      <c r="B427" t="n">
        <v>350</v>
      </c>
      <c r="C427" t="n">
        <v>298</v>
      </c>
      <c r="D427" t="n">
        <v>426</v>
      </c>
      <c r="E427" t="inlineStr">
        <is>
          <t>9.6726248987523764</t>
        </is>
      </c>
      <c r="F427" t="inlineStr">
        <is>
          <t>2.6415094339622751</t>
        </is>
      </c>
      <c r="G427" t="inlineStr">
        <is>
          <t>0.25157232704402871</t>
        </is>
      </c>
    </row>
    <row r="428">
      <c r="A428" t="inlineStr">
        <is>
          <t>2023-10-26</t>
        </is>
      </c>
      <c r="B428" t="n">
        <v>442</v>
      </c>
      <c r="C428" t="n">
        <v>542</v>
      </c>
      <c r="D428" t="n">
        <v>207</v>
      </c>
      <c r="E428" t="inlineStr">
        <is>
          <t>12.522559021766767</t>
        </is>
      </c>
      <c r="F428" t="inlineStr">
        <is>
          <t>6.2988281249999893</t>
        </is>
      </c>
      <c r="G428" t="inlineStr">
        <is>
          <t>0.19531250000000269</t>
        </is>
      </c>
    </row>
    <row r="429">
      <c r="A429" t="inlineStr">
        <is>
          <t>2023-11-13</t>
        </is>
      </c>
      <c r="B429" t="n">
        <v>3</v>
      </c>
      <c r="C429" t="n">
        <v>254</v>
      </c>
      <c r="D429" t="n">
        <v>419</v>
      </c>
      <c r="E429" t="inlineStr">
        <is>
          <t>1.9258224545762677</t>
        </is>
      </c>
      <c r="F429" t="inlineStr">
        <is>
          <t>2.3605150214592352</t>
        </is>
      </c>
      <c r="G429" t="inlineStr">
        <is>
          <t>0.25035765379113117</t>
        </is>
      </c>
    </row>
    <row r="430">
      <c r="A430" t="inlineStr">
        <is>
          <t>2023-11-20</t>
        </is>
      </c>
      <c r="B430" t="n">
        <v>65</v>
      </c>
      <c r="C430" t="n">
        <v>118</v>
      </c>
      <c r="D430" t="n">
        <v>208</v>
      </c>
      <c r="E430" t="inlineStr">
        <is>
          <t>4.3269449744175192</t>
        </is>
      </c>
      <c r="F430" t="inlineStr">
        <is>
          <t>1.6183035714285587</t>
        </is>
      </c>
      <c r="G430" t="inlineStr">
        <is>
          <t>0.19531250000000469</t>
        </is>
      </c>
    </row>
    <row r="431">
      <c r="A431" t="inlineStr">
        <is>
          <t>2023-11-21</t>
        </is>
      </c>
      <c r="B431" t="n">
        <v>115</v>
      </c>
      <c r="C431" t="n">
        <v>284</v>
      </c>
      <c r="D431" t="n">
        <v>119</v>
      </c>
      <c r="E431" t="inlineStr">
        <is>
          <t>5.409627620446738</t>
        </is>
      </c>
      <c r="F431" t="inlineStr">
        <is>
          <t>2.5553662691652468</t>
        </is>
      </c>
      <c r="G431" t="inlineStr">
        <is>
          <t>0.1703577512776831</t>
        </is>
      </c>
    </row>
    <row r="432">
      <c r="A432" t="inlineStr">
        <is>
          <t>2023-12-05</t>
        </is>
      </c>
      <c r="B432" t="n">
        <v>72</v>
      </c>
      <c r="C432" t="n">
        <v>288</v>
      </c>
      <c r="D432" t="n">
        <v>168</v>
      </c>
      <c r="E432" t="inlineStr">
        <is>
          <t>4.5341029313338792</t>
        </is>
      </c>
      <c r="F432" t="inlineStr">
        <is>
          <t>2.5712300208478158</t>
        </is>
      </c>
      <c r="G432" t="inlineStr">
        <is>
          <t>0.18531387537642141</t>
        </is>
      </c>
    </row>
    <row r="433">
      <c r="A433" t="inlineStr">
        <is>
          <t>2023-12-06</t>
        </is>
      </c>
      <c r="B433" t="n">
        <v>186</v>
      </c>
      <c r="C433" t="n">
        <v>554</v>
      </c>
      <c r="D433" t="n">
        <v>443</v>
      </c>
      <c r="E433" t="inlineStr">
        <is>
          <t>6.3718284045143001</t>
        </is>
      </c>
      <c r="F433" t="inlineStr">
        <is>
          <t>6.6580478345184311</t>
        </is>
      </c>
      <c r="G433" t="inlineStr">
        <is>
          <t>0.25856496444732108</t>
        </is>
      </c>
    </row>
    <row r="434">
      <c r="A434" t="inlineStr">
        <is>
          <t>2023-12-07</t>
        </is>
      </c>
    </row>
    <row r="435">
      <c r="A435" t="inlineStr">
        <is>
          <t>2023-12-12</t>
        </is>
      </c>
      <c r="B435" t="n">
        <v>99</v>
      </c>
      <c r="C435" t="n">
        <v>141</v>
      </c>
      <c r="D435" t="n">
        <v>76</v>
      </c>
      <c r="E435" t="inlineStr">
        <is>
          <t>5.0842222802960686</t>
        </is>
      </c>
      <c r="F435" t="inlineStr">
        <is>
          <t>1.7169923031379548</t>
        </is>
      </c>
      <c r="G435" t="inlineStr">
        <is>
          <t>0.14801657785672831</t>
        </is>
      </c>
    </row>
    <row r="436">
      <c r="A436" t="inlineStr">
        <is>
          <t>2023-12-18</t>
        </is>
      </c>
      <c r="B436" t="n">
        <v>434</v>
      </c>
      <c r="C436" t="n">
        <v>74</v>
      </c>
      <c r="D436" t="n">
        <v>165</v>
      </c>
      <c r="E436" t="inlineStr">
        <is>
          <t>12.103149617316936</t>
        </is>
      </c>
      <c r="F436" t="inlineStr">
        <is>
          <t>1.3818516812528918</t>
        </is>
      </c>
      <c r="G436" t="inlineStr">
        <is>
          <t>0.18424689083371321</t>
        </is>
      </c>
    </row>
    <row r="437">
      <c r="A437" t="inlineStr">
        <is>
          <t>2023-12-19</t>
        </is>
      </c>
      <c r="B437" t="n">
        <v>118</v>
      </c>
      <c r="C437" t="n">
        <v>249</v>
      </c>
      <c r="D437" t="n">
        <v>288</v>
      </c>
      <c r="E437" t="inlineStr">
        <is>
          <t>5.4613562367991451</t>
        </is>
      </c>
      <c r="F437" t="inlineStr">
        <is>
          <t>2.3274478330658082</t>
        </is>
      </c>
      <c r="G437" t="inlineStr">
        <is>
          <t>0.2140181915462844</t>
        </is>
      </c>
    </row>
    <row r="438">
      <c r="A438" t="inlineStr">
        <is>
          <t>2023-12-21</t>
        </is>
      </c>
    </row>
    <row r="439">
      <c r="A439" t="inlineStr">
        <is>
          <t>2023-12-28</t>
        </is>
      </c>
      <c r="B439" t="n">
        <v>538</v>
      </c>
      <c r="C439" t="n">
        <v>653</v>
      </c>
      <c r="D439" t="n">
        <v>543</v>
      </c>
      <c r="E439" t="inlineStr">
        <is>
          <t>17.213922104701819</t>
        </is>
      </c>
      <c r="F439" t="inlineStr">
        <is>
          <t>13.129496402877708</t>
        </is>
      </c>
      <c r="G439" t="inlineStr">
        <is>
          <t>0.31474820143885662</t>
        </is>
      </c>
    </row>
    <row r="440">
      <c r="A440" t="inlineStr">
        <is>
          <t>2023-12-29</t>
        </is>
      </c>
      <c r="B440" t="n">
        <v>270</v>
      </c>
      <c r="C440" t="n">
        <v>207</v>
      </c>
      <c r="D440" t="n">
        <v>261</v>
      </c>
      <c r="E440" t="inlineStr">
        <is>
          <t>7.9041030106823618</t>
        </is>
      </c>
      <c r="F440" t="inlineStr">
        <is>
          <t>2.0516108350697331</t>
        </is>
      </c>
      <c r="G440" t="inlineStr">
        <is>
          <t>0.2083667254367704</t>
        </is>
      </c>
    </row>
    <row r="441">
      <c r="A441" t="inlineStr">
        <is>
          <t>2024-01-02</t>
        </is>
      </c>
      <c r="B441" t="n">
        <v>488</v>
      </c>
      <c r="C441" t="n">
        <v>478</v>
      </c>
      <c r="D441" t="n">
        <v>176</v>
      </c>
      <c r="E441" t="inlineStr">
        <is>
          <t>14.16096294547962</t>
        </is>
      </c>
      <c r="F441" t="inlineStr">
        <is>
          <t>4.7472838923004312</t>
        </is>
      </c>
      <c r="G441" t="inlineStr">
        <is>
          <t>0.18894662257912409</t>
        </is>
      </c>
    </row>
    <row r="442">
      <c r="A442" t="inlineStr">
        <is>
          <t>2024-01-03</t>
        </is>
      </c>
      <c r="B442" t="n">
        <v>5</v>
      </c>
      <c r="C442" t="n">
        <v>304</v>
      </c>
      <c r="D442" t="n">
        <v>164</v>
      </c>
      <c r="E442" t="inlineStr">
        <is>
          <t>2.1051170537611141</t>
        </is>
      </c>
      <c r="F442" t="inlineStr">
        <is>
          <t>2.6927784577723242</t>
        </is>
      </c>
      <c r="G442" t="inlineStr">
        <is>
          <t>0.18359853121174849</t>
        </is>
      </c>
    </row>
    <row r="443">
      <c r="A443" t="inlineStr">
        <is>
          <t>2024-01-04</t>
        </is>
      </c>
    </row>
    <row r="444">
      <c r="A444" t="inlineStr">
        <is>
          <t>2024-01-08</t>
        </is>
      </c>
      <c r="B444" t="n">
        <v>27</v>
      </c>
      <c r="C444" t="n">
        <v>21</v>
      </c>
      <c r="D444" t="n">
        <v>327</v>
      </c>
      <c r="E444" t="inlineStr">
        <is>
          <t>3.3365855454511988</t>
        </is>
      </c>
      <c r="F444" t="inlineStr">
        <is>
          <t>1.0138476755687356</t>
        </is>
      </c>
      <c r="G444" t="inlineStr">
        <is>
          <t>0.2225519287833842</t>
        </is>
      </c>
    </row>
    <row r="445">
      <c r="A445" t="inlineStr">
        <is>
          <t>2024-01-10</t>
        </is>
      </c>
      <c r="B445" t="n">
        <v>15</v>
      </c>
      <c r="C445" t="n">
        <v>97</v>
      </c>
      <c r="D445" t="n">
        <v>178</v>
      </c>
      <c r="E445" t="inlineStr">
        <is>
          <t>2.8544376061718304</t>
        </is>
      </c>
      <c r="F445" t="inlineStr">
        <is>
          <t>1.5151515151515187</t>
        </is>
      </c>
      <c r="G445" t="inlineStr">
        <is>
          <t>0.18939393939393759</t>
        </is>
      </c>
    </row>
    <row r="446">
      <c r="A446" t="inlineStr">
        <is>
          <t>2024-01-11</t>
        </is>
      </c>
    </row>
    <row r="447">
      <c r="A447" t="inlineStr">
        <is>
          <t>2024-01-15</t>
        </is>
      </c>
      <c r="B447" t="n">
        <v>67</v>
      </c>
      <c r="C447" t="n">
        <v>94</v>
      </c>
      <c r="D447" t="n">
        <v>243</v>
      </c>
      <c r="E447" t="inlineStr">
        <is>
          <t>4.4246984397832581</t>
        </is>
      </c>
      <c r="F447" t="inlineStr">
        <is>
          <t>1.4796547472256565</t>
        </is>
      </c>
      <c r="G447" t="inlineStr">
        <is>
          <t>0.20550760378133989</t>
        </is>
      </c>
    </row>
    <row r="448">
      <c r="A448" t="inlineStr">
        <is>
          <t>2024-01-16</t>
        </is>
      </c>
      <c r="B448" t="n">
        <v>24</v>
      </c>
      <c r="C448" t="n">
        <v>186</v>
      </c>
      <c r="D448" t="n">
        <v>308</v>
      </c>
      <c r="E448" t="inlineStr">
        <is>
          <t>3.1735381323291221</t>
        </is>
      </c>
      <c r="F448" t="inlineStr">
        <is>
          <t>1.9464720194647205</t>
        </is>
      </c>
      <c r="G448" t="inlineStr">
        <is>
          <t>0.21897810218978239</t>
        </is>
      </c>
    </row>
    <row r="449">
      <c r="A449" t="inlineStr">
        <is>
          <t>2024-01-17</t>
        </is>
      </c>
      <c r="B449" t="n">
        <v>709</v>
      </c>
      <c r="C449" t="n">
        <v>694</v>
      </c>
      <c r="D449" t="n">
        <v>584</v>
      </c>
      <c r="E449" t="inlineStr">
        <is>
          <t>59.291610454348643</t>
        </is>
      </c>
      <c r="F449" t="inlineStr">
        <is>
          <t>21.871425303134284</t>
        </is>
      </c>
      <c r="G449" t="inlineStr">
        <is>
          <t>0.34317089910775561</t>
        </is>
      </c>
    </row>
    <row r="450">
      <c r="A450" t="inlineStr">
        <is>
          <t>2024-01-18</t>
        </is>
      </c>
    </row>
    <row r="451">
      <c r="A451" t="inlineStr">
        <is>
          <t>2024-01-23</t>
        </is>
      </c>
      <c r="B451" t="n">
        <v>450</v>
      </c>
      <c r="C451" t="n">
        <v>407</v>
      </c>
      <c r="D451" t="n">
        <v>116</v>
      </c>
      <c r="E451" t="inlineStr">
        <is>
          <t>12.786946561315885</t>
        </is>
      </c>
      <c r="F451" t="inlineStr">
        <is>
          <t>3.7824614226571369</t>
        </is>
      </c>
      <c r="G451" t="inlineStr">
        <is>
          <t>0.16936394429807619</t>
        </is>
      </c>
    </row>
    <row r="452">
      <c r="A452" t="inlineStr">
        <is>
          <t>2024-01-24</t>
        </is>
      </c>
    </row>
    <row r="453">
      <c r="A453" t="inlineStr">
        <is>
          <t>2024-01-25</t>
        </is>
      </c>
      <c r="B453" t="n">
        <v>237</v>
      </c>
      <c r="C453" t="n">
        <v>368</v>
      </c>
      <c r="D453" t="n">
        <v>503</v>
      </c>
      <c r="E453" t="inlineStr">
        <is>
          <t>7.2348936587307024</t>
        </is>
      </c>
      <c r="F453" t="inlineStr">
        <is>
          <t>3.374777975133215</t>
        </is>
      </c>
      <c r="G453" t="inlineStr">
        <is>
          <t>0.28419182948490129</t>
        </is>
      </c>
    </row>
    <row r="454">
      <c r="A454" t="inlineStr">
        <is>
          <t>2024-01-29</t>
        </is>
      </c>
      <c r="B454" t="n">
        <v>198</v>
      </c>
      <c r="C454" t="n">
        <v>183</v>
      </c>
      <c r="D454" t="n">
        <v>38</v>
      </c>
      <c r="E454" t="inlineStr">
        <is>
          <t>6.5453836476829732</t>
        </is>
      </c>
      <c r="F454" t="inlineStr">
        <is>
          <t>1.9316909294512969</t>
        </is>
      </c>
      <c r="G454" t="inlineStr">
        <is>
          <t>0.12597984322508871</t>
        </is>
      </c>
    </row>
    <row r="455">
      <c r="A455" t="inlineStr">
        <is>
          <t>2024-01-30</t>
        </is>
      </c>
      <c r="B455" t="n">
        <v>148</v>
      </c>
      <c r="C455" t="n">
        <v>152</v>
      </c>
      <c r="D455" t="n">
        <v>370</v>
      </c>
      <c r="E455" t="inlineStr">
        <is>
          <t>5.7935570150118707</t>
        </is>
      </c>
      <c r="F455" t="inlineStr">
        <is>
          <t>1.7893810501613443</t>
        </is>
      </c>
      <c r="G455" t="inlineStr">
        <is>
          <t>0.23467292461131789</t>
        </is>
      </c>
    </row>
    <row r="456">
      <c r="A456" t="inlineStr">
        <is>
          <t>2024-01-31</t>
        </is>
      </c>
      <c r="B456" t="n">
        <v>619</v>
      </c>
      <c r="C456" t="n">
        <v>498</v>
      </c>
      <c r="D456" t="n">
        <v>571</v>
      </c>
      <c r="E456" t="inlineStr">
        <is>
          <t>25.529124825329088</t>
        </is>
      </c>
      <c r="F456" t="inlineStr">
        <is>
          <t>5.1030585106382862</t>
        </is>
      </c>
      <c r="G456" t="inlineStr">
        <is>
          <t>0.33244680851063829</t>
        </is>
      </c>
    </row>
    <row r="457">
      <c r="A457" t="inlineStr">
        <is>
          <t>2024-02-01</t>
        </is>
      </c>
      <c r="B457" t="n">
        <v>250</v>
      </c>
      <c r="C457" t="n">
        <v>310</v>
      </c>
      <c r="D457" t="n">
        <v>305</v>
      </c>
      <c r="E457" t="inlineStr">
        <is>
          <t>7.3877340599836296</t>
        </is>
      </c>
      <c r="F457" t="inlineStr">
        <is>
          <t>2.7419034373137205</t>
        </is>
      </c>
      <c r="G457" t="inlineStr">
        <is>
          <t>0.21855752036559159</t>
        </is>
      </c>
    </row>
    <row r="458">
      <c r="A458" t="inlineStr">
        <is>
          <t>2024-02-05</t>
        </is>
      </c>
      <c r="B458" t="n">
        <v>269</v>
      </c>
      <c r="C458" t="n">
        <v>337</v>
      </c>
      <c r="D458" t="n">
        <v>68</v>
      </c>
      <c r="E458" t="inlineStr">
        <is>
          <t>7.8891404267012595</t>
        </is>
      </c>
      <c r="F458" t="inlineStr">
        <is>
          <t>3.0180761781794594</t>
        </is>
      </c>
      <c r="G458" t="inlineStr">
        <is>
          <t>0.14525500322789439</t>
        </is>
      </c>
    </row>
    <row r="459">
      <c r="A459" t="inlineStr">
        <is>
          <t>2024-02-06</t>
        </is>
      </c>
      <c r="B459" t="n">
        <v>252</v>
      </c>
      <c r="C459" t="n">
        <v>269</v>
      </c>
      <c r="D459" t="n">
        <v>148</v>
      </c>
      <c r="E459" t="inlineStr">
        <is>
          <t>7.4471117158700366</t>
        </is>
      </c>
      <c r="F459" t="inlineStr">
        <is>
          <t>2.435530085959869</t>
        </is>
      </c>
      <c r="G459" t="inlineStr">
        <is>
          <t>0.1790830945558739</t>
        </is>
      </c>
    </row>
    <row r="460">
      <c r="A460" t="inlineStr">
        <is>
          <t>2024-02-07</t>
        </is>
      </c>
      <c r="B460" t="n">
        <v>204</v>
      </c>
      <c r="C460" t="n">
        <v>130</v>
      </c>
      <c r="D460" t="n">
        <v>179</v>
      </c>
      <c r="E460" t="inlineStr">
        <is>
          <t>6.6198741317076299</t>
        </is>
      </c>
      <c r="F460" t="inlineStr">
        <is>
          <t>1.6824644549763086</t>
        </is>
      </c>
      <c r="G460" t="inlineStr">
        <is>
          <t>0.18957345971564249</t>
        </is>
      </c>
    </row>
    <row r="461">
      <c r="A461" t="inlineStr">
        <is>
          <t>2024-02-08</t>
        </is>
      </c>
      <c r="B461" t="n">
        <v>41</v>
      </c>
      <c r="C461" t="n">
        <v>193</v>
      </c>
      <c r="D461" t="n">
        <v>538</v>
      </c>
      <c r="E461" t="inlineStr">
        <is>
          <t>3.7040403581319898</t>
        </is>
      </c>
      <c r="F461" t="inlineStr">
        <is>
          <t>2.0000000000000098</t>
        </is>
      </c>
      <c r="G461" t="inlineStr">
        <is>
          <t>0.30434782608695771</t>
        </is>
      </c>
    </row>
    <row r="462">
      <c r="A462" t="inlineStr">
        <is>
          <t>2024-02-09</t>
        </is>
      </c>
      <c r="B462" t="n">
        <v>294</v>
      </c>
      <c r="C462" t="n">
        <v>145</v>
      </c>
      <c r="D462" t="n">
        <v>212</v>
      </c>
      <c r="E462" t="inlineStr">
        <is>
          <t>8.4261902569294005</t>
        </is>
      </c>
      <c r="F462" t="inlineStr">
        <is>
          <t>1.7531556802244039</t>
        </is>
      </c>
      <c r="G462" t="inlineStr">
        <is>
          <t>0.19635343618513801</t>
        </is>
      </c>
    </row>
    <row r="463">
      <c r="A463" t="inlineStr">
        <is>
          <t>2024-02-13</t>
        </is>
      </c>
      <c r="B463" t="n">
        <v>235</v>
      </c>
      <c r="C463" t="n">
        <v>195</v>
      </c>
      <c r="D463" t="n">
        <v>113</v>
      </c>
      <c r="E463" t="inlineStr">
        <is>
          <t>7.158625913302112</t>
        </is>
      </c>
      <c r="F463" t="inlineStr">
        <is>
          <t>2.0092165898617682</t>
        </is>
      </c>
      <c r="G463" t="inlineStr">
        <is>
          <t>0.16589861751152701</t>
        </is>
      </c>
    </row>
    <row r="464">
      <c r="A464" t="inlineStr">
        <is>
          <t>2024-02-15</t>
        </is>
      </c>
      <c r="B464" t="n">
        <v>280</v>
      </c>
      <c r="C464" t="n">
        <v>577</v>
      </c>
      <c r="D464" t="n">
        <v>247</v>
      </c>
      <c r="E464" t="inlineStr">
        <is>
          <t>8.0995122040255723</t>
        </is>
      </c>
      <c r="F464" t="inlineStr">
        <is>
          <t>7.4608408903545032</t>
        </is>
      </c>
      <c r="G464" t="inlineStr">
        <is>
          <t>0.20610057708160989</t>
        </is>
      </c>
    </row>
    <row r="465">
      <c r="A465" t="inlineStr">
        <is>
          <t>2024-02-16</t>
        </is>
      </c>
      <c r="B465" t="n">
        <v>400</v>
      </c>
      <c r="C465" t="n">
        <v>461</v>
      </c>
      <c r="D465" t="n">
        <v>325</v>
      </c>
      <c r="E465" t="inlineStr">
        <is>
          <t>11.280661496173677</t>
        </is>
      </c>
      <c r="F465" t="inlineStr">
        <is>
          <t>4.4624424329045791</t>
        </is>
      </c>
      <c r="G465" t="inlineStr">
        <is>
          <t>0.2223280927425722</t>
        </is>
      </c>
    </row>
    <row r="466">
      <c r="A466" t="inlineStr">
        <is>
          <t>2024-02-19</t>
        </is>
      </c>
      <c r="B466" t="n">
        <v>133</v>
      </c>
      <c r="C466" t="n">
        <v>140</v>
      </c>
      <c r="D466" t="n">
        <v>256</v>
      </c>
      <c r="E466" t="inlineStr">
        <is>
          <t>5.6599886347411754</t>
        </is>
      </c>
      <c r="F466" t="inlineStr">
        <is>
          <t>1.7125064867669917</t>
        </is>
      </c>
      <c r="G466" t="inlineStr">
        <is>
          <t>0.20757654385054289</t>
        </is>
      </c>
    </row>
    <row r="467">
      <c r="A467" t="inlineStr">
        <is>
          <t>2024-02-20</t>
        </is>
      </c>
      <c r="B467" t="n">
        <v>514</v>
      </c>
      <c r="C467" t="n">
        <v>516</v>
      </c>
      <c r="D467" t="n">
        <v>468</v>
      </c>
      <c r="E467" t="inlineStr">
        <is>
          <t>15.498290429805987</t>
        </is>
      </c>
      <c r="F467" t="inlineStr">
        <is>
          <t>5.5077452667814031</t>
        </is>
      </c>
      <c r="G467" t="inlineStr">
        <is>
          <t>0.26773761713520311</t>
        </is>
      </c>
    </row>
    <row r="468">
      <c r="A468" t="inlineStr">
        <is>
          <t>2024-02-21</t>
        </is>
      </c>
      <c r="B468" t="n">
        <v>509</v>
      </c>
      <c r="C468" t="n">
        <v>572</v>
      </c>
      <c r="D468" t="n">
        <v>598</v>
      </c>
      <c r="E468" t="inlineStr">
        <is>
          <t>15.202257591557004</t>
        </is>
      </c>
      <c r="F468" t="inlineStr">
        <is>
          <t>7.3314474304573372</t>
        </is>
      </c>
      <c r="G468" t="inlineStr">
        <is>
          <t>0.3536067892503536</t>
        </is>
      </c>
    </row>
    <row r="469">
      <c r="A469" t="inlineStr">
        <is>
          <t>2024-02-22</t>
        </is>
      </c>
      <c r="B469" t="n">
        <v>283</v>
      </c>
      <c r="C469" t="n">
        <v>499</v>
      </c>
      <c r="D469" t="n">
        <v>242</v>
      </c>
      <c r="E469" t="inlineStr">
        <is>
          <t>8.2309192326868708</t>
        </is>
      </c>
      <c r="F469" t="inlineStr">
        <is>
          <t>5.1187551187551188</t>
        </is>
      </c>
      <c r="G469" t="inlineStr">
        <is>
          <t>0.20475020475019889</t>
        </is>
      </c>
    </row>
    <row r="470">
      <c r="A470" t="inlineStr">
        <is>
          <t>2024-02-26</t>
        </is>
      </c>
      <c r="B470" t="n">
        <v>356</v>
      </c>
      <c r="C470" t="n">
        <v>185</v>
      </c>
      <c r="D470" t="n">
        <v>134</v>
      </c>
      <c r="E470" t="inlineStr">
        <is>
          <t>9.7994160899653977</t>
        </is>
      </c>
      <c r="F470" t="inlineStr">
        <is>
          <t>1.9375109094082581</t>
        </is>
      </c>
      <c r="G470" t="inlineStr">
        <is>
          <t>0.1745505323791138</t>
        </is>
      </c>
    </row>
    <row r="471">
      <c r="A471" t="inlineStr">
        <is>
          <t>2024-02-27</t>
        </is>
      </c>
      <c r="B471" t="n">
        <v>28</v>
      </c>
      <c r="C471" t="n">
        <v>139</v>
      </c>
      <c r="D471" t="n">
        <v>86</v>
      </c>
      <c r="E471" t="inlineStr">
        <is>
          <t>3.459049823881378</t>
        </is>
      </c>
      <c r="F471" t="inlineStr">
        <is>
          <t>1.7047655947307154</t>
        </is>
      </c>
      <c r="G471" t="inlineStr">
        <is>
          <t>0.15497869043006249</t>
        </is>
      </c>
    </row>
    <row r="472">
      <c r="A472" t="inlineStr">
        <is>
          <t>2024-02-28</t>
        </is>
      </c>
      <c r="B472" t="n">
        <v>94</v>
      </c>
      <c r="C472" t="n">
        <v>90</v>
      </c>
      <c r="D472" t="n">
        <v>5</v>
      </c>
      <c r="E472" t="inlineStr">
        <is>
          <t>5.066494931251655</t>
        </is>
      </c>
      <c r="F472" t="inlineStr">
        <is>
          <t>1.4680268723563159</t>
        </is>
      </c>
      <c r="G472" t="inlineStr">
        <is>
          <t>0.074645434187611701</t>
        </is>
      </c>
    </row>
    <row r="473">
      <c r="A473" t="inlineStr">
        <is>
          <t>2024-02-29</t>
        </is>
      </c>
      <c r="B473" t="n">
        <v>368</v>
      </c>
      <c r="C473" t="n">
        <v>402</v>
      </c>
      <c r="D473" t="n">
        <v>524</v>
      </c>
      <c r="E473" t="inlineStr">
        <is>
          <t>10.123142095627545</t>
        </is>
      </c>
      <c r="F473" t="inlineStr">
        <is>
          <t>3.708565802428621</t>
        </is>
      </c>
      <c r="G473" t="inlineStr">
        <is>
          <t>0.29537249753856432</t>
        </is>
      </c>
    </row>
    <row r="474">
      <c r="A474" t="inlineStr">
        <is>
          <t>2024-03-02</t>
        </is>
      </c>
      <c r="B474" t="n">
        <v>1</v>
      </c>
      <c r="C474" t="n">
        <v>29</v>
      </c>
      <c r="D474" t="n">
        <v>289</v>
      </c>
      <c r="E474" t="inlineStr">
        <is>
          <t>1.5862412561223929</t>
        </is>
      </c>
      <c r="F474" t="inlineStr">
        <is>
          <t>1.0867775399308266</t>
        </is>
      </c>
      <c r="G474" t="inlineStr">
        <is>
          <t>0.2140622427136524</t>
        </is>
      </c>
    </row>
    <row r="475">
      <c r="A475" t="inlineStr">
        <is>
          <t>2024-03-04</t>
        </is>
      </c>
      <c r="B475" t="n">
        <v>227</v>
      </c>
      <c r="C475" t="n">
        <v>420</v>
      </c>
      <c r="D475" t="n">
        <v>99</v>
      </c>
      <c r="E475" t="inlineStr">
        <is>
          <t>7.0262155910608692</t>
        </is>
      </c>
      <c r="F475" t="inlineStr">
        <is>
          <t>3.926467963590933</t>
        </is>
      </c>
      <c r="G475" t="inlineStr">
        <is>
          <t>0.16062823487417049</t>
        </is>
      </c>
    </row>
    <row r="476">
      <c r="A476" t="inlineStr">
        <is>
          <t>2024-03-05</t>
        </is>
      </c>
      <c r="B476" t="n">
        <v>493</v>
      </c>
      <c r="C476" t="n">
        <v>561</v>
      </c>
      <c r="D476" t="n">
        <v>6</v>
      </c>
      <c r="E476" t="inlineStr">
        <is>
          <t>14.343253524279666</t>
        </is>
      </c>
      <c r="F476" t="inlineStr">
        <is>
          <t>6.8987341772151876</t>
        </is>
      </c>
      <c r="G476" t="inlineStr">
        <is>
          <t>0.084388185654003606</t>
        </is>
      </c>
    </row>
    <row r="477">
      <c r="A477" t="inlineStr">
        <is>
          <t>2024-03-06</t>
        </is>
      </c>
      <c r="B477" t="n">
        <v>104</v>
      </c>
      <c r="C477" t="n">
        <v>328</v>
      </c>
      <c r="D477" t="n">
        <v>20</v>
      </c>
      <c r="E477" t="inlineStr">
        <is>
          <t>5.1544889996481507</t>
        </is>
      </c>
      <c r="F477" t="inlineStr">
        <is>
          <t>2.8890705914418007</t>
        </is>
      </c>
      <c r="G477" t="inlineStr">
        <is>
          <t>0.1090215317525226</t>
        </is>
      </c>
    </row>
    <row r="478">
      <c r="A478" t="inlineStr">
        <is>
          <t>2024-03-07</t>
        </is>
      </c>
      <c r="B478" t="n">
        <v>458</v>
      </c>
      <c r="C478" t="n">
        <v>591</v>
      </c>
      <c r="D478" t="n">
        <v>537</v>
      </c>
      <c r="E478" t="inlineStr">
        <is>
          <t>12.95976027777966</t>
        </is>
      </c>
      <c r="F478" t="inlineStr">
        <is>
          <t>8.0659150043365244</t>
        </is>
      </c>
      <c r="G478" t="inlineStr">
        <is>
          <t>0.30355594102341837</t>
        </is>
      </c>
    </row>
    <row r="479">
      <c r="A479" t="inlineStr">
        <is>
          <t>2024-03-11</t>
        </is>
      </c>
      <c r="B479" t="n">
        <v>537</v>
      </c>
      <c r="C479" t="n">
        <v>585</v>
      </c>
      <c r="D479" t="n">
        <v>132</v>
      </c>
      <c r="E479" t="inlineStr">
        <is>
          <t>17.175716691775413</t>
        </is>
      </c>
      <c r="F479" t="inlineStr">
        <is>
          <t>7.6730769230769189</t>
        </is>
      </c>
      <c r="G479" t="inlineStr">
        <is>
          <t>0.1730769230769296</t>
        </is>
      </c>
    </row>
    <row r="480">
      <c r="A480" t="inlineStr">
        <is>
          <t>2024-03-12</t>
        </is>
      </c>
      <c r="B480" t="n">
        <v>33</v>
      </c>
      <c r="C480" t="n">
        <v>71</v>
      </c>
      <c r="D480" t="n">
        <v>238</v>
      </c>
      <c r="E480" t="inlineStr">
        <is>
          <t>3.5747320068098647</t>
        </is>
      </c>
      <c r="F480" t="inlineStr">
        <is>
          <t>1.3556258472661544</t>
        </is>
      </c>
      <c r="G480" t="inlineStr">
        <is>
          <t>0.203343877089918</t>
        </is>
      </c>
    </row>
    <row r="481">
      <c r="A481" t="inlineStr">
        <is>
          <t>2024-03-13</t>
        </is>
      </c>
      <c r="B481" t="n">
        <v>46</v>
      </c>
      <c r="C481" t="n">
        <v>262</v>
      </c>
      <c r="D481" t="n">
        <v>101</v>
      </c>
      <c r="E481" t="inlineStr">
        <is>
          <t>3.8376324485220361</t>
        </is>
      </c>
      <c r="F481" t="inlineStr">
        <is>
          <t>2.3854194585901838</t>
        </is>
      </c>
      <c r="G481" t="inlineStr">
        <is>
          <t>0.16081479496112719</t>
        </is>
      </c>
    </row>
    <row r="482">
      <c r="A482" t="inlineStr">
        <is>
          <t>2024-03-14</t>
        </is>
      </c>
      <c r="B482" t="n">
        <v>189</v>
      </c>
      <c r="C482" t="n">
        <v>555</v>
      </c>
      <c r="D482" t="n">
        <v>246</v>
      </c>
      <c r="E482" t="inlineStr">
        <is>
          <t>6.380748370630327</t>
        </is>
      </c>
      <c r="F482" t="inlineStr">
        <is>
          <t>6.6620879120879053</t>
        </is>
      </c>
      <c r="G482" t="inlineStr">
        <is>
          <t>0.20604395604395409</t>
        </is>
      </c>
    </row>
    <row r="483">
      <c r="A483" t="inlineStr">
        <is>
          <t>2024-03-18</t>
        </is>
      </c>
      <c r="B483" t="n">
        <v>328</v>
      </c>
      <c r="C483" t="n">
        <v>250</v>
      </c>
      <c r="D483" t="n">
        <v>98</v>
      </c>
      <c r="E483" t="inlineStr">
        <is>
          <t>9.2009069140839763</t>
        </is>
      </c>
      <c r="F483" t="inlineStr">
        <is>
          <t>2.3326210826210869</t>
        </is>
      </c>
      <c r="G483" t="inlineStr">
        <is>
          <t>0.16025641025640619</t>
        </is>
      </c>
    </row>
    <row r="484">
      <c r="A484" t="inlineStr">
        <is>
          <t>2024-03-19</t>
        </is>
      </c>
      <c r="B484" t="n">
        <v>196</v>
      </c>
      <c r="C484" t="n">
        <v>172</v>
      </c>
      <c r="D484" t="n">
        <v>65</v>
      </c>
      <c r="E484" t="inlineStr">
        <is>
          <t>6.5041981642693338</t>
        </is>
      </c>
      <c r="F484" t="inlineStr">
        <is>
          <t>1.8670496512104977</t>
        </is>
      </c>
      <c r="G484" t="inlineStr">
        <is>
          <t>0.14361920393926719</t>
        </is>
      </c>
    </row>
    <row r="485">
      <c r="A485" t="inlineStr">
        <is>
          <t>2024-03-20</t>
        </is>
      </c>
      <c r="B485" t="n">
        <v>120</v>
      </c>
      <c r="C485" t="n">
        <v>387</v>
      </c>
      <c r="D485" t="n">
        <v>158</v>
      </c>
      <c r="E485" t="inlineStr">
        <is>
          <t>5.4844105629747437</t>
        </is>
      </c>
      <c r="F485" t="inlineStr">
        <is>
          <t>3.590010405827281</t>
        </is>
      </c>
      <c r="G485" t="inlineStr">
        <is>
          <t>0.18210197710717699</t>
        </is>
      </c>
    </row>
    <row r="486">
      <c r="A486" t="inlineStr">
        <is>
          <t>2024-03-21</t>
        </is>
      </c>
    </row>
    <row r="487">
      <c r="A487" t="inlineStr">
        <is>
          <t>2024-03-26</t>
        </is>
      </c>
      <c r="B487" t="n">
        <v>82</v>
      </c>
      <c r="C487" t="n">
        <v>342</v>
      </c>
      <c r="D487" t="n">
        <v>200</v>
      </c>
      <c r="E487" t="inlineStr">
        <is>
          <t>4.7034667715891683</t>
        </is>
      </c>
      <c r="F487" t="inlineStr">
        <is>
          <t>3.0912235192390733</t>
        </is>
      </c>
      <c r="G487" t="inlineStr">
        <is>
          <t>0.1945525291828806</t>
        </is>
      </c>
    </row>
    <row r="488">
      <c r="A488" t="inlineStr">
        <is>
          <t>2024-03-27</t>
        </is>
      </c>
      <c r="B488" t="n">
        <v>132</v>
      </c>
      <c r="C488" t="n">
        <v>192</v>
      </c>
      <c r="D488" t="n">
        <v>224</v>
      </c>
      <c r="E488" t="inlineStr">
        <is>
          <t>5.659245509388688</t>
        </is>
      </c>
      <c r="F488" t="inlineStr">
        <is>
          <t>1.9948703334283275</t>
        </is>
      </c>
      <c r="G488" t="inlineStr">
        <is>
          <t>0.19948703334282139</t>
        </is>
      </c>
    </row>
    <row r="489">
      <c r="A489" t="inlineStr">
        <is>
          <t>2024-03-28</t>
        </is>
      </c>
      <c r="B489" t="n">
        <v>460</v>
      </c>
      <c r="C489" t="n">
        <v>611</v>
      </c>
      <c r="D489" t="n">
        <v>10</v>
      </c>
      <c r="E489" t="inlineStr">
        <is>
          <t>12.996791137083148</t>
        </is>
      </c>
      <c r="F489" t="inlineStr">
        <is>
          <t>9.1205211726384476</t>
        </is>
      </c>
      <c r="G489" t="inlineStr">
        <is>
          <t>0.0930665425779445</t>
        </is>
      </c>
    </row>
    <row r="490">
      <c r="A490" t="inlineStr">
        <is>
          <t>2024-04-01</t>
        </is>
      </c>
      <c r="B490" t="n">
        <v>393</v>
      </c>
      <c r="C490" t="n">
        <v>409</v>
      </c>
      <c r="D490" t="n">
        <v>359</v>
      </c>
      <c r="E490" t="inlineStr">
        <is>
          <t>11.159151282079131</t>
        </is>
      </c>
      <c r="F490" t="inlineStr">
        <is>
          <t>3.8113570741097234</t>
        </is>
      </c>
      <c r="G490" t="inlineStr">
        <is>
          <t>0.2309913378248403</t>
        </is>
      </c>
    </row>
    <row r="491">
      <c r="A491" t="inlineStr">
        <is>
          <t>2024-04-02</t>
        </is>
      </c>
      <c r="B491" t="n">
        <v>195</v>
      </c>
      <c r="C491" t="n">
        <v>230</v>
      </c>
      <c r="D491" t="n">
        <v>470</v>
      </c>
      <c r="E491" t="inlineStr">
        <is>
          <t>6.440742936355087</t>
        </is>
      </c>
      <c r="F491" t="inlineStr">
        <is>
          <t>2.241715399610134</t>
        </is>
      </c>
      <c r="G491" t="inlineStr">
        <is>
          <t>0.26803118908381929</t>
        </is>
      </c>
    </row>
    <row r="492">
      <c r="A492" t="inlineStr">
        <is>
          <t>2024-04-03</t>
        </is>
      </c>
      <c r="B492" t="n">
        <v>102</v>
      </c>
      <c r="C492" t="n">
        <v>312</v>
      </c>
      <c r="D492" t="n">
        <v>97</v>
      </c>
      <c r="E492" t="inlineStr">
        <is>
          <t>5.1236156169597162</t>
        </is>
      </c>
      <c r="F492" t="inlineStr">
        <is>
          <t>2.7537624079410898</t>
        </is>
      </c>
      <c r="G492" t="inlineStr">
        <is>
          <t>0.16010246557796989</t>
        </is>
      </c>
    </row>
    <row r="493">
      <c r="A493" t="inlineStr">
        <is>
          <t>2024-04-05</t>
        </is>
      </c>
      <c r="B493" t="n">
        <v>696</v>
      </c>
      <c r="C493" t="n">
        <v>634</v>
      </c>
      <c r="D493" t="n">
        <v>354</v>
      </c>
      <c r="E493" t="inlineStr">
        <is>
          <t>45.772955459822242</t>
        </is>
      </c>
      <c r="F493" t="inlineStr">
        <is>
          <t>10.064935064935074</t>
        </is>
      </c>
      <c r="G493" t="inlineStr">
        <is>
          <t>0.22918258212375639</t>
        </is>
      </c>
    </row>
    <row r="494">
      <c r="A494" t="inlineStr">
        <is>
          <t>2024-04-08</t>
        </is>
      </c>
      <c r="B494" t="n">
        <v>158</v>
      </c>
      <c r="C494" t="n">
        <v>117</v>
      </c>
      <c r="D494" t="n">
        <v>377</v>
      </c>
      <c r="E494" t="inlineStr">
        <is>
          <t>5.932327198835428</t>
        </is>
      </c>
      <c r="F494" t="inlineStr">
        <is>
          <t>1.6167379933428327</t>
        </is>
      </c>
      <c r="G494" t="inlineStr">
        <is>
          <t>0.2377555872563005</t>
        </is>
      </c>
    </row>
    <row r="495">
      <c r="A495" t="inlineStr">
        <is>
          <t>2024-04-09</t>
        </is>
      </c>
      <c r="B495" t="n">
        <v>168</v>
      </c>
      <c r="C495" t="n">
        <v>137</v>
      </c>
      <c r="D495" t="n">
        <v>299</v>
      </c>
      <c r="E495" t="inlineStr">
        <is>
          <t>6.1647394516904601</t>
        </is>
      </c>
      <c r="F495" t="inlineStr">
        <is>
          <t>1.6970070965751309</t>
        </is>
      </c>
      <c r="G495" t="inlineStr">
        <is>
          <t>0.2159827213822946</t>
        </is>
      </c>
    </row>
    <row r="496">
      <c r="A496" t="inlineStr">
        <is>
          <t>2024-04-12</t>
        </is>
      </c>
      <c r="B496" t="n">
        <v>217</v>
      </c>
      <c r="C496" t="n">
        <v>216</v>
      </c>
      <c r="D496" t="n">
        <v>125</v>
      </c>
      <c r="E496" t="inlineStr">
        <is>
          <t>6.8937264886475162</t>
        </is>
      </c>
      <c r="F496" t="inlineStr">
        <is>
          <t>2.1325209444021409</t>
        </is>
      </c>
      <c r="G496" t="inlineStr">
        <is>
          <t>0.17136329017516699</t>
        </is>
      </c>
    </row>
    <row r="497">
      <c r="A497" t="inlineStr">
        <is>
          <t>2024-04-15</t>
        </is>
      </c>
      <c r="B497" t="n">
        <v>205</v>
      </c>
      <c r="C497" t="n">
        <v>390</v>
      </c>
      <c r="D497" t="n">
        <v>294</v>
      </c>
      <c r="E497" t="inlineStr">
        <is>
          <t>6.6319068406900676</t>
        </is>
      </c>
      <c r="F497" t="inlineStr">
        <is>
          <t>3.6168132942326494</t>
        </is>
      </c>
      <c r="G497" t="inlineStr">
        <is>
          <t>0.21505376344086469</t>
        </is>
      </c>
    </row>
    <row r="498">
      <c r="A498" t="inlineStr">
        <is>
          <t>2024-04-25</t>
        </is>
      </c>
      <c r="B498" t="n">
        <v>481</v>
      </c>
      <c r="C498" t="n">
        <v>706</v>
      </c>
      <c r="D498" t="n">
        <v>625</v>
      </c>
      <c r="E498" t="inlineStr">
        <is>
          <t>13.744828927164191</t>
        </is>
      </c>
      <c r="F498" t="inlineStr">
        <is>
          <t>28.992520897492291</t>
        </is>
      </c>
      <c r="G498" t="inlineStr">
        <is>
          <t>0.39595248570170571</t>
        </is>
      </c>
    </row>
    <row r="499">
      <c r="A499" t="inlineStr">
        <is>
          <t>2024-04-29</t>
        </is>
      </c>
      <c r="B499" t="n">
        <v>36</v>
      </c>
      <c r="C499" t="n">
        <v>135</v>
      </c>
      <c r="D499" t="n">
        <v>206</v>
      </c>
      <c r="E499" t="inlineStr">
        <is>
          <t>3.637460520247509</t>
        </is>
      </c>
      <c r="F499" t="inlineStr">
        <is>
          <t>1.6927083333333479</t>
        </is>
      </c>
      <c r="G499" t="inlineStr">
        <is>
          <t>0.19531250000000119</t>
        </is>
      </c>
    </row>
    <row r="500">
      <c r="A500" t="inlineStr">
        <is>
          <t>2024-05-02</t>
        </is>
      </c>
      <c r="B500" t="n">
        <v>640</v>
      </c>
      <c r="C500" t="n">
        <v>691</v>
      </c>
      <c r="D500" t="n">
        <v>466</v>
      </c>
      <c r="E500" t="inlineStr">
        <is>
          <t>27.404931564836065</t>
        </is>
      </c>
      <c r="F500" t="inlineStr">
        <is>
          <t>21.227134146341463</t>
        </is>
      </c>
      <c r="G500" t="inlineStr">
        <is>
          <t>0.26676829268293328</t>
        </is>
      </c>
    </row>
    <row r="501">
      <c r="A501" t="inlineStr">
        <is>
          <t>2024-05-07</t>
        </is>
      </c>
      <c r="B501" t="n">
        <v>258</v>
      </c>
      <c r="C501" t="n">
        <v>395</v>
      </c>
      <c r="D501" t="n">
        <v>171</v>
      </c>
      <c r="E501" t="inlineStr">
        <is>
          <t>7.604123124537991</t>
        </is>
      </c>
      <c r="F501" t="inlineStr">
        <is>
          <t>3.6363636363636411</t>
        </is>
      </c>
      <c r="G501" t="inlineStr">
        <is>
          <t>0.1859504132231416</t>
        </is>
      </c>
    </row>
    <row r="502">
      <c r="A502" t="inlineStr">
        <is>
          <t>2024-05-08</t>
        </is>
      </c>
      <c r="B502" t="n">
        <v>380</v>
      </c>
      <c r="C502" t="n">
        <v>441</v>
      </c>
      <c r="D502" t="n">
        <v>274</v>
      </c>
      <c r="E502" t="inlineStr">
        <is>
          <t>10.53783488023247</t>
        </is>
      </c>
      <c r="F502" t="inlineStr">
        <is>
          <t>4.2388758782201457</t>
        </is>
      </c>
      <c r="G502" t="inlineStr">
        <is>
          <t>0.21077283372365471</t>
        </is>
      </c>
    </row>
    <row r="503">
      <c r="A503" t="inlineStr">
        <is>
          <t>2024-05-09</t>
        </is>
      </c>
      <c r="B503" t="n">
        <v>567</v>
      </c>
      <c r="C503" t="n">
        <v>606</v>
      </c>
      <c r="D503" t="n">
        <v>162</v>
      </c>
      <c r="E503" t="inlineStr">
        <is>
          <t>20.176838782574382</t>
        </is>
      </c>
      <c r="F503" t="inlineStr">
        <is>
          <t>8.9743589743589958</t>
        </is>
      </c>
      <c r="G503" t="inlineStr">
        <is>
          <t>0.18315018315018311</t>
        </is>
      </c>
    </row>
    <row r="504">
      <c r="A504" t="inlineStr">
        <is>
          <t>2024-05-13</t>
        </is>
      </c>
      <c r="B504" t="n">
        <v>278</v>
      </c>
      <c r="C504" t="n">
        <v>314</v>
      </c>
      <c r="D504" t="n">
        <v>77</v>
      </c>
      <c r="E504" t="inlineStr">
        <is>
          <t>7.9754963667196446</t>
        </is>
      </c>
      <c r="F504" t="inlineStr">
        <is>
          <t>2.7610441767068465</t>
        </is>
      </c>
      <c r="G504" t="inlineStr">
        <is>
          <t>0.1506024096385504</t>
        </is>
      </c>
    </row>
    <row r="505">
      <c r="A505" t="inlineStr">
        <is>
          <t>2024-05-14</t>
        </is>
      </c>
      <c r="B505" t="n">
        <v>241</v>
      </c>
      <c r="C505" t="n">
        <v>56</v>
      </c>
      <c r="D505" t="n">
        <v>298</v>
      </c>
      <c r="E505" t="inlineStr">
        <is>
          <t>7.3053101036500516</t>
        </is>
      </c>
      <c r="F505" t="inlineStr">
        <is>
          <t>1.2303043384416243</t>
        </is>
      </c>
      <c r="G505" t="inlineStr">
        <is>
          <t>0.21584286639326569</t>
        </is>
      </c>
    </row>
    <row r="506">
      <c r="A506" t="inlineStr">
        <is>
          <t>2024-05-15</t>
        </is>
      </c>
      <c r="B506" t="n">
        <v>130</v>
      </c>
      <c r="C506" t="n">
        <v>199</v>
      </c>
      <c r="D506" t="n">
        <v>177</v>
      </c>
      <c r="E506" t="inlineStr">
        <is>
          <t>5.6166017761941456</t>
        </is>
      </c>
      <c r="F506" t="inlineStr">
        <is>
          <t>2.0264793299108348</t>
        </is>
      </c>
      <c r="G506" t="inlineStr">
        <is>
          <t>0.18913807079168249</t>
        </is>
      </c>
    </row>
    <row r="507">
      <c r="A507" t="inlineStr">
        <is>
          <t>2024-05-16</t>
        </is>
      </c>
      <c r="B507" t="n">
        <v>291</v>
      </c>
      <c r="C507" t="n">
        <v>641</v>
      </c>
      <c r="D507" t="n">
        <v>518</v>
      </c>
      <c r="E507" t="inlineStr">
        <is>
          <t>8.3699096139509628</t>
        </is>
      </c>
      <c r="F507" t="inlineStr">
        <is>
          <t>10.994983277591979</t>
        </is>
      </c>
      <c r="G507" t="inlineStr">
        <is>
          <t>0.29264214046822268</t>
        </is>
      </c>
    </row>
    <row r="508">
      <c r="A508" t="inlineStr">
        <is>
          <t>2024-05-17</t>
        </is>
      </c>
      <c r="B508" t="n">
        <v>556</v>
      </c>
      <c r="C508" t="n">
        <v>394</v>
      </c>
      <c r="D508" t="n">
        <v>67</v>
      </c>
      <c r="E508" t="inlineStr">
        <is>
          <t>18.84450160312262</t>
        </is>
      </c>
      <c r="F508" t="inlineStr">
        <is>
          <t>3.6357786357786392</t>
        </is>
      </c>
      <c r="G508" t="inlineStr">
        <is>
          <t>0.14478764478765019</t>
        </is>
      </c>
    </row>
    <row r="509">
      <c r="A509" t="inlineStr">
        <is>
          <t>2024-05-18</t>
        </is>
      </c>
      <c r="B509" t="n">
        <v>6</v>
      </c>
      <c r="C509" t="n">
        <v>2</v>
      </c>
      <c r="D509" t="n">
        <v>141</v>
      </c>
      <c r="E509" t="inlineStr">
        <is>
          <t>2.112646300757945</t>
        </is>
      </c>
      <c r="F509" t="inlineStr">
        <is>
          <t>0.56940899273513335</t>
        </is>
      </c>
      <c r="G509" t="inlineStr">
        <is>
          <t>0.17671313567641411</t>
        </is>
      </c>
    </row>
    <row r="510">
      <c r="A510" t="inlineStr">
        <is>
          <t>2024-05-21</t>
        </is>
      </c>
      <c r="B510" t="n">
        <v>651</v>
      </c>
      <c r="C510" t="n">
        <v>679</v>
      </c>
      <c r="D510" t="n">
        <v>323</v>
      </c>
      <c r="E510" t="inlineStr">
        <is>
          <t>31.139856352708904</t>
        </is>
      </c>
      <c r="F510" t="inlineStr">
        <is>
          <t>17.003231017770595</t>
        </is>
      </c>
      <c r="G510" t="inlineStr">
        <is>
          <t>0.2221324717285991</t>
        </is>
      </c>
    </row>
    <row r="511">
      <c r="A511" t="inlineStr">
        <is>
          <t>2024-05-22</t>
        </is>
      </c>
      <c r="B511" t="n">
        <v>58</v>
      </c>
      <c r="C511" t="n">
        <v>176</v>
      </c>
      <c r="D511" t="n">
        <v>387</v>
      </c>
      <c r="E511" t="inlineStr">
        <is>
          <t>4.1678490351863191</t>
        </is>
      </c>
      <c r="F511" t="inlineStr">
        <is>
          <t>1.8953550453817465</t>
        </is>
      </c>
      <c r="G511" t="inlineStr">
        <is>
          <t>0.2402562733582502</t>
        </is>
      </c>
    </row>
    <row r="512">
      <c r="A512" t="inlineStr">
        <is>
          <t>2024-05-23</t>
        </is>
      </c>
      <c r="B512" t="n">
        <v>424</v>
      </c>
      <c r="C512" t="n">
        <v>612</v>
      </c>
      <c r="D512" t="n">
        <v>477</v>
      </c>
      <c r="E512" t="inlineStr">
        <is>
          <t>11.699553691882452</t>
        </is>
      </c>
      <c r="F512" t="inlineStr">
        <is>
          <t>9.1263650546021982</t>
        </is>
      </c>
      <c r="G512" t="inlineStr">
        <is>
          <t>0.27301092043681308</t>
        </is>
      </c>
    </row>
    <row r="513">
      <c r="A513" t="inlineStr">
        <is>
          <t>2024-05-24</t>
        </is>
      </c>
      <c r="B513" t="n">
        <v>404</v>
      </c>
      <c r="C513" t="n">
        <v>490</v>
      </c>
      <c r="D513" t="n">
        <v>520</v>
      </c>
      <c r="E513" t="inlineStr">
        <is>
          <t>11.382630497615285</t>
        </is>
      </c>
      <c r="F513" t="inlineStr">
        <is>
          <t>4.8852266038846448</t>
        </is>
      </c>
      <c r="G513" t="inlineStr">
        <is>
          <t>0.29429075927015891</t>
        </is>
      </c>
    </row>
    <row r="514">
      <c r="A514" t="inlineStr">
        <is>
          <t>2024-05-27</t>
        </is>
      </c>
      <c r="B514" t="n">
        <v>26</v>
      </c>
      <c r="C514" t="n">
        <v>208</v>
      </c>
      <c r="D514" t="n">
        <v>248</v>
      </c>
      <c r="E514" t="inlineStr">
        <is>
          <t>3.318540883121345</t>
        </is>
      </c>
      <c r="F514" t="inlineStr">
        <is>
          <t>2.0611473720371003</t>
        </is>
      </c>
      <c r="G514" t="inlineStr">
        <is>
          <t>0.2061147372037081</t>
        </is>
      </c>
    </row>
    <row r="515">
      <c r="A515" t="inlineStr">
        <is>
          <t>2024-05-28</t>
        </is>
      </c>
      <c r="B515" t="n">
        <v>55</v>
      </c>
      <c r="C515" t="n">
        <v>191</v>
      </c>
      <c r="D515" t="n">
        <v>189</v>
      </c>
      <c r="E515" t="inlineStr">
        <is>
          <t>4.0863702164478379</t>
        </is>
      </c>
      <c r="F515" t="inlineStr">
        <is>
          <t>1.993865030674842</t>
        </is>
      </c>
      <c r="G515" t="inlineStr">
        <is>
          <t>0.19171779141104289</t>
        </is>
      </c>
    </row>
    <row r="516">
      <c r="A516" t="inlineStr">
        <is>
          <t>2024-05-29</t>
        </is>
      </c>
      <c r="B516" t="n">
        <v>431</v>
      </c>
      <c r="C516" t="n">
        <v>579</v>
      </c>
      <c r="D516" t="n">
        <v>95</v>
      </c>
      <c r="E516" t="inlineStr">
        <is>
          <t>11.968605930915624</t>
        </is>
      </c>
      <c r="F516" t="inlineStr">
        <is>
          <t>7.4868751426614821</t>
        </is>
      </c>
      <c r="G516" t="inlineStr">
        <is>
          <t>0.1597808719470479</t>
        </is>
      </c>
    </row>
    <row r="517">
      <c r="A517" t="inlineStr">
        <is>
          <t>2024-05-30</t>
        </is>
      </c>
      <c r="B517" t="n">
        <v>32</v>
      </c>
      <c r="C517" t="n">
        <v>437</v>
      </c>
      <c r="D517" t="n">
        <v>239</v>
      </c>
      <c r="E517" t="inlineStr">
        <is>
          <t>3.5331787567627249</t>
        </is>
      </c>
      <c r="F517" t="inlineStr">
        <is>
          <t>4.1412084181941768</t>
        </is>
      </c>
      <c r="G517" t="inlineStr">
        <is>
          <t>0.20366598778004841</t>
        </is>
      </c>
    </row>
    <row r="518">
      <c r="A518" t="inlineStr">
        <is>
          <t>2024-05-31</t>
        </is>
      </c>
      <c r="B518" t="n">
        <v>299</v>
      </c>
      <c r="C518" t="n">
        <v>434</v>
      </c>
      <c r="D518" t="n">
        <v>13</v>
      </c>
      <c r="E518" t="inlineStr">
        <is>
          <t>8.5066141687049388</t>
        </is>
      </c>
      <c r="F518" t="inlineStr">
        <is>
          <t>4.0553156727739523</t>
        </is>
      </c>
      <c r="G518" t="inlineStr">
        <is>
          <t>0.099194771852027297</t>
        </is>
      </c>
    </row>
    <row r="519">
      <c r="A519" t="inlineStr">
        <is>
          <t>2024-06-04</t>
        </is>
      </c>
      <c r="B519" t="n">
        <v>588</v>
      </c>
      <c r="C519" t="n">
        <v>547</v>
      </c>
      <c r="D519" t="n">
        <v>348</v>
      </c>
      <c r="E519" t="inlineStr">
        <is>
          <t>21.961677200421438</t>
        </is>
      </c>
      <c r="F519" t="inlineStr">
        <is>
          <t>6.5085975282106299</t>
        </is>
      </c>
      <c r="G519" t="inlineStr">
        <is>
          <t>0.22837184309510861</t>
        </is>
      </c>
    </row>
    <row r="520">
      <c r="A520" t="inlineStr">
        <is>
          <t>2024-06-05</t>
        </is>
      </c>
    </row>
    <row r="521">
      <c r="A521" t="inlineStr">
        <is>
          <t>2024-06-06</t>
        </is>
      </c>
      <c r="B521" t="n">
        <v>575</v>
      </c>
      <c r="C521" t="n">
        <v>536</v>
      </c>
      <c r="D521" t="n">
        <v>331</v>
      </c>
      <c r="E521" t="inlineStr">
        <is>
          <t>20.779906886644767</t>
        </is>
      </c>
      <c r="F521" t="inlineStr">
        <is>
          <t>6.0606060606060623</t>
        </is>
      </c>
      <c r="G521" t="inlineStr">
        <is>
          <t>0.2237136465324373</t>
        </is>
      </c>
    </row>
    <row r="522">
      <c r="A522" t="inlineStr">
        <is>
          <t>2024-06-10</t>
        </is>
      </c>
      <c r="B522" t="n">
        <v>676</v>
      </c>
      <c r="C522" t="n">
        <v>514</v>
      </c>
      <c r="D522" t="n">
        <v>155</v>
      </c>
      <c r="E522" t="inlineStr">
        <is>
          <t>37.667198967037372</t>
        </is>
      </c>
      <c r="F522" t="inlineStr">
        <is>
          <t>5.4525627044711023</t>
        </is>
      </c>
      <c r="G522" t="inlineStr">
        <is>
          <t>0.1817520901490367</t>
        </is>
      </c>
    </row>
    <row r="523">
      <c r="A523" t="inlineStr">
        <is>
          <t>2024-06-11</t>
        </is>
      </c>
      <c r="B523" t="n">
        <v>312</v>
      </c>
      <c r="C523" t="n">
        <v>367</v>
      </c>
      <c r="D523" t="n">
        <v>228</v>
      </c>
      <c r="E523" t="inlineStr">
        <is>
          <t>8.7363306550523419</t>
        </is>
      </c>
      <c r="F523" t="inlineStr">
        <is>
          <t>3.3509152963077731</t>
        </is>
      </c>
      <c r="G523" t="inlineStr">
        <is>
          <t>0.20167545764816441</t>
        </is>
      </c>
    </row>
    <row r="524">
      <c r="A524" t="inlineStr">
        <is>
          <t>2024-06-13</t>
        </is>
      </c>
      <c r="B524" t="n">
        <v>479</v>
      </c>
      <c r="C524" t="n">
        <v>689</v>
      </c>
      <c r="D524" t="n">
        <v>478</v>
      </c>
      <c r="E524" t="inlineStr">
        <is>
          <t>13.66114386465066</t>
        </is>
      </c>
      <c r="F524" t="inlineStr">
        <is>
          <t>20.491803278688529</t>
        </is>
      </c>
      <c r="G524" t="inlineStr">
        <is>
          <t>0.27322404371584808</t>
        </is>
      </c>
    </row>
    <row r="525">
      <c r="A525" t="inlineStr">
        <is>
          <t>2024-06-18</t>
        </is>
      </c>
      <c r="B525" t="n">
        <v>39</v>
      </c>
      <c r="C525" t="n">
        <v>316</v>
      </c>
      <c r="D525" t="n">
        <v>342</v>
      </c>
      <c r="E525" t="inlineStr">
        <is>
          <t>3.6945185235518023</t>
        </is>
      </c>
      <c r="F525" t="inlineStr">
        <is>
          <t>2.7735753908219865</t>
        </is>
      </c>
      <c r="G525" t="inlineStr">
        <is>
          <t>0.2269288956127094</t>
        </is>
      </c>
    </row>
    <row r="526">
      <c r="A526" t="inlineStr">
        <is>
          <t>2024-06-19</t>
        </is>
      </c>
      <c r="B526" t="n">
        <v>413</v>
      </c>
      <c r="C526" t="n">
        <v>472</v>
      </c>
      <c r="D526" t="n">
        <v>225</v>
      </c>
      <c r="E526" t="inlineStr">
        <is>
          <t>11.549697669678958</t>
        </is>
      </c>
      <c r="F526" t="inlineStr">
        <is>
          <t>4.6471600688468282</t>
        </is>
      </c>
      <c r="G526" t="inlineStr">
        <is>
          <t>0.20080321285141051</t>
        </is>
      </c>
    </row>
    <row r="527">
      <c r="A527" t="inlineStr">
        <is>
          <t>2024-06-20</t>
        </is>
      </c>
      <c r="B527" t="n">
        <v>256</v>
      </c>
      <c r="C527" t="n">
        <v>491</v>
      </c>
      <c r="D527" t="n">
        <v>18</v>
      </c>
      <c r="E527" t="inlineStr">
        <is>
          <t>7.5435293517680062</t>
        </is>
      </c>
      <c r="F527" t="inlineStr">
        <is>
          <t>4.8858773181169717</t>
        </is>
      </c>
      <c r="G527" t="inlineStr">
        <is>
          <t>0.1069900142653393</t>
        </is>
      </c>
    </row>
    <row r="528">
      <c r="A528" t="inlineStr">
        <is>
          <t>2024-06-24</t>
        </is>
      </c>
      <c r="B528" t="n">
        <v>355</v>
      </c>
      <c r="C528" t="n">
        <v>236</v>
      </c>
      <c r="D528" t="n">
        <v>131</v>
      </c>
      <c r="E528" t="inlineStr">
        <is>
          <t>9.7984891499908304</t>
        </is>
      </c>
      <c r="F528" t="inlineStr">
        <is>
          <t>2.2687944626033367</t>
        </is>
      </c>
      <c r="G528" t="inlineStr">
        <is>
          <t>0.1730436454527986</t>
        </is>
      </c>
    </row>
    <row r="529">
      <c r="A529" t="inlineStr">
        <is>
          <t>2024-06-25</t>
        </is>
      </c>
      <c r="B529" t="n">
        <v>248</v>
      </c>
      <c r="C529" t="n">
        <v>37</v>
      </c>
      <c r="D529" t="n">
        <v>356</v>
      </c>
      <c r="E529" t="inlineStr">
        <is>
          <t>7.3768354647730483</t>
        </is>
      </c>
      <c r="F529" t="inlineStr">
        <is>
          <t>1.1475786091347258</t>
        </is>
      </c>
      <c r="G529" t="inlineStr">
        <is>
          <t>0.2295157218269451</t>
        </is>
      </c>
    </row>
    <row r="530">
      <c r="A530" t="inlineStr">
        <is>
          <t>2024-06-26</t>
        </is>
      </c>
      <c r="B530" t="n">
        <v>391</v>
      </c>
      <c r="C530" t="n">
        <v>637</v>
      </c>
      <c r="D530" t="n">
        <v>422</v>
      </c>
      <c r="E530" t="inlineStr">
        <is>
          <t>11.047347582442766</t>
        </is>
      </c>
      <c r="F530" t="inlineStr">
        <is>
          <t>10.22556390977444</t>
        </is>
      </c>
      <c r="G530" t="inlineStr">
        <is>
          <t>0.25062656641604009</t>
        </is>
      </c>
    </row>
    <row r="531">
      <c r="A531" t="inlineStr">
        <is>
          <t>2024-06-27</t>
        </is>
      </c>
      <c r="B531" t="n">
        <v>520</v>
      </c>
      <c r="C531" t="n">
        <v>594</v>
      </c>
      <c r="D531" t="n">
        <v>374</v>
      </c>
      <c r="E531" t="inlineStr">
        <is>
          <t>15.828630928387868</t>
        </is>
      </c>
      <c r="F531" t="inlineStr">
        <is>
          <t>8.2094594594594437</t>
        </is>
      </c>
      <c r="G531" t="inlineStr">
        <is>
          <t>0.2364864864864922</t>
        </is>
      </c>
    </row>
    <row r="532">
      <c r="A532" t="inlineStr">
        <is>
          <t>2024-06-28</t>
        </is>
      </c>
      <c r="B532" t="n">
        <v>618</v>
      </c>
      <c r="C532" t="n">
        <v>543</v>
      </c>
      <c r="D532" t="n">
        <v>332</v>
      </c>
      <c r="E532" t="inlineStr">
        <is>
          <t>25.42292044243468</t>
        </is>
      </c>
      <c r="F532" t="inlineStr">
        <is>
          <t>6.3413906296627864</t>
        </is>
      </c>
      <c r="G532" t="inlineStr">
        <is>
          <t>0.22381378692927481</t>
        </is>
      </c>
    </row>
    <row r="533">
      <c r="A533" t="inlineStr">
        <is>
          <t>2024-07-01</t>
        </is>
      </c>
      <c r="B533" t="n">
        <v>119</v>
      </c>
      <c r="C533" t="n">
        <v>260</v>
      </c>
      <c r="D533" t="n">
        <v>277</v>
      </c>
      <c r="E533" t="inlineStr">
        <is>
          <t>5.469503876485482</t>
        </is>
      </c>
      <c r="F533" t="inlineStr">
        <is>
          <t>2.3817925194072185</t>
        </is>
      </c>
      <c r="G533" t="inlineStr">
        <is>
          <t>0.2117148906139712</t>
        </is>
      </c>
    </row>
    <row r="534">
      <c r="A534" t="inlineStr">
        <is>
          <t>2024-07-02</t>
        </is>
      </c>
      <c r="B534" t="n">
        <v>334</v>
      </c>
      <c r="C534" t="n">
        <v>336</v>
      </c>
      <c r="D534" t="n">
        <v>1</v>
      </c>
      <c r="E534" t="inlineStr">
        <is>
          <t>9.3792738706639796</t>
        </is>
      </c>
      <c r="F534" t="inlineStr">
        <is>
          <t>2.9831387808041407</t>
        </is>
      </c>
      <c r="G534" t="inlineStr">
        <is>
          <t>0.043233895373970703</t>
        </is>
      </c>
    </row>
    <row r="535">
      <c r="A535" t="inlineStr">
        <is>
          <t>2024-07-03</t>
        </is>
      </c>
      <c r="B535" t="n">
        <v>261</v>
      </c>
      <c r="C535" t="n">
        <v>466</v>
      </c>
      <c r="D535" t="n">
        <v>326</v>
      </c>
      <c r="E535" t="inlineStr">
        <is>
          <t>7.6347691514057257</t>
        </is>
      </c>
      <c r="F535" t="inlineStr">
        <is>
          <t>4.5897079276773303</t>
        </is>
      </c>
      <c r="G535" t="inlineStr">
        <is>
          <t>0.2225312934631464</t>
        </is>
      </c>
    </row>
    <row r="536">
      <c r="A536" t="inlineStr">
        <is>
          <t>2024-07-04</t>
        </is>
      </c>
      <c r="B536" t="n">
        <v>486</v>
      </c>
      <c r="C536" t="n">
        <v>662</v>
      </c>
      <c r="D536" t="n">
        <v>214</v>
      </c>
      <c r="E536" t="inlineStr">
        <is>
          <t>14.012825228016011</t>
        </is>
      </c>
      <c r="F536" t="inlineStr">
        <is>
          <t>14.246250986582476</t>
        </is>
      </c>
      <c r="G536" t="inlineStr">
        <is>
          <t>0.19731649565903711</t>
        </is>
      </c>
    </row>
    <row r="537">
      <c r="A537" t="inlineStr">
        <is>
          <t>2024-07-10</t>
        </is>
      </c>
      <c r="B537" t="n">
        <v>528</v>
      </c>
      <c r="C537" t="n">
        <v>473</v>
      </c>
      <c r="D537" t="n">
        <v>580</v>
      </c>
      <c r="E537" t="inlineStr">
        <is>
          <t>16.491436585079381</t>
        </is>
      </c>
      <c r="F537" t="inlineStr">
        <is>
          <t>4.6657183499288699</t>
        </is>
      </c>
      <c r="G537" t="inlineStr">
        <is>
          <t>0.34139402560455678</t>
        </is>
      </c>
    </row>
    <row r="538">
      <c r="A538" t="inlineStr">
        <is>
          <t>2024-07-15</t>
        </is>
      </c>
      <c r="B538" t="n">
        <v>73</v>
      </c>
      <c r="C538" t="n">
        <v>206</v>
      </c>
      <c r="D538" t="n">
        <v>90</v>
      </c>
      <c r="E538" t="inlineStr">
        <is>
          <t>4.5363836275192968</t>
        </is>
      </c>
      <c r="F538" t="inlineStr">
        <is>
          <t>2.0490880432335108</t>
        </is>
      </c>
      <c r="G538" t="inlineStr">
        <is>
          <t>0.1576221571718055</t>
        </is>
      </c>
    </row>
    <row r="539">
      <c r="A539" t="inlineStr">
        <is>
          <t>2024-07-16</t>
        </is>
      </c>
      <c r="B539" t="n">
        <v>31</v>
      </c>
      <c r="C539" t="n">
        <v>296</v>
      </c>
      <c r="D539" t="n">
        <v>413</v>
      </c>
      <c r="E539" t="inlineStr">
        <is>
          <t>3.5327797291538494</t>
        </is>
      </c>
      <c r="F539" t="inlineStr">
        <is>
          <t>2.6228602981778022</t>
        </is>
      </c>
      <c r="G539" t="inlineStr">
        <is>
          <t>0.24848150193263549</t>
        </is>
      </c>
    </row>
    <row r="540">
      <c r="A540" t="inlineStr">
        <is>
          <t>2024-07-18</t>
        </is>
      </c>
    </row>
    <row r="541">
      <c r="A541" t="inlineStr">
        <is>
          <t>2024-07-19</t>
        </is>
      </c>
      <c r="B541" t="n">
        <v>69</v>
      </c>
      <c r="C541" t="n">
        <v>5</v>
      </c>
      <c r="D541" t="n">
        <v>56</v>
      </c>
      <c r="E541" t="inlineStr">
        <is>
          <t>4.460087264332989</t>
        </is>
      </c>
      <c r="F541" t="inlineStr">
        <is>
          <t>0.74341067808063854</t>
        </is>
      </c>
      <c r="G541" t="inlineStr">
        <is>
          <t>0.1351655778328375</t>
        </is>
      </c>
    </row>
    <row r="542">
      <c r="A542" t="inlineStr">
        <is>
          <t>2024-07-22</t>
        </is>
      </c>
      <c r="B542" t="n">
        <v>630</v>
      </c>
      <c r="C542" t="n">
        <v>571</v>
      </c>
      <c r="D542" t="n">
        <v>217</v>
      </c>
      <c r="E542" t="inlineStr">
        <is>
          <t>26.834474310598331</t>
        </is>
      </c>
      <c r="F542" t="inlineStr">
        <is>
          <t>7.2457394172622296</t>
        </is>
      </c>
      <c r="G542" t="inlineStr">
        <is>
          <t>0.19791094007696661</t>
        </is>
      </c>
    </row>
    <row r="543">
      <c r="A543" t="inlineStr">
        <is>
          <t>2024-07-23</t>
        </is>
      </c>
      <c r="B543" t="n">
        <v>95</v>
      </c>
      <c r="C543" t="n">
        <v>240</v>
      </c>
      <c r="D543" t="n">
        <v>151</v>
      </c>
      <c r="E543" t="inlineStr">
        <is>
          <t>5.0738872089140363</t>
        </is>
      </c>
      <c r="F543" t="inlineStr">
        <is>
          <t>2.2798552472858842</t>
        </is>
      </c>
      <c r="G543" t="inlineStr">
        <is>
          <t>0.18094089264173699</t>
        </is>
      </c>
    </row>
    <row r="544">
      <c r="A544" t="inlineStr">
        <is>
          <t>2024-07-24</t>
        </is>
      </c>
    </row>
    <row r="545">
      <c r="A545" t="inlineStr">
        <is>
          <t>2024-07-25</t>
        </is>
      </c>
      <c r="B545" t="n">
        <v>598</v>
      </c>
      <c r="C545" t="n">
        <v>655</v>
      </c>
      <c r="D545" t="n">
        <v>552</v>
      </c>
      <c r="E545" t="inlineStr">
        <is>
          <t>22.776082637569694</t>
        </is>
      </c>
      <c r="F545" t="inlineStr">
        <is>
          <t>13.226324237560208</t>
        </is>
      </c>
      <c r="G545" t="inlineStr">
        <is>
          <t>0.32102728731942209</t>
        </is>
      </c>
    </row>
    <row r="546">
      <c r="A546" t="inlineStr">
        <is>
          <t>2024-07-26</t>
        </is>
      </c>
      <c r="B546" t="n">
        <v>49</v>
      </c>
      <c r="C546" t="n">
        <v>212</v>
      </c>
      <c r="D546" t="n">
        <v>160</v>
      </c>
      <c r="E546" t="inlineStr">
        <is>
          <t>3.8840270410051048</t>
        </is>
      </c>
      <c r="F546" t="inlineStr">
        <is>
          <t>2.093370991859135</t>
        </is>
      </c>
      <c r="G546" t="inlineStr">
        <is>
          <t>0.18275461040039301</t>
        </is>
      </c>
    </row>
    <row r="547">
      <c r="A547" t="inlineStr">
        <is>
          <t>2024-07-31</t>
        </is>
      </c>
      <c r="B547" t="n">
        <v>12</v>
      </c>
      <c r="C547" t="n">
        <v>231</v>
      </c>
      <c r="D547" t="n">
        <v>24</v>
      </c>
      <c r="E547" t="inlineStr">
        <is>
          <t>2.6088753940921565</t>
        </is>
      </c>
      <c r="F547" t="inlineStr">
        <is>
          <t>2.2419042347080054</t>
        </is>
      </c>
      <c r="G547" t="inlineStr">
        <is>
          <t>0.1107113202325032</t>
        </is>
      </c>
    </row>
    <row r="548">
      <c r="A548" t="inlineStr">
        <is>
          <t>2024-08-01</t>
        </is>
      </c>
      <c r="B548" t="n">
        <v>302</v>
      </c>
      <c r="C548" t="n">
        <v>487</v>
      </c>
      <c r="D548" t="n">
        <v>312</v>
      </c>
      <c r="E548" t="inlineStr">
        <is>
          <t>8.5265451118144302</t>
        </is>
      </c>
      <c r="F548" t="inlineStr">
        <is>
          <t>4.8458149779735438</t>
        </is>
      </c>
      <c r="G548" t="inlineStr">
        <is>
          <t>0.22026431718061459</t>
        </is>
      </c>
    </row>
    <row r="549">
      <c r="A549" t="inlineStr">
        <is>
          <t>2024-08-05</t>
        </is>
      </c>
      <c r="B549" t="n">
        <v>353</v>
      </c>
      <c r="C549" t="n">
        <v>510</v>
      </c>
      <c r="D549" t="n">
        <v>120</v>
      </c>
      <c r="E549" t="inlineStr">
        <is>
          <t>9.7699837304075352</t>
        </is>
      </c>
      <c r="F549" t="inlineStr">
        <is>
          <t>5.3386341047848802</t>
        </is>
      </c>
      <c r="G549" t="inlineStr">
        <is>
          <t>0.17038193951441791</t>
        </is>
      </c>
    </row>
    <row r="550">
      <c r="A550" t="inlineStr">
        <is>
          <t>2024-08-08</t>
        </is>
      </c>
      <c r="B550" t="n">
        <v>191</v>
      </c>
      <c r="C550" t="n">
        <v>563</v>
      </c>
      <c r="D550" t="n">
        <v>31</v>
      </c>
      <c r="E550" t="inlineStr">
        <is>
          <t>6.4146592495876966</t>
        </is>
      </c>
      <c r="F550" t="inlineStr">
        <is>
          <t>6.9626026147765394</t>
        </is>
      </c>
      <c r="G550" t="inlineStr">
        <is>
          <t>0.1216175129218538</t>
        </is>
      </c>
    </row>
    <row r="551">
      <c r="A551" t="inlineStr">
        <is>
          <t>2024-08-12</t>
        </is>
      </c>
      <c r="B551" t="n">
        <v>372</v>
      </c>
      <c r="C551" t="n">
        <v>214</v>
      </c>
      <c r="D551" t="n">
        <v>7</v>
      </c>
      <c r="E551" t="inlineStr">
        <is>
          <t>10.245838399673209</t>
        </is>
      </c>
      <c r="F551" t="inlineStr">
        <is>
          <t>2.1070518266779912</t>
        </is>
      </c>
      <c r="G551" t="inlineStr">
        <is>
          <t>0.084961767204757802</t>
        </is>
      </c>
    </row>
    <row r="552">
      <c r="A552" t="inlineStr">
        <is>
          <t>2024-08-13</t>
        </is>
      </c>
      <c r="B552" t="n">
        <v>430</v>
      </c>
      <c r="C552" t="n">
        <v>253</v>
      </c>
      <c r="D552" t="n">
        <v>55</v>
      </c>
      <c r="E552" t="inlineStr">
        <is>
          <t>11.9640584882111</t>
        </is>
      </c>
      <c r="F552" t="inlineStr">
        <is>
          <t>2.3590204448438552</t>
        </is>
      </c>
      <c r="G552" t="inlineStr">
        <is>
          <t>0.13480116827679681</t>
        </is>
      </c>
    </row>
    <row r="553">
      <c r="A553" t="inlineStr">
        <is>
          <t>2024-08-14</t>
        </is>
      </c>
      <c r="B553" t="n">
        <v>187</v>
      </c>
      <c r="C553" t="n">
        <v>470</v>
      </c>
      <c r="D553" t="n">
        <v>459</v>
      </c>
      <c r="E553" t="inlineStr">
        <is>
          <t>6.3766399662126911</t>
        </is>
      </c>
      <c r="F553" t="inlineStr">
        <is>
          <t>4.6188509200150474</t>
        </is>
      </c>
      <c r="G553" t="inlineStr">
        <is>
          <t>0.2628614344724059</t>
        </is>
      </c>
    </row>
    <row r="554">
      <c r="A554" t="inlineStr">
        <is>
          <t>2024-08-23</t>
        </is>
      </c>
      <c r="B554" t="n">
        <v>63</v>
      </c>
      <c r="C554" t="n">
        <v>321</v>
      </c>
      <c r="D554" t="n">
        <v>102</v>
      </c>
      <c r="E554" t="inlineStr">
        <is>
          <t>4.3111784424964252</t>
        </is>
      </c>
      <c r="F554" t="inlineStr">
        <is>
          <t>2.8396836808052091</t>
        </is>
      </c>
      <c r="G554" t="inlineStr">
        <is>
          <t>0.16175413371674641</t>
        </is>
      </c>
    </row>
    <row r="555">
      <c r="A555" t="inlineStr">
        <is>
          <t>2024-08-26</t>
        </is>
      </c>
      <c r="B555" t="n">
        <v>8</v>
      </c>
      <c r="C555" t="n">
        <v>48</v>
      </c>
      <c r="D555" t="n">
        <v>205</v>
      </c>
      <c r="E555" t="inlineStr">
        <is>
          <t>2.2689760693293941</t>
        </is>
      </c>
      <c r="F555" t="inlineStr">
        <is>
          <t>1.1927998265018434</t>
        </is>
      </c>
      <c r="G555" t="inlineStr">
        <is>
          <t>0.19518542615484211</t>
        </is>
      </c>
    </row>
    <row r="556">
      <c r="A556" t="inlineStr">
        <is>
          <t>2024-09-02</t>
        </is>
      </c>
      <c r="B556" t="n">
        <v>85</v>
      </c>
      <c r="C556" t="n">
        <v>101</v>
      </c>
      <c r="D556" t="n">
        <v>2</v>
      </c>
      <c r="E556" t="inlineStr">
        <is>
          <t>4.8186394453037922</t>
        </is>
      </c>
      <c r="F556" t="inlineStr">
        <is>
          <t>1.5338085979693288</t>
        </is>
      </c>
      <c r="G556" t="inlineStr">
        <is>
          <t>0.064808813998700102</t>
        </is>
      </c>
    </row>
    <row r="557">
      <c r="A557" t="inlineStr">
        <is>
          <t>2024-09-03</t>
        </is>
      </c>
      <c r="B557" t="n">
        <v>134</v>
      </c>
      <c r="C557" t="n">
        <v>89</v>
      </c>
      <c r="D557" t="n">
        <v>230</v>
      </c>
      <c r="E557" t="inlineStr">
        <is>
          <t>5.6605528737199027</t>
        </is>
      </c>
      <c r="F557" t="inlineStr">
        <is>
          <t>1.4635377239465226</t>
        </is>
      </c>
      <c r="G557" t="inlineStr">
        <is>
          <t>0.20186727226848639</t>
        </is>
      </c>
    </row>
    <row r="558">
      <c r="A558" t="inlineStr">
        <is>
          <t>2024-09-04</t>
        </is>
      </c>
      <c r="B558" t="n">
        <v>232</v>
      </c>
      <c r="C558" t="n">
        <v>379</v>
      </c>
      <c r="D558" t="n">
        <v>21</v>
      </c>
      <c r="E558" t="inlineStr">
        <is>
          <t>7.0880611962494093</t>
        </is>
      </c>
      <c r="F558" t="inlineStr">
        <is>
          <t>3.5197817189631588</t>
        </is>
      </c>
      <c r="G558" t="inlineStr">
        <is>
          <t>0.109140518417464</t>
        </is>
      </c>
    </row>
    <row r="559">
      <c r="A559" t="inlineStr">
        <is>
          <t>2024-09-05</t>
        </is>
      </c>
      <c r="B559" t="n">
        <v>164</v>
      </c>
      <c r="C559" t="n">
        <v>517</v>
      </c>
      <c r="D559" t="n">
        <v>211</v>
      </c>
      <c r="E559" t="inlineStr">
        <is>
          <t>6.0111533677329287</t>
        </is>
      </c>
      <c r="F559" t="inlineStr">
        <is>
          <t>5.5229142185663793</t>
        </is>
      </c>
      <c r="G559" t="inlineStr">
        <is>
          <t>0.19584802193497289</t>
        </is>
      </c>
    </row>
    <row r="560">
      <c r="A560" t="inlineStr">
        <is>
          <t>2024-09-16</t>
        </is>
      </c>
      <c r="B560" t="n">
        <v>2</v>
      </c>
      <c r="C560" t="n">
        <v>13</v>
      </c>
      <c r="D560" t="n">
        <v>42</v>
      </c>
      <c r="E560" t="inlineStr">
        <is>
          <t>1.654070786353415</t>
        </is>
      </c>
      <c r="F560" t="inlineStr">
        <is>
          <t>0.88794926004228092</t>
        </is>
      </c>
      <c r="G560" t="inlineStr">
        <is>
          <t>0.1268498942917595</t>
        </is>
      </c>
    </row>
    <row r="561">
      <c r="A561" t="inlineStr">
        <is>
          <t>2024-09-17</t>
        </is>
      </c>
      <c r="B561" t="n">
        <v>60</v>
      </c>
      <c r="C561" t="n">
        <v>363</v>
      </c>
      <c r="D561" t="n">
        <v>262</v>
      </c>
      <c r="E561" t="inlineStr">
        <is>
          <t>4.2150461389983267</t>
        </is>
      </c>
      <c r="F561" t="inlineStr">
        <is>
          <t>3.2767836393214087</t>
        </is>
      </c>
      <c r="G561" t="inlineStr">
        <is>
          <t>0.2091564025098781</t>
        </is>
      </c>
    </row>
    <row r="562">
      <c r="A562" t="inlineStr">
        <is>
          <t>2024-09-18</t>
        </is>
      </c>
      <c r="B562" t="n">
        <v>18</v>
      </c>
      <c r="C562" t="n">
        <v>23</v>
      </c>
      <c r="D562" t="n">
        <v>161</v>
      </c>
      <c r="E562" t="inlineStr">
        <is>
          <t>2.9730437470586639</t>
        </is>
      </c>
      <c r="F562" t="inlineStr">
        <is>
          <t>1.044659179942544</t>
        </is>
      </c>
      <c r="G562" t="inlineStr">
        <is>
          <t>0.18281535648994221</t>
        </is>
      </c>
    </row>
    <row r="563">
      <c r="A563" t="inlineStr">
        <is>
          <t>2024-09-23</t>
        </is>
      </c>
      <c r="B563" t="n">
        <v>279</v>
      </c>
      <c r="C563" t="n">
        <v>522</v>
      </c>
      <c r="D563" t="n">
        <v>94</v>
      </c>
      <c r="E563" t="inlineStr">
        <is>
          <t>8.0504106288595381</t>
        </is>
      </c>
      <c r="F563" t="inlineStr">
        <is>
          <t>5.6313086594651942</t>
        </is>
      </c>
      <c r="G563" t="inlineStr">
        <is>
          <t>0.15937666017353941</t>
        </is>
      </c>
    </row>
    <row r="564">
      <c r="A564" t="inlineStr">
        <is>
          <t>2024-09-24</t>
        </is>
      </c>
      <c r="B564" t="n">
        <v>81</v>
      </c>
      <c r="C564" t="n">
        <v>211</v>
      </c>
      <c r="D564" t="n">
        <v>115</v>
      </c>
      <c r="E564" t="inlineStr">
        <is>
          <t>4.6861711667414738</t>
        </is>
      </c>
      <c r="F564" t="inlineStr">
        <is>
          <t>2.0925808497146434</t>
        </is>
      </c>
      <c r="G564" t="inlineStr">
        <is>
          <t>0.16909744240118599</t>
        </is>
      </c>
    </row>
    <row r="565">
      <c r="A565" t="inlineStr">
        <is>
          <t>2024-09-25</t>
        </is>
      </c>
      <c r="B565" t="n">
        <v>44</v>
      </c>
      <c r="C565" t="n">
        <v>225</v>
      </c>
      <c r="D565" t="n">
        <v>401</v>
      </c>
      <c r="E565" t="inlineStr">
        <is>
          <t>3.7614217016671772</t>
        </is>
      </c>
      <c r="F565" t="inlineStr">
        <is>
          <t>2.1981004070556374</t>
        </is>
      </c>
      <c r="G565" t="inlineStr">
        <is>
          <t>0.24423337856173061</t>
        </is>
      </c>
    </row>
    <row r="566">
      <c r="A566" t="inlineStr">
        <is>
          <t>2024-09-26</t>
        </is>
      </c>
      <c r="B566" t="n">
        <v>287</v>
      </c>
      <c r="C566" t="n">
        <v>559</v>
      </c>
      <c r="D566" t="n">
        <v>446</v>
      </c>
      <c r="E566" t="inlineStr">
        <is>
          <t>8.2951697917575125</t>
        </is>
      </c>
      <c r="F566" t="inlineStr">
        <is>
          <t>6.8518518518518725</t>
        </is>
      </c>
      <c r="G566" t="inlineStr">
        <is>
          <t>0.25925925925926557</t>
        </is>
      </c>
    </row>
    <row r="567">
      <c r="A567" t="inlineStr">
        <is>
          <t>2024-09-27</t>
        </is>
      </c>
      <c r="B567" t="n">
        <v>9</v>
      </c>
      <c r="C567" t="n">
        <v>32</v>
      </c>
      <c r="D567" t="n">
        <v>15</v>
      </c>
      <c r="E567" t="inlineStr">
        <is>
          <t>2.5160157746573102</t>
        </is>
      </c>
      <c r="F567" t="inlineStr">
        <is>
          <t>1.1137360782990251</t>
        </is>
      </c>
      <c r="G567" t="inlineStr">
        <is>
          <t>0.1012487343908143</t>
        </is>
      </c>
    </row>
    <row r="568">
      <c r="A568" t="inlineStr">
        <is>
          <t>2024-10-03</t>
        </is>
      </c>
      <c r="B568" t="n">
        <v>620</v>
      </c>
      <c r="C568" t="n">
        <v>704</v>
      </c>
      <c r="D568" t="n">
        <v>436</v>
      </c>
      <c r="E568" t="inlineStr">
        <is>
          <t>25.596618428391679</t>
        </is>
      </c>
      <c r="F568" t="inlineStr">
        <is>
          <t>27.931526390870182</t>
        </is>
      </c>
      <c r="G568" t="inlineStr">
        <is>
          <t>0.25677603423680612</t>
        </is>
      </c>
    </row>
    <row r="569">
      <c r="A569" t="inlineStr">
        <is>
          <t>2024-10-07</t>
        </is>
      </c>
      <c r="B569" t="n">
        <v>101</v>
      </c>
      <c r="C569" t="n">
        <v>42</v>
      </c>
      <c r="D569" t="n">
        <v>112</v>
      </c>
      <c r="E569" t="inlineStr">
        <is>
          <t>5.1167691027728166</t>
        </is>
      </c>
      <c r="F569" t="inlineStr">
        <is>
          <t>1.160714285714274</t>
        </is>
      </c>
      <c r="G569" t="inlineStr">
        <is>
          <t>0.16581632653061359</t>
        </is>
      </c>
    </row>
    <row r="570">
      <c r="A570" t="inlineStr">
        <is>
          <t>2024-10-08</t>
        </is>
      </c>
      <c r="B570" t="n">
        <v>504</v>
      </c>
      <c r="C570" t="n">
        <v>218</v>
      </c>
      <c r="D570" t="n">
        <v>268</v>
      </c>
      <c r="E570" t="inlineStr">
        <is>
          <t>14.760073296952465</t>
        </is>
      </c>
      <c r="F570" t="inlineStr">
        <is>
          <t>2.1377049180327812</t>
        </is>
      </c>
      <c r="G570" t="inlineStr">
        <is>
          <t>0.20983606557377341</t>
        </is>
      </c>
    </row>
    <row r="571">
      <c r="A571" t="inlineStr">
        <is>
          <t>2024-10-09</t>
        </is>
      </c>
      <c r="B571" t="n">
        <v>174</v>
      </c>
      <c r="C571" t="n">
        <v>418</v>
      </c>
      <c r="D571" t="n">
        <v>329</v>
      </c>
      <c r="E571" t="inlineStr">
        <is>
          <t>6.2325583253603929</t>
        </is>
      </c>
      <c r="F571" t="inlineStr">
        <is>
          <t>3.8968946620661642</t>
        </is>
      </c>
      <c r="G571" t="inlineStr">
        <is>
          <t>0.223259590014212</t>
        </is>
      </c>
    </row>
    <row r="572">
      <c r="A572" t="inlineStr">
        <is>
          <t>2024-10-10</t>
        </is>
      </c>
      <c r="B572" t="n">
        <v>207</v>
      </c>
      <c r="C572" t="n">
        <v>520</v>
      </c>
      <c r="D572" t="n">
        <v>560</v>
      </c>
      <c r="E572" t="inlineStr">
        <is>
          <t>6.683158440729362</t>
        </is>
      </c>
      <c r="F572" t="inlineStr">
        <is>
          <t>5.5735580038885431</t>
        </is>
      </c>
      <c r="G572" t="inlineStr">
        <is>
          <t>0.32404406999351909</t>
        </is>
      </c>
    </row>
    <row r="573">
      <c r="A573" t="inlineStr">
        <is>
          <t>2024-10-17</t>
        </is>
      </c>
    </row>
    <row r="574">
      <c r="A574" t="inlineStr">
        <is>
          <t>2024-10-18</t>
        </is>
      </c>
      <c r="B574" t="n">
        <v>427</v>
      </c>
      <c r="C574" t="n">
        <v>506</v>
      </c>
      <c r="D574" t="n">
        <v>237</v>
      </c>
      <c r="E574" t="inlineStr">
        <is>
          <t>11.804316079832136</t>
        </is>
      </c>
      <c r="F574" t="inlineStr">
        <is>
          <t>5.2524666279744698</t>
        </is>
      </c>
      <c r="G574" t="inlineStr">
        <is>
          <t>0.2031340684852051</t>
        </is>
      </c>
    </row>
    <row r="575">
      <c r="A575" t="inlineStr">
        <is>
          <t>2024-10-22</t>
        </is>
      </c>
      <c r="B575" t="n">
        <v>128</v>
      </c>
      <c r="C575" t="n">
        <v>251</v>
      </c>
      <c r="D575" t="n">
        <v>321</v>
      </c>
      <c r="E575" t="inlineStr">
        <is>
          <t>5.5988996944930509</t>
        </is>
      </c>
      <c r="F575" t="inlineStr">
        <is>
          <t>2.3387096774193594</t>
        </is>
      </c>
      <c r="G575" t="inlineStr">
        <is>
          <t>0.2217741935483859</t>
        </is>
      </c>
    </row>
    <row r="576">
      <c r="A576" t="inlineStr">
        <is>
          <t>2024-10-23</t>
        </is>
      </c>
      <c r="B576" t="n">
        <v>274</v>
      </c>
      <c r="C576" t="n">
        <v>378</v>
      </c>
      <c r="D576" t="n">
        <v>291</v>
      </c>
      <c r="E576" t="inlineStr">
        <is>
          <t>7.9290310846619505</t>
        </is>
      </c>
      <c r="F576" t="inlineStr">
        <is>
          <t>3.4926076708806408</t>
        </is>
      </c>
      <c r="G576" t="inlineStr">
        <is>
          <t>0.21427040925648161</t>
        </is>
      </c>
    </row>
    <row r="577">
      <c r="A577" t="inlineStr">
        <is>
          <t>2024-10-24</t>
        </is>
      </c>
      <c r="B577" t="n">
        <v>601</v>
      </c>
      <c r="C577" t="n">
        <v>678</v>
      </c>
      <c r="D577" t="n">
        <v>344</v>
      </c>
      <c r="E577" t="inlineStr">
        <is>
          <t>23.452167180448008</t>
        </is>
      </c>
      <c r="F577" t="inlineStr">
        <is>
          <t>16.942551119766307</t>
        </is>
      </c>
      <c r="G577" t="inlineStr">
        <is>
          <t>0.22719896137617279</t>
        </is>
      </c>
    </row>
    <row r="578">
      <c r="A578" t="inlineStr">
        <is>
          <t>2024-10-28</t>
        </is>
      </c>
      <c r="B578" t="n">
        <v>296</v>
      </c>
      <c r="C578" t="n">
        <v>344</v>
      </c>
      <c r="D578" t="n">
        <v>357</v>
      </c>
      <c r="E578" t="inlineStr">
        <is>
          <t>8.4304139581212816</t>
        </is>
      </c>
      <c r="F578" t="inlineStr">
        <is>
          <t>3.1157756641522001</t>
        </is>
      </c>
      <c r="G578" t="inlineStr">
        <is>
          <t>0.22958346999016629</t>
        </is>
      </c>
    </row>
    <row r="579">
      <c r="A579" t="inlineStr">
        <is>
          <t>2024-10-30</t>
        </is>
      </c>
      <c r="B579" t="n">
        <v>325</v>
      </c>
      <c r="C579" t="n">
        <v>616</v>
      </c>
      <c r="D579" t="n">
        <v>519</v>
      </c>
      <c r="E579" t="inlineStr">
        <is>
          <t>9.1149300505929816</t>
        </is>
      </c>
      <c r="F579" t="inlineStr">
        <is>
          <t>9.2245989304812834</t>
        </is>
      </c>
      <c r="G579" t="inlineStr">
        <is>
          <t>0.29411764705882959</t>
        </is>
      </c>
    </row>
    <row r="580">
      <c r="A580" t="inlineStr">
        <is>
          <t>2024-10-31</t>
        </is>
      </c>
      <c r="B580" t="n">
        <v>557</v>
      </c>
      <c r="C580" t="n">
        <v>688</v>
      </c>
      <c r="D580" t="n">
        <v>639</v>
      </c>
      <c r="E580" t="inlineStr">
        <is>
          <t>19.180230368561784</t>
        </is>
      </c>
      <c r="F580" t="inlineStr">
        <is>
          <t>20.070052539404561</t>
        </is>
      </c>
      <c r="G580" t="inlineStr">
        <is>
          <t>0.4203152364273165</t>
        </is>
      </c>
    </row>
    <row r="581">
      <c r="A581" t="inlineStr">
        <is>
          <t>2024-11-04</t>
        </is>
      </c>
      <c r="B581" t="n">
        <v>645</v>
      </c>
      <c r="C581" t="n">
        <v>597</v>
      </c>
      <c r="D581" t="n">
        <v>318</v>
      </c>
      <c r="E581" t="inlineStr">
        <is>
          <t>28.499089268232748</t>
        </is>
      </c>
      <c r="F581" t="inlineStr">
        <is>
          <t>8.2902829028290395</t>
        </is>
      </c>
      <c r="G581" t="inlineStr">
        <is>
          <t>0.22140221402214161</t>
        </is>
      </c>
    </row>
    <row r="582">
      <c r="A582" t="inlineStr">
        <is>
          <t>2024-11-05</t>
        </is>
      </c>
      <c r="B582" t="n">
        <v>579</v>
      </c>
      <c r="C582" t="n">
        <v>654</v>
      </c>
      <c r="D582" t="n">
        <v>270</v>
      </c>
      <c r="E582" t="inlineStr">
        <is>
          <t>20.815369551102961</t>
        </is>
      </c>
      <c r="F582" t="inlineStr">
        <is>
          <t>13.16017316017316</t>
        </is>
      </c>
      <c r="G582" t="inlineStr">
        <is>
          <t>0.2102659245516374</t>
        </is>
      </c>
    </row>
    <row r="583">
      <c r="A583" t="inlineStr">
        <is>
          <t>2024-11-06</t>
        </is>
      </c>
      <c r="B583" t="n">
        <v>367</v>
      </c>
      <c r="C583" t="n">
        <v>100</v>
      </c>
      <c r="D583" t="n">
        <v>525</v>
      </c>
      <c r="E583" t="inlineStr">
        <is>
          <t>10.092775100360464</t>
        </is>
      </c>
      <c r="F583" t="inlineStr">
        <is>
          <t>1.5301686663189329</t>
        </is>
      </c>
      <c r="G583" t="inlineStr">
        <is>
          <t>0.29560076508434108</t>
        </is>
      </c>
    </row>
    <row r="584">
      <c r="A584" t="inlineStr">
        <is>
          <t>2024-11-07</t>
        </is>
      </c>
      <c r="B584" t="n">
        <v>220</v>
      </c>
      <c r="C584" t="n">
        <v>448</v>
      </c>
      <c r="D584" t="n">
        <v>463</v>
      </c>
      <c r="E584" t="inlineStr">
        <is>
          <t>6.9398383570396271</t>
        </is>
      </c>
      <c r="F584" t="inlineStr">
        <is>
          <t>4.2673716012084633</t>
        </is>
      </c>
      <c r="G584" t="inlineStr">
        <is>
          <t>0.26435045317221179</t>
        </is>
      </c>
    </row>
    <row r="585">
      <c r="A585" t="inlineStr">
        <is>
          <t>2024-11-08</t>
        </is>
      </c>
      <c r="B585" t="n">
        <v>677</v>
      </c>
      <c r="C585" t="n">
        <v>488</v>
      </c>
      <c r="D585" t="n">
        <v>590</v>
      </c>
      <c r="E585" t="inlineStr">
        <is>
          <t>37.807222526061089</t>
        </is>
      </c>
      <c r="F585" t="inlineStr">
        <is>
          <t>4.8476454293628812</t>
        </is>
      </c>
      <c r="G585" t="inlineStr">
        <is>
          <t>0.34626038781162649</t>
        </is>
      </c>
    </row>
    <row r="586">
      <c r="A586" t="inlineStr">
        <is>
          <t>2024-11-13</t>
        </is>
      </c>
      <c r="B586" t="n">
        <v>352</v>
      </c>
      <c r="C586" t="n">
        <v>126</v>
      </c>
      <c r="D586" t="n">
        <v>416</v>
      </c>
      <c r="E586" t="inlineStr">
        <is>
          <t>9.7698221514975021</t>
        </is>
      </c>
      <c r="F586" t="inlineStr">
        <is>
          <t>1.6542034896895434</t>
        </is>
      </c>
      <c r="G586" t="inlineStr">
        <is>
          <t>0.24926353954226019</t>
        </is>
      </c>
    </row>
    <row r="587">
      <c r="A587" t="inlineStr">
        <is>
          <t>2024-11-14</t>
        </is>
      </c>
      <c r="B587" t="n">
        <v>648</v>
      </c>
      <c r="C587" t="n">
        <v>695</v>
      </c>
      <c r="D587" t="n">
        <v>594</v>
      </c>
      <c r="E587" t="inlineStr">
        <is>
          <t>29.936247665205279</t>
        </is>
      </c>
      <c r="F587" t="inlineStr">
        <is>
          <t>21.93600867678958</t>
        </is>
      </c>
      <c r="G587" t="inlineStr">
        <is>
          <t>0.3524945770065106</t>
        </is>
      </c>
    </row>
    <row r="588">
      <c r="A588" t="inlineStr">
        <is>
          <t>2024-11-21</t>
        </is>
      </c>
      <c r="B588" t="n">
        <v>716</v>
      </c>
      <c r="C588" t="n">
        <v>700</v>
      </c>
      <c r="D588" t="n">
        <v>610</v>
      </c>
      <c r="E588" t="inlineStr">
        <is>
          <t>79.328884064208225</t>
        </is>
      </c>
      <c r="F588" t="inlineStr">
        <is>
          <t>24.174802417480244</t>
        </is>
      </c>
      <c r="G588" t="inlineStr">
        <is>
          <t>0.371920037192009</t>
        </is>
      </c>
    </row>
    <row r="589">
      <c r="A589" t="inlineStr">
        <is>
          <t>2024-11-22</t>
        </is>
      </c>
      <c r="B589" t="n">
        <v>92</v>
      </c>
      <c r="C589" t="n">
        <v>264</v>
      </c>
      <c r="D589" t="n">
        <v>319</v>
      </c>
      <c r="E589" t="inlineStr">
        <is>
          <t>5.0239481900071787</t>
        </is>
      </c>
      <c r="F589" t="inlineStr">
        <is>
          <t>2.3988190429327103</t>
        </is>
      </c>
      <c r="G589" t="inlineStr">
        <is>
          <t>0.2214294501168669</t>
        </is>
      </c>
    </row>
    <row r="590">
      <c r="A590" t="inlineStr">
        <is>
          <t>2024-11-27</t>
        </is>
      </c>
      <c r="B590" t="n">
        <v>166</v>
      </c>
      <c r="C590" t="n">
        <v>69</v>
      </c>
      <c r="D590" t="n">
        <v>126</v>
      </c>
      <c r="E590" t="inlineStr">
        <is>
          <t>6.0925740815687695</t>
        </is>
      </c>
      <c r="F590" t="inlineStr">
        <is>
          <t>1.3470487386725447</t>
        </is>
      </c>
      <c r="G590" t="inlineStr">
        <is>
          <t>0.17144256674013919</t>
        </is>
      </c>
    </row>
    <row r="591">
      <c r="A591" t="inlineStr">
        <is>
          <t>2024-11-28</t>
        </is>
      </c>
      <c r="B591" t="n">
        <v>249</v>
      </c>
      <c r="C591" t="n">
        <v>573</v>
      </c>
      <c r="D591" t="n">
        <v>597</v>
      </c>
      <c r="E591" t="inlineStr">
        <is>
          <t>7.3819555396541494</t>
        </is>
      </c>
      <c r="F591" t="inlineStr">
        <is>
          <t>7.3877695298692032</t>
        </is>
      </c>
      <c r="G591" t="inlineStr">
        <is>
          <t>0.35348179568752208</t>
        </is>
      </c>
    </row>
    <row r="592">
      <c r="A592" t="inlineStr">
        <is>
          <t>2024-12-03</t>
        </is>
      </c>
      <c r="B592" t="n">
        <v>38</v>
      </c>
      <c r="C592" t="n">
        <v>146</v>
      </c>
      <c r="D592" t="n">
        <v>275</v>
      </c>
      <c r="E592" t="inlineStr">
        <is>
          <t>3.6786919475696909</t>
        </is>
      </c>
      <c r="F592" t="inlineStr">
        <is>
          <t>1.7552413456850244</t>
        </is>
      </c>
      <c r="G592" t="inlineStr">
        <is>
          <t>0.21127905086948709</t>
        </is>
      </c>
    </row>
    <row r="593">
      <c r="A593" t="inlineStr">
        <is>
          <t>2024-12-04</t>
        </is>
      </c>
      <c r="B593" t="n">
        <v>319</v>
      </c>
      <c r="C593" t="n">
        <v>639</v>
      </c>
      <c r="D593" t="n">
        <v>502</v>
      </c>
      <c r="E593" t="inlineStr">
        <is>
          <t>8.9986174851318292</t>
        </is>
      </c>
      <c r="F593" t="inlineStr">
        <is>
          <t>10.598031794095384</t>
        </is>
      </c>
      <c r="G593" t="inlineStr">
        <is>
          <t>0.28387585162754408</t>
        </is>
      </c>
    </row>
    <row r="594">
      <c r="A594" t="inlineStr">
        <is>
          <t>2024-12-05</t>
        </is>
      </c>
      <c r="B594" t="n">
        <v>444</v>
      </c>
      <c r="C594" t="n">
        <v>648</v>
      </c>
      <c r="D594" t="n">
        <v>596</v>
      </c>
      <c r="E594" t="inlineStr">
        <is>
          <t>12.639411277050474</t>
        </is>
      </c>
      <c r="F594" t="inlineStr">
        <is>
          <t>11.910013233348041</t>
        </is>
      </c>
      <c r="G594" t="inlineStr">
        <is>
          <t>0.35288928098808869</t>
        </is>
      </c>
    </row>
    <row r="595">
      <c r="A595" t="inlineStr">
        <is>
          <t>2024-12-06</t>
        </is>
      </c>
      <c r="B595" t="n">
        <v>309</v>
      </c>
      <c r="C595" t="n">
        <v>530</v>
      </c>
      <c r="D595" t="n">
        <v>150</v>
      </c>
      <c r="E595" t="inlineStr">
        <is>
          <t>8.6434797394414655</t>
        </is>
      </c>
      <c r="F595" t="inlineStr">
        <is>
          <t>5.837941301573796</t>
        </is>
      </c>
      <c r="G595" t="inlineStr">
        <is>
          <t>0.1807741386643969</t>
        </is>
      </c>
    </row>
    <row r="596">
      <c r="A596" t="inlineStr">
        <is>
          <t>2024-12-09</t>
        </is>
      </c>
      <c r="B596" t="n">
        <v>64</v>
      </c>
      <c r="C596" t="n">
        <v>147</v>
      </c>
      <c r="D596" t="n">
        <v>343</v>
      </c>
      <c r="E596" t="inlineStr">
        <is>
          <t>4.3185158903128658</t>
        </is>
      </c>
      <c r="F596" t="inlineStr">
        <is>
          <t>1.7603634298693729</t>
        </is>
      </c>
      <c r="G596" t="inlineStr">
        <is>
          <t>0.2271436683702393</t>
        </is>
      </c>
    </row>
    <row r="597">
      <c r="A597" t="inlineStr">
        <is>
          <t>2024-12-10</t>
        </is>
      </c>
      <c r="B597" t="n">
        <v>53</v>
      </c>
      <c r="C597" t="n">
        <v>227</v>
      </c>
      <c r="D597" t="n">
        <v>418</v>
      </c>
      <c r="E597" t="inlineStr">
        <is>
          <t>4.0012674065296547</t>
        </is>
      </c>
      <c r="F597" t="inlineStr">
        <is>
          <t>2.2150768131475487</t>
        </is>
      </c>
      <c r="G597" t="inlineStr">
        <is>
          <t>0.25008931761342929</t>
        </is>
      </c>
    </row>
    <row r="598">
      <c r="A598" t="inlineStr">
        <is>
          <t>2024-12-11</t>
        </is>
      </c>
      <c r="B598" t="n">
        <v>20</v>
      </c>
      <c r="C598" t="n">
        <v>417</v>
      </c>
      <c r="D598" t="n">
        <v>406</v>
      </c>
      <c r="E598" t="inlineStr">
        <is>
          <t>3.0485884019488045</t>
        </is>
      </c>
      <c r="F598" t="inlineStr">
        <is>
          <t>3.8755862749938261</t>
        </is>
      </c>
      <c r="G598" t="inlineStr">
        <is>
          <t>0.24685262898049859</t>
        </is>
      </c>
    </row>
    <row r="599">
      <c r="A599" t="inlineStr">
        <is>
          <t>2024-12-13</t>
        </is>
      </c>
      <c r="B599" t="n">
        <v>649</v>
      </c>
      <c r="C599" t="n">
        <v>399</v>
      </c>
      <c r="D599" t="n">
        <v>415</v>
      </c>
      <c r="E599" t="inlineStr">
        <is>
          <t>30.685541502959477</t>
        </is>
      </c>
      <c r="F599" t="inlineStr">
        <is>
          <t>3.6944729511801855</t>
        </is>
      </c>
      <c r="G599" t="inlineStr">
        <is>
          <t>0.2492303181351691</t>
        </is>
      </c>
    </row>
    <row r="600">
      <c r="A600" t="inlineStr">
        <is>
          <t>2024-12-17</t>
        </is>
      </c>
      <c r="B600" t="n">
        <v>159</v>
      </c>
      <c r="C600" t="n">
        <v>246</v>
      </c>
      <c r="D600" t="n">
        <v>11</v>
      </c>
      <c r="E600" t="inlineStr">
        <is>
          <t>5.9348266603789517</t>
        </is>
      </c>
      <c r="F600" t="inlineStr">
        <is>
          <t>2.3156225218080744</t>
        </is>
      </c>
      <c r="G600" t="inlineStr">
        <is>
          <t>0.095162569389368096</t>
        </is>
      </c>
    </row>
    <row r="601">
      <c r="A601" t="inlineStr">
        <is>
          <t>2024-12-18</t>
        </is>
      </c>
      <c r="B601" t="n">
        <v>180</v>
      </c>
      <c r="C601" t="n">
        <v>397</v>
      </c>
      <c r="D601" t="n">
        <v>19</v>
      </c>
      <c r="E601" t="inlineStr">
        <is>
          <t>6.3148064727788844</t>
        </is>
      </c>
      <c r="F601" t="inlineStr">
        <is>
          <t>3.6625245258338679</t>
        </is>
      </c>
      <c r="G601" t="inlineStr">
        <is>
          <t>0.1090037061260144</t>
        </is>
      </c>
    </row>
    <row r="602">
      <c r="A602" t="inlineStr">
        <is>
          <t>2024-12-19</t>
        </is>
      </c>
      <c r="B602" t="n">
        <v>694</v>
      </c>
      <c r="C602" t="n">
        <v>715</v>
      </c>
      <c r="D602" t="n">
        <v>702</v>
      </c>
      <c r="E602" t="inlineStr">
        <is>
          <t>44.689986688977811</t>
        </is>
      </c>
      <c r="F602" t="inlineStr">
        <is>
          <t>38.429964084145702</t>
        </is>
      </c>
      <c r="G602" t="inlineStr">
        <is>
          <t>0.66700872242175324</t>
        </is>
      </c>
    </row>
    <row r="603">
      <c r="A603" t="inlineStr">
        <is>
          <t>2024-12-26</t>
        </is>
      </c>
      <c r="B603" t="n">
        <v>246</v>
      </c>
      <c r="C603" t="n">
        <v>600</v>
      </c>
      <c r="D603" t="n">
        <v>567</v>
      </c>
      <c r="E603" t="inlineStr">
        <is>
          <t>7.3648672750213118</t>
        </is>
      </c>
      <c r="F603" t="inlineStr">
        <is>
          <t>8.3950617283950528</t>
        </is>
      </c>
      <c r="G603" t="inlineStr">
        <is>
          <t>0.32921810699587772</t>
        </is>
      </c>
    </row>
    <row r="604">
      <c r="A604" t="inlineStr">
        <is>
          <t>2024-12-30</t>
        </is>
      </c>
      <c r="B604" t="n">
        <v>398</v>
      </c>
      <c r="C604" t="n">
        <v>188</v>
      </c>
      <c r="D604" t="n">
        <v>194</v>
      </c>
      <c r="E604" t="inlineStr">
        <is>
          <t>11.213488044535362</t>
        </is>
      </c>
      <c r="F604" t="inlineStr">
        <is>
          <t>1.976906927921636</t>
        </is>
      </c>
      <c r="G604" t="inlineStr">
        <is>
          <t>0.1924422673197981</t>
        </is>
      </c>
    </row>
    <row r="605">
      <c r="A605" t="inlineStr">
        <is>
          <t>2024-12-31</t>
        </is>
      </c>
      <c r="B605" t="n">
        <v>139</v>
      </c>
      <c r="C605" t="n">
        <v>1</v>
      </c>
      <c r="D605" t="n">
        <v>355</v>
      </c>
      <c r="E605" t="inlineStr">
        <is>
          <t>5.7143099018408536</t>
        </is>
      </c>
      <c r="F605" t="inlineStr">
        <is>
          <t>0.49408858302451991</t>
        </is>
      </c>
      <c r="G605" t="inlineStr">
        <is>
          <t>0.22939827068995131</t>
        </is>
      </c>
    </row>
    <row r="606">
      <c r="A606" t="inlineStr">
        <is>
          <t>2025-01-01</t>
        </is>
      </c>
    </row>
    <row r="607">
      <c r="A607" t="inlineStr">
        <is>
          <t>2025-01-02</t>
        </is>
      </c>
      <c r="B607" t="n">
        <v>272</v>
      </c>
      <c r="C607" t="n">
        <v>565</v>
      </c>
      <c r="D607" t="n">
        <v>591</v>
      </c>
      <c r="E607" t="inlineStr">
        <is>
          <t>7.9199018520364479</t>
        </is>
      </c>
      <c r="F607" t="inlineStr">
        <is>
          <t>7.0503929727230696</t>
        </is>
      </c>
      <c r="G607" t="inlineStr">
        <is>
          <t>0.34674063800277388</t>
        </is>
      </c>
    </row>
    <row r="608">
      <c r="A608" t="inlineStr">
        <is>
          <t>2025-01-06</t>
        </is>
      </c>
      <c r="B608" t="n">
        <v>512</v>
      </c>
      <c r="C608" t="n">
        <v>317</v>
      </c>
      <c r="D608" t="n">
        <v>100</v>
      </c>
      <c r="E608" t="inlineStr">
        <is>
          <t>15.386785045982664</t>
        </is>
      </c>
      <c r="F608" t="inlineStr">
        <is>
          <t>2.775343266140796</t>
        </is>
      </c>
      <c r="G608" t="inlineStr">
        <is>
          <t>0.16067776803972619</t>
        </is>
      </c>
    </row>
    <row r="609">
      <c r="A609" t="inlineStr">
        <is>
          <t>2025-01-09</t>
        </is>
      </c>
    </row>
    <row r="610">
      <c r="A610" t="inlineStr">
        <is>
          <t>2025-01-10</t>
        </is>
      </c>
      <c r="B610" t="n">
        <v>113</v>
      </c>
      <c r="C610" t="n">
        <v>175</v>
      </c>
      <c r="D610" t="n">
        <v>167</v>
      </c>
      <c r="E610" t="inlineStr">
        <is>
          <t>5.3642722505990621</t>
        </is>
      </c>
      <c r="F610" t="inlineStr">
        <is>
          <t>1.8932384341637107</t>
        </is>
      </c>
      <c r="G610" t="inlineStr">
        <is>
          <t>0.18505338078291969</t>
        </is>
      </c>
    </row>
    <row r="611">
      <c r="A611" t="inlineStr">
        <is>
          <t>2025-01-13</t>
        </is>
      </c>
      <c r="B611" t="n">
        <v>566</v>
      </c>
      <c r="C611" t="n">
        <v>578</v>
      </c>
      <c r="D611" t="n">
        <v>336</v>
      </c>
      <c r="E611" t="inlineStr">
        <is>
          <t>20.117343993659262</t>
        </is>
      </c>
      <c r="F611" t="inlineStr">
        <is>
          <t>7.4689966178128353</t>
        </is>
      </c>
      <c r="G611" t="inlineStr">
        <is>
          <t>0.2254791431792591</t>
        </is>
      </c>
    </row>
    <row r="612">
      <c r="A612" t="inlineStr">
        <is>
          <t>2025-01-15</t>
        </is>
      </c>
      <c r="B612" t="n">
        <v>229</v>
      </c>
      <c r="C612" t="n">
        <v>442</v>
      </c>
      <c r="D612" t="n">
        <v>461</v>
      </c>
      <c r="E612" t="inlineStr">
        <is>
          <t>7.0509848738055618</t>
        </is>
      </c>
      <c r="F612" t="inlineStr">
        <is>
          <t>4.2410061421468273</t>
        </is>
      </c>
      <c r="G612" t="inlineStr">
        <is>
          <t>0.26323486399531359</t>
        </is>
      </c>
    </row>
    <row r="613">
      <c r="A613" t="inlineStr">
        <is>
          <t>2025-01-16</t>
        </is>
      </c>
    </row>
    <row r="614">
      <c r="A614" t="inlineStr">
        <is>
          <t>2025-01-17</t>
        </is>
      </c>
      <c r="B614" t="n">
        <v>62</v>
      </c>
      <c r="C614" t="n">
        <v>220</v>
      </c>
      <c r="D614" t="n">
        <v>434</v>
      </c>
      <c r="E614" t="inlineStr">
        <is>
          <t>4.264860778143861</t>
        </is>
      </c>
      <c r="F614" t="inlineStr">
        <is>
          <t>2.1668909825033675</t>
        </is>
      </c>
      <c r="G614" t="inlineStr">
        <is>
          <t>0.25572005383579771</t>
        </is>
      </c>
    </row>
    <row r="615">
      <c r="A615" t="inlineStr">
        <is>
          <t>2025-01-20</t>
        </is>
      </c>
      <c r="B615" t="n">
        <v>144</v>
      </c>
      <c r="C615" t="n">
        <v>111</v>
      </c>
      <c r="D615" t="n">
        <v>253</v>
      </c>
      <c r="E615" t="inlineStr">
        <is>
          <t>5.7581903812443942</t>
        </is>
      </c>
      <c r="F615" t="inlineStr">
        <is>
          <t>1.5908367801463568</t>
        </is>
      </c>
      <c r="G615" t="inlineStr">
        <is>
          <t>0.2068087814190282</t>
        </is>
      </c>
    </row>
    <row r="616">
      <c r="A616" t="inlineStr">
        <is>
          <t>2025-01-21</t>
        </is>
      </c>
      <c r="B616" t="n">
        <v>84</v>
      </c>
      <c r="C616" t="n">
        <v>194</v>
      </c>
      <c r="D616" t="n">
        <v>474</v>
      </c>
      <c r="E616" t="inlineStr">
        <is>
          <t>4.7875932939484356</t>
        </is>
      </c>
      <c r="F616" t="inlineStr">
        <is>
          <t>2.001154512218605</t>
        </is>
      </c>
      <c r="G616" t="inlineStr">
        <is>
          <t>0.26938618433711309</t>
        </is>
      </c>
    </row>
    <row r="617">
      <c r="A617" t="inlineStr">
        <is>
          <t>2025-01-22</t>
        </is>
      </c>
    </row>
    <row r="618">
      <c r="A618" t="inlineStr">
        <is>
          <t>2025-01-23</t>
        </is>
      </c>
    </row>
    <row r="619">
      <c r="A619" t="inlineStr">
        <is>
          <t>2025-01-24</t>
        </is>
      </c>
      <c r="B619" t="n">
        <v>307</v>
      </c>
      <c r="C619" t="n">
        <v>457</v>
      </c>
      <c r="D619" t="n">
        <v>521</v>
      </c>
      <c r="E619" t="inlineStr">
        <is>
          <t>8.6125244576361624</t>
        </is>
      </c>
      <c r="F619" t="inlineStr">
        <is>
          <t>4.4048734770384224</t>
        </is>
      </c>
      <c r="G619" t="inlineStr">
        <is>
          <t>0.29455081001472599</t>
        </is>
      </c>
    </row>
    <row r="620">
      <c r="A620" t="inlineStr">
        <is>
          <t>2025-01-27</t>
        </is>
      </c>
      <c r="B620" t="n">
        <v>672</v>
      </c>
      <c r="C620" t="n">
        <v>581</v>
      </c>
      <c r="D620" t="n">
        <v>128</v>
      </c>
      <c r="E620" t="inlineStr">
        <is>
          <t>36.968657197349685</t>
        </is>
      </c>
      <c r="F620" t="inlineStr">
        <is>
          <t>7.5731497418244338</t>
        </is>
      </c>
      <c r="G620" t="inlineStr">
        <is>
          <t>0.1721170395869174</t>
        </is>
      </c>
    </row>
    <row r="621">
      <c r="A621" t="inlineStr">
        <is>
          <t>2025-01-28</t>
        </is>
      </c>
      <c r="B621" t="n">
        <v>521</v>
      </c>
      <c r="C621" t="n">
        <v>209</v>
      </c>
      <c r="D621" t="n">
        <v>292</v>
      </c>
      <c r="E621" t="inlineStr">
        <is>
          <t>15.853639895269575</t>
        </is>
      </c>
      <c r="F621" t="inlineStr">
        <is>
          <t>2.0676979629345995</t>
        </is>
      </c>
      <c r="G621" t="inlineStr">
        <is>
          <t>0.21442793689691789</t>
        </is>
      </c>
    </row>
    <row r="622">
      <c r="A622" t="inlineStr">
        <is>
          <t>2025-01-29</t>
        </is>
      </c>
      <c r="B622" t="n">
        <v>183</v>
      </c>
      <c r="C622" t="n">
        <v>319</v>
      </c>
      <c r="D622" t="n">
        <v>324</v>
      </c>
      <c r="E622" t="inlineStr">
        <is>
          <t>6.3348396656413248</t>
        </is>
      </c>
      <c r="F622" t="inlineStr">
        <is>
          <t>2.7962962962963007</t>
        </is>
      </c>
      <c r="G622" t="inlineStr">
        <is>
          <t>0.2222222222222201</t>
        </is>
      </c>
    </row>
    <row r="623">
      <c r="A623" t="inlineStr">
        <is>
          <t>2025-01-30</t>
        </is>
      </c>
      <c r="B623" t="n">
        <v>490</v>
      </c>
      <c r="C623" t="n">
        <v>682</v>
      </c>
      <c r="D623" t="n">
        <v>568</v>
      </c>
      <c r="E623" t="inlineStr">
        <is>
          <t>14.288215572641535</t>
        </is>
      </c>
      <c r="F623" t="inlineStr">
        <is>
          <t>17.350322918484899</t>
        </is>
      </c>
      <c r="G623" t="inlineStr">
        <is>
          <t>0.33164601152034101</t>
        </is>
      </c>
    </row>
    <row r="624">
      <c r="A624" t="inlineStr">
        <is>
          <t>2025-01-31</t>
        </is>
      </c>
      <c r="B624" t="n">
        <v>633</v>
      </c>
      <c r="C624" t="n">
        <v>331</v>
      </c>
      <c r="D624" t="n">
        <v>429</v>
      </c>
      <c r="E624" t="inlineStr">
        <is>
          <t>27.010065051203146</t>
        </is>
      </c>
      <c r="F624" t="inlineStr">
        <is>
          <t>2.9339659944642258</t>
        </is>
      </c>
      <c r="G624" t="inlineStr">
        <is>
          <t>0.2530644523527032</t>
        </is>
      </c>
    </row>
    <row r="625">
      <c r="A625" t="inlineStr">
        <is>
          <t>2025-02-01</t>
        </is>
      </c>
      <c r="B625" t="n">
        <v>501</v>
      </c>
      <c r="C625" t="n">
        <v>347</v>
      </c>
      <c r="D625" t="n">
        <v>328</v>
      </c>
      <c r="E625" t="inlineStr">
        <is>
          <t>14.599657003690741</t>
        </is>
      </c>
      <c r="F625" t="inlineStr">
        <is>
          <t>3.1309192200557003</t>
        </is>
      </c>
      <c r="G625" t="inlineStr">
        <is>
          <t>0.22284122562674091</t>
        </is>
      </c>
    </row>
    <row r="626">
      <c r="A626" t="inlineStr">
        <is>
          <t>2025-02-04</t>
        </is>
      </c>
      <c r="B626" t="n">
        <v>407</v>
      </c>
      <c r="C626" t="n">
        <v>286</v>
      </c>
      <c r="D626" t="n">
        <v>109</v>
      </c>
      <c r="E626" t="inlineStr">
        <is>
          <t>11.410518965729816</t>
        </is>
      </c>
      <c r="F626" t="inlineStr">
        <is>
          <t>2.5619834710743801</t>
        </is>
      </c>
      <c r="G626" t="inlineStr">
        <is>
          <t>0.16528925619834711</t>
        </is>
      </c>
    </row>
    <row r="627">
      <c r="A627" t="inlineStr">
        <is>
          <t>2025-02-05</t>
        </is>
      </c>
      <c r="B627" t="n">
        <v>23</v>
      </c>
      <c r="C627" t="n">
        <v>295</v>
      </c>
      <c r="D627" t="n">
        <v>365</v>
      </c>
      <c r="E627" t="inlineStr">
        <is>
          <t>3.1165636937182102</t>
        </is>
      </c>
      <c r="F627" t="inlineStr">
        <is>
          <t>2.6178010471204187</t>
        </is>
      </c>
      <c r="G627" t="inlineStr">
        <is>
          <t>0.23269342641070709</t>
        </is>
      </c>
    </row>
    <row r="628">
      <c r="A628" t="inlineStr">
        <is>
          <t>2025-02-06</t>
        </is>
      </c>
      <c r="B628" t="n">
        <v>76</v>
      </c>
      <c r="C628" t="n">
        <v>618</v>
      </c>
      <c r="D628" t="n">
        <v>463</v>
      </c>
      <c r="E628" t="inlineStr">
        <is>
          <t>4.5809777537581091</t>
        </is>
      </c>
      <c r="F628" t="inlineStr">
        <is>
          <t>9.2522658610271904</t>
        </is>
      </c>
      <c r="G628" t="inlineStr">
        <is>
          <t>0.26435045317221179</t>
        </is>
      </c>
    </row>
    <row r="629">
      <c r="A629" t="inlineStr">
        <is>
          <t>2025-02-07</t>
        </is>
      </c>
      <c r="B629" t="n">
        <v>485</v>
      </c>
      <c r="C629" t="n">
        <v>503</v>
      </c>
      <c r="D629" t="n">
        <v>373</v>
      </c>
      <c r="E629" t="inlineStr">
        <is>
          <t>13.991719100388339</t>
        </is>
      </c>
      <c r="F629" t="inlineStr">
        <is>
          <t>5.2190974493132734</t>
        </is>
      </c>
      <c r="G629" t="inlineStr">
        <is>
          <t>0.23544800523217191</t>
        </is>
      </c>
    </row>
    <row r="630">
      <c r="A630" t="inlineStr">
        <is>
          <t>2025-02-11</t>
        </is>
      </c>
      <c r="B630" t="n">
        <v>74</v>
      </c>
      <c r="C630" t="n">
        <v>122</v>
      </c>
      <c r="D630" t="n">
        <v>402</v>
      </c>
      <c r="E630" t="inlineStr">
        <is>
          <t>4.5577193429187179</t>
        </is>
      </c>
      <c r="F630" t="inlineStr">
        <is>
          <t>1.6261584193040663</t>
        </is>
      </c>
      <c r="G630" t="inlineStr">
        <is>
          <t>0.2447980416156631</t>
        </is>
      </c>
    </row>
    <row r="631">
      <c r="A631" t="inlineStr">
        <is>
          <t>2025-02-12</t>
        </is>
      </c>
      <c r="B631" t="n">
        <v>231</v>
      </c>
      <c r="C631" t="n">
        <v>202</v>
      </c>
      <c r="D631" t="n">
        <v>241</v>
      </c>
      <c r="E631" t="inlineStr">
        <is>
          <t>7.0838406114208761</t>
        </is>
      </c>
      <c r="F631" t="inlineStr">
        <is>
          <t>2.0398912058023568</t>
        </is>
      </c>
      <c r="G631" t="inlineStr">
        <is>
          <t>0.2039891205802305</t>
        </is>
      </c>
    </row>
    <row r="632">
      <c r="A632" t="inlineStr">
        <is>
          <t>2025-02-13</t>
        </is>
      </c>
      <c r="B632" t="n">
        <v>459</v>
      </c>
      <c r="C632" t="n">
        <v>601</v>
      </c>
      <c r="D632" t="n">
        <v>507</v>
      </c>
      <c r="E632" t="inlineStr">
        <is>
          <t>12.97609711926343</t>
        </is>
      </c>
      <c r="F632" t="inlineStr">
        <is>
          <t>8.4917617237008898</t>
        </is>
      </c>
      <c r="G632" t="inlineStr">
        <is>
          <t>0.28517110266159867</t>
        </is>
      </c>
    </row>
    <row r="633">
      <c r="A633" t="inlineStr">
        <is>
          <t>2025-02-14</t>
        </is>
      </c>
      <c r="B633" t="n">
        <v>259</v>
      </c>
      <c r="C633" t="n">
        <v>79</v>
      </c>
      <c r="D633" t="n">
        <v>301</v>
      </c>
      <c r="E633" t="inlineStr">
        <is>
          <t>7.6073566596782189</t>
        </is>
      </c>
      <c r="F633" t="inlineStr">
        <is>
          <t>1.4135294966104075</t>
        </is>
      </c>
      <c r="G633" t="inlineStr">
        <is>
          <t>0.216356555603643</t>
        </is>
      </c>
    </row>
    <row r="634">
      <c r="A634" t="inlineStr">
        <is>
          <t>2025-02-17</t>
        </is>
      </c>
      <c r="B634" t="n">
        <v>634</v>
      </c>
      <c r="C634" t="n">
        <v>362</v>
      </c>
      <c r="D634" t="n">
        <v>14</v>
      </c>
      <c r="E634" t="inlineStr">
        <is>
          <t>27.067675737977751</t>
        </is>
      </c>
      <c r="F634" t="inlineStr">
        <is>
          <t>3.2597864768683404</t>
        </is>
      </c>
      <c r="G634" t="inlineStr">
        <is>
          <t>0.099644128113869204</t>
        </is>
      </c>
    </row>
    <row r="635">
      <c r="A635" t="inlineStr">
        <is>
          <t>2025-02-18</t>
        </is>
      </c>
      <c r="B635" t="n">
        <v>518</v>
      </c>
      <c r="C635" t="n">
        <v>556</v>
      </c>
      <c r="D635" t="n">
        <v>410</v>
      </c>
      <c r="E635" t="inlineStr">
        <is>
          <t>15.690661118715528</t>
        </is>
      </c>
      <c r="F635" t="inlineStr">
        <is>
          <t>6.7558638916418863</t>
        </is>
      </c>
      <c r="G635" t="inlineStr">
        <is>
          <t>0.24777006937561941</t>
        </is>
      </c>
    </row>
    <row r="636">
      <c r="A636" t="inlineStr">
        <is>
          <t>2025-02-19</t>
        </is>
      </c>
      <c r="B636" t="n">
        <v>411</v>
      </c>
      <c r="C636" t="n">
        <v>584</v>
      </c>
      <c r="D636" t="n">
        <v>124</v>
      </c>
      <c r="E636" t="inlineStr">
        <is>
          <t>11.526482476246498</t>
        </is>
      </c>
      <c r="F636" t="inlineStr">
        <is>
          <t>7.623126338329782</t>
        </is>
      </c>
      <c r="G636" t="inlineStr">
        <is>
          <t>0.17130620985010339</t>
        </is>
      </c>
    </row>
    <row r="637">
      <c r="A637" t="inlineStr">
        <is>
          <t>2025-02-20</t>
        </is>
      </c>
      <c r="B637" t="n">
        <v>513</v>
      </c>
      <c r="C637" t="n">
        <v>607</v>
      </c>
      <c r="D637" t="n">
        <v>494</v>
      </c>
      <c r="E637" t="inlineStr">
        <is>
          <t>15.389020895405254</t>
        </is>
      </c>
      <c r="F637" t="inlineStr">
        <is>
          <t>8.9783281733746119</t>
        </is>
      </c>
      <c r="G637" t="inlineStr">
        <is>
          <t>0.27863777089782571</t>
        </is>
      </c>
    </row>
    <row r="638">
      <c r="A638" t="inlineStr">
        <is>
          <t>2025-02-24</t>
        </is>
      </c>
      <c r="B638" t="n">
        <v>540</v>
      </c>
      <c r="C638" t="n">
        <v>173</v>
      </c>
      <c r="D638" t="n">
        <v>284</v>
      </c>
      <c r="E638" t="inlineStr">
        <is>
          <t>17.378532219753662</t>
        </is>
      </c>
      <c r="F638" t="inlineStr">
        <is>
          <t>1.8683274021352312</t>
        </is>
      </c>
      <c r="G638" t="inlineStr">
        <is>
          <t>0.21352313167258569</t>
        </is>
      </c>
    </row>
    <row r="639">
      <c r="A639" t="inlineStr">
        <is>
          <t>2025-02-28</t>
        </is>
      </c>
      <c r="B639" t="n">
        <v>704</v>
      </c>
      <c r="C639" t="n">
        <v>335</v>
      </c>
      <c r="D639" t="n">
        <v>271</v>
      </c>
      <c r="E639" t="inlineStr">
        <is>
          <t>54.098309455715231</t>
        </is>
      </c>
      <c r="F639" t="inlineStr">
        <is>
          <t>2.9763830475574395</t>
        </is>
      </c>
      <c r="G639" t="inlineStr">
        <is>
          <t>0.21028793270785409</t>
        </is>
      </c>
    </row>
    <row r="640">
      <c r="A640" t="inlineStr">
        <is>
          <t>2025-03-06</t>
        </is>
      </c>
    </row>
    <row r="641">
      <c r="A641" t="inlineStr">
        <is>
          <t>2025-03-07</t>
        </is>
      </c>
      <c r="B641" t="n">
        <v>532</v>
      </c>
      <c r="C641" t="n">
        <v>376</v>
      </c>
      <c r="D641" t="n">
        <v>185</v>
      </c>
      <c r="E641" t="inlineStr">
        <is>
          <t>16.866392495561414</t>
        </is>
      </c>
      <c r="F641" t="inlineStr">
        <is>
          <t>3.4839325485205359</t>
        </is>
      </c>
      <c r="G641" t="inlineStr">
        <is>
          <t>0.19090041361756099</t>
        </is>
      </c>
    </row>
    <row r="642">
      <c r="A642" t="inlineStr">
        <is>
          <t>2025-03-11</t>
        </is>
      </c>
      <c r="B642" t="n">
        <v>388</v>
      </c>
      <c r="C642" t="n">
        <v>291</v>
      </c>
      <c r="D642" t="n">
        <v>181</v>
      </c>
      <c r="E642" t="inlineStr">
        <is>
          <t>10.865328177716442</t>
        </is>
      </c>
      <c r="F642" t="inlineStr">
        <is>
          <t>2.5776463131206402</t>
        </is>
      </c>
      <c r="G642" t="inlineStr">
        <is>
          <t>0.190154236213813</t>
        </is>
      </c>
    </row>
    <row r="643">
      <c r="A643" t="inlineStr">
        <is>
          <t>2025-03-12</t>
        </is>
      </c>
    </row>
    <row r="644">
      <c r="A644" t="inlineStr">
        <is>
          <t>2025-03-13</t>
        </is>
      </c>
    </row>
    <row r="645">
      <c r="A645" t="inlineStr">
        <is>
          <t>2025-03-18</t>
        </is>
      </c>
      <c r="B645" t="n">
        <v>492</v>
      </c>
      <c r="C645" t="n">
        <v>432</v>
      </c>
      <c r="D645" t="n">
        <v>153</v>
      </c>
      <c r="E645" t="inlineStr">
        <is>
          <t>14.306183229531593</t>
        </is>
      </c>
      <c r="F645" t="inlineStr">
        <is>
          <t>4.0280606472052529</t>
        </is>
      </c>
      <c r="G645" t="inlineStr">
        <is>
          <t>0.18103643358226101</t>
        </is>
      </c>
    </row>
    <row r="646">
      <c r="A646" t="inlineStr">
        <is>
          <t>2025-03-19</t>
        </is>
      </c>
      <c r="B646" t="n">
        <v>394</v>
      </c>
      <c r="C646" t="n">
        <v>239</v>
      </c>
      <c r="D646" t="n">
        <v>435</v>
      </c>
      <c r="E646" t="inlineStr">
        <is>
          <t>11.160202412436369</t>
        </is>
      </c>
      <c r="F646" t="inlineStr">
        <is>
          <t>2.2785531187695813</t>
        </is>
      </c>
      <c r="G646" t="inlineStr">
        <is>
          <t>0.25633722586157132</t>
        </is>
      </c>
    </row>
    <row r="647">
      <c r="A647" t="inlineStr">
        <is>
          <t>2025-03-20</t>
        </is>
      </c>
    </row>
    <row r="648">
      <c r="A648" t="inlineStr">
        <is>
          <t>2025-03-24</t>
        </is>
      </c>
      <c r="B648" t="n">
        <v>396</v>
      </c>
      <c r="C648" t="n">
        <v>383</v>
      </c>
      <c r="D648" t="n">
        <v>394</v>
      </c>
      <c r="E648" t="inlineStr">
        <is>
          <t>11.183874808640615</t>
        </is>
      </c>
      <c r="F648" t="inlineStr">
        <is>
          <t>3.5512510088781202</t>
        </is>
      </c>
      <c r="G648" t="inlineStr">
        <is>
          <t>0.2421307506053246</t>
        </is>
      </c>
    </row>
    <row r="649">
      <c r="A649" t="inlineStr">
        <is>
          <t>2025-03-25</t>
        </is>
      </c>
      <c r="B649" t="n">
        <v>455</v>
      </c>
      <c r="C649" t="n">
        <v>450</v>
      </c>
      <c r="D649" t="n">
        <v>362</v>
      </c>
      <c r="E649" t="inlineStr">
        <is>
          <t>12.864701658935608</t>
        </is>
      </c>
      <c r="F649" t="inlineStr">
        <is>
          <t>4.2731986411585874</t>
        </is>
      </c>
      <c r="G649" t="inlineStr">
        <is>
          <t>0.23243339889147349</t>
        </is>
      </c>
    </row>
    <row r="650">
      <c r="A650" t="inlineStr">
        <is>
          <t>2025-03-26</t>
        </is>
      </c>
      <c r="B650" t="n">
        <v>306</v>
      </c>
      <c r="C650" t="n">
        <v>178</v>
      </c>
      <c r="D650" t="n">
        <v>430</v>
      </c>
      <c r="E650" t="inlineStr">
        <is>
          <t>8.6083940281367131</t>
        </is>
      </c>
      <c r="F650" t="inlineStr">
        <is>
          <t>1.8982536066818525</t>
        </is>
      </c>
      <c r="G650" t="inlineStr">
        <is>
          <t>0.25310048089091358</t>
        </is>
      </c>
    </row>
    <row r="651">
      <c r="A651" t="inlineStr">
        <is>
          <t>2025-03-27</t>
        </is>
      </c>
      <c r="B651" t="n">
        <v>173</v>
      </c>
      <c r="C651" t="n">
        <v>617</v>
      </c>
      <c r="D651" t="n">
        <v>479</v>
      </c>
      <c r="E651" t="inlineStr">
        <is>
          <t>6.2236507253104572</t>
        </is>
      </c>
      <c r="F651" t="inlineStr">
        <is>
          <t>9.2404072043852885</t>
        </is>
      </c>
      <c r="G651" t="inlineStr">
        <is>
          <t>0.2740798747063441</t>
        </is>
      </c>
    </row>
    <row r="652">
      <c r="A652" t="inlineStr">
        <is>
          <t>2025-03-28</t>
        </is>
      </c>
      <c r="B652" t="n">
        <v>436</v>
      </c>
      <c r="C652" t="n">
        <v>528</v>
      </c>
      <c r="D652" t="n">
        <v>121</v>
      </c>
      <c r="E652" t="inlineStr">
        <is>
          <t>12.213624319059363</t>
        </is>
      </c>
      <c r="F652" t="inlineStr">
        <is>
          <t>5.7975507673228925</t>
        </is>
      </c>
      <c r="G652" t="inlineStr">
        <is>
          <t>0.17051619903890339</t>
        </is>
      </c>
    </row>
    <row r="653">
      <c r="A653" t="inlineStr">
        <is>
          <t>2025-04-02</t>
        </is>
      </c>
    </row>
    <row r="654">
      <c r="A654" t="inlineStr">
        <is>
          <t>2025-04-03</t>
        </is>
      </c>
      <c r="B654" t="n">
        <v>470</v>
      </c>
      <c r="C654" t="n">
        <v>686</v>
      </c>
      <c r="D654" t="n">
        <v>442</v>
      </c>
      <c r="E654" t="inlineStr">
        <is>
          <t>13.377810958586457</t>
        </is>
      </c>
      <c r="F654" t="inlineStr">
        <is>
          <t>19.010705057216686</t>
        </is>
      </c>
      <c r="G654" t="inlineStr">
        <is>
          <t>0.2583979328165385</t>
        </is>
      </c>
    </row>
    <row r="655">
      <c r="A655" t="inlineStr">
        <is>
          <t>2025-04-04</t>
        </is>
      </c>
      <c r="B655" t="n">
        <v>335</v>
      </c>
      <c r="C655" t="n">
        <v>330</v>
      </c>
      <c r="D655" t="n">
        <v>296</v>
      </c>
      <c r="E655" t="inlineStr">
        <is>
          <t>9.3944680869489314</t>
        </is>
      </c>
      <c r="F655" t="inlineStr">
        <is>
          <t>2.9121725731895189</t>
        </is>
      </c>
      <c r="G655" t="inlineStr">
        <is>
          <t>0.21571648690292411</t>
        </is>
      </c>
    </row>
    <row r="656">
      <c r="A656" t="inlineStr">
        <is>
          <t>2025-04-07</t>
        </is>
      </c>
    </row>
    <row r="657">
      <c r="A657" t="inlineStr">
        <is>
          <t>2025-04-08</t>
        </is>
      </c>
    </row>
    <row r="658">
      <c r="A658" t="inlineStr">
        <is>
          <t>2025-04-09</t>
        </is>
      </c>
      <c r="B658" t="n">
        <v>700</v>
      </c>
      <c r="C658" t="n">
        <v>677</v>
      </c>
      <c r="D658" t="n">
        <v>569</v>
      </c>
      <c r="E658" t="inlineStr">
        <is>
          <t>51.66839341216852</t>
        </is>
      </c>
      <c r="F658" t="inlineStr">
        <is>
          <t>16.522893165228936</t>
        </is>
      </c>
      <c r="G658" t="inlineStr">
        <is>
          <t>0.33178500331784999</t>
        </is>
      </c>
    </row>
    <row r="659">
      <c r="A659" t="inlineStr">
        <is>
          <t>2025-04-16</t>
        </is>
      </c>
    </row>
    <row r="660">
      <c r="A660" t="inlineStr">
        <is>
          <t>2025-04-17</t>
        </is>
      </c>
    </row>
    <row r="661">
      <c r="A661" t="inlineStr">
        <is>
          <t>2025-04-21</t>
        </is>
      </c>
      <c r="B661" t="n">
        <v>331</v>
      </c>
      <c r="C661" t="n">
        <v>320</v>
      </c>
      <c r="D661" t="n">
        <v>210</v>
      </c>
      <c r="E661" t="inlineStr">
        <is>
          <t>9.3076447902244315</t>
        </is>
      </c>
      <c r="F661" t="inlineStr">
        <is>
          <t>2.8003613369467062</t>
        </is>
      </c>
      <c r="G661" t="inlineStr">
        <is>
          <t>0.19572417946401</t>
        </is>
      </c>
    </row>
    <row r="662">
      <c r="A662" t="inlineStr">
        <is>
          <t>2025-04-24</t>
        </is>
      </c>
    </row>
    <row r="663">
      <c r="A663" t="inlineStr">
        <is>
          <t>2025-04-25</t>
        </is>
      </c>
      <c r="B663" t="n">
        <v>631</v>
      </c>
      <c r="C663" t="n">
        <v>354</v>
      </c>
      <c r="D663" t="n">
        <v>138</v>
      </c>
      <c r="E663" t="inlineStr">
        <is>
          <t>26.892279172615897</t>
        </is>
      </c>
      <c r="F663" t="inlineStr">
        <is>
          <t>3.199096725630425</t>
        </is>
      </c>
      <c r="G663" t="inlineStr">
        <is>
          <t>0.17563668297579149</t>
        </is>
      </c>
    </row>
    <row r="664">
      <c r="A664" t="inlineStr">
        <is>
          <t>2025-05-07</t>
        </is>
      </c>
      <c r="B664" t="n">
        <v>313</v>
      </c>
      <c r="C664" t="n">
        <v>415</v>
      </c>
      <c r="D664" t="n">
        <v>372</v>
      </c>
      <c r="E664" t="inlineStr">
        <is>
          <t>8.8680325900206665</t>
        </is>
      </c>
      <c r="F664" t="inlineStr">
        <is>
          <t>3.8682697334030349</t>
        </is>
      </c>
      <c r="G664" t="inlineStr">
        <is>
          <t>0.2352326189231588</t>
        </is>
      </c>
    </row>
    <row r="665">
      <c r="A665" t="inlineStr">
        <is>
          <t>2025-05-09</t>
        </is>
      </c>
      <c r="B665" t="n">
        <v>530</v>
      </c>
      <c r="C665" t="n">
        <v>414</v>
      </c>
      <c r="D665" t="n">
        <v>73</v>
      </c>
      <c r="E665" t="inlineStr">
        <is>
          <t>16.621498798520573</t>
        </is>
      </c>
      <c r="F665" t="inlineStr">
        <is>
          <t>3.8630941457148222</t>
        </is>
      </c>
      <c r="G665" t="inlineStr">
        <is>
          <t>0.14681592952834549</t>
        </is>
      </c>
    </row>
    <row r="666">
      <c r="A666" t="inlineStr">
        <is>
          <t>2025-05-13</t>
        </is>
      </c>
      <c r="B666" t="n">
        <v>277</v>
      </c>
      <c r="C666" t="n">
        <v>41</v>
      </c>
      <c r="D666" t="n">
        <v>303</v>
      </c>
      <c r="E666" t="inlineStr">
        <is>
          <t>7.9741095070449397</t>
        </is>
      </c>
      <c r="F666" t="inlineStr">
        <is>
          <t>1.1595603333736122</t>
        </is>
      </c>
      <c r="G666" t="inlineStr">
        <is>
          <t>0.21741756250755051</t>
        </is>
      </c>
    </row>
    <row r="667">
      <c r="A667" t="inlineStr">
        <is>
          <t>2025-05-14</t>
        </is>
      </c>
    </row>
    <row r="668">
      <c r="A668" t="inlineStr">
        <is>
          <t>2025-05-15</t>
        </is>
      </c>
      <c r="B668" t="n">
        <v>401</v>
      </c>
      <c r="C668" t="n">
        <v>598</v>
      </c>
      <c r="D668" t="n">
        <v>523</v>
      </c>
      <c r="E668" t="inlineStr">
        <is>
          <t>11.299021699811524</t>
        </is>
      </c>
      <c r="F668" t="inlineStr">
        <is>
          <t>8.366141732283463</t>
        </is>
      </c>
      <c r="G668" t="inlineStr">
        <is>
          <t>0.29527559055118291</t>
        </is>
      </c>
    </row>
    <row r="669">
      <c r="A669" t="inlineStr">
        <is>
          <t>2025-05-16</t>
        </is>
      </c>
      <c r="B669" t="n">
        <v>550</v>
      </c>
      <c r="C669" t="n">
        <v>427</v>
      </c>
      <c r="D669" t="n">
        <v>384</v>
      </c>
      <c r="E669" t="inlineStr">
        <is>
          <t>18.313957552359959</t>
        </is>
      </c>
      <c r="F669" t="inlineStr">
        <is>
          <t>3.984365149413696</t>
        </is>
      </c>
      <c r="G669" t="inlineStr">
        <is>
          <t>0.23956625898372461</t>
        </is>
      </c>
    </row>
    <row r="670">
      <c r="A670" t="inlineStr">
        <is>
          <t>2025-05-19</t>
        </is>
      </c>
      <c r="B670" t="n">
        <v>215</v>
      </c>
      <c r="C670" t="n">
        <v>222</v>
      </c>
      <c r="D670" t="n">
        <v>448</v>
      </c>
      <c r="E670" t="inlineStr">
        <is>
          <t>6.880894516287408</t>
        </is>
      </c>
      <c r="F670" t="inlineStr">
        <is>
          <t>2.1779893264099268</t>
        </is>
      </c>
      <c r="G670" t="inlineStr">
        <is>
          <t>0.25962786672435523</t>
        </is>
      </c>
    </row>
    <row r="671">
      <c r="A671" t="inlineStr">
        <is>
          <t>2025-05-20</t>
        </is>
      </c>
      <c r="B671" t="n">
        <v>171</v>
      </c>
      <c r="C671" t="n">
        <v>326</v>
      </c>
      <c r="D671" t="n">
        <v>313</v>
      </c>
      <c r="E671" t="inlineStr">
        <is>
          <t>6.2020590836172165</t>
        </is>
      </c>
      <c r="F671" t="inlineStr">
        <is>
          <t>2.882320543418404</t>
        </is>
      </c>
      <c r="G671" t="inlineStr">
        <is>
          <t>0.22030475491096849</t>
        </is>
      </c>
    </row>
    <row r="672">
      <c r="A672" t="inlineStr">
        <is>
          <t>2025-05-21</t>
        </is>
      </c>
      <c r="B672" t="n">
        <v>473</v>
      </c>
      <c r="C672" t="n">
        <v>323</v>
      </c>
      <c r="D672" t="n">
        <v>476</v>
      </c>
      <c r="E672" t="inlineStr">
        <is>
          <t>13.430665202239007</t>
        </is>
      </c>
      <c r="F672" t="inlineStr">
        <is>
          <t>2.8552005438477157</t>
        </is>
      </c>
      <c r="G672" t="inlineStr">
        <is>
          <t>0.27192386131883461</t>
        </is>
      </c>
    </row>
    <row r="673">
      <c r="A673" t="inlineStr">
        <is>
          <t>2025-05-22</t>
        </is>
      </c>
      <c r="B673" t="n">
        <v>337</v>
      </c>
      <c r="C673" t="n">
        <v>576</v>
      </c>
      <c r="D673" t="n">
        <v>501</v>
      </c>
      <c r="E673" t="inlineStr">
        <is>
          <t>9.4048970325931265</t>
        </is>
      </c>
      <c r="F673" t="inlineStr">
        <is>
          <t>7.4484536082474309</t>
        </is>
      </c>
      <c r="G673" t="inlineStr">
        <is>
          <t>0.2835051546391737</t>
        </is>
      </c>
    </row>
    <row r="674">
      <c r="A674" t="inlineStr">
        <is>
          <t>2025-05-23</t>
        </is>
      </c>
      <c r="B674" t="n">
        <v>344</v>
      </c>
      <c r="C674" t="n">
        <v>27</v>
      </c>
      <c r="D674" t="n">
        <v>192</v>
      </c>
      <c r="E674" t="inlineStr">
        <is>
          <t>9.5564275598440442</t>
        </is>
      </c>
      <c r="F674" t="inlineStr">
        <is>
          <t>1.0755441741357206</t>
        </is>
      </c>
      <c r="G674" t="inlineStr">
        <is>
          <t>0.1920614596670934</t>
        </is>
      </c>
    </row>
    <row r="675">
      <c r="A675" t="inlineStr">
        <is>
          <t>2025-05-26</t>
        </is>
      </c>
      <c r="B675" t="n">
        <v>233</v>
      </c>
      <c r="C675" t="n">
        <v>120</v>
      </c>
      <c r="D675" t="n">
        <v>122</v>
      </c>
      <c r="E675" t="inlineStr">
        <is>
          <t>7.131356795563196</t>
        </is>
      </c>
      <c r="F675" t="inlineStr">
        <is>
          <t>1.6237333658893851</t>
        </is>
      </c>
      <c r="G675" t="inlineStr">
        <is>
          <t>0.17091930167257161</t>
        </is>
      </c>
    </row>
    <row r="676">
      <c r="A676" t="inlineStr">
        <is>
          <t>2025-05-27</t>
        </is>
      </c>
      <c r="B676" t="n">
        <v>679</v>
      </c>
      <c r="C676" t="n">
        <v>604</v>
      </c>
      <c r="D676" t="n">
        <v>405</v>
      </c>
      <c r="E676" t="inlineStr">
        <is>
          <t>39.046378844035154</t>
        </is>
      </c>
      <c r="F676" t="inlineStr">
        <is>
          <t>8.5921931778220682</t>
        </is>
      </c>
      <c r="G676" t="inlineStr">
        <is>
          <t>0.24616105966474811</t>
        </is>
      </c>
    </row>
    <row r="677">
      <c r="A677" t="inlineStr">
        <is>
          <t>2025-05-28</t>
        </is>
      </c>
      <c r="B677" t="n">
        <v>673</v>
      </c>
      <c r="C677" t="n">
        <v>660</v>
      </c>
      <c r="D677" t="n">
        <v>467</v>
      </c>
      <c r="E677" t="inlineStr">
        <is>
          <t>36.985779813742717</t>
        </is>
      </c>
      <c r="F677" t="inlineStr">
        <is>
          <t>14.200203769740192</t>
        </is>
      </c>
      <c r="G677" t="inlineStr">
        <is>
          <t>0.2674477840040782</t>
        </is>
      </c>
    </row>
    <row r="678">
      <c r="A678" t="inlineStr">
        <is>
          <t>2025-05-29</t>
        </is>
      </c>
      <c r="B678" t="n">
        <v>665</v>
      </c>
      <c r="C678" t="n">
        <v>683</v>
      </c>
      <c r="D678" t="n">
        <v>572</v>
      </c>
      <c r="E678" t="inlineStr">
        <is>
          <t>35.265151363011313</t>
        </is>
      </c>
      <c r="F678" t="inlineStr">
        <is>
          <t>17.863105175292151</t>
        </is>
      </c>
      <c r="G678" t="inlineStr">
        <is>
          <t>0.33388981636059778</t>
        </is>
      </c>
    </row>
    <row r="679">
      <c r="A679" t="inlineStr">
        <is>
          <t>2025-06-02</t>
        </is>
      </c>
      <c r="B679" t="n">
        <v>712</v>
      </c>
      <c r="C679" t="n">
        <v>533</v>
      </c>
      <c r="D679" t="n">
        <v>484</v>
      </c>
      <c r="E679" t="inlineStr">
        <is>
          <t>60.787493750533187</t>
        </is>
      </c>
      <c r="F679" t="inlineStr">
        <is>
          <t>6.0064190738193464</t>
        </is>
      </c>
      <c r="G679" t="inlineStr">
        <is>
          <t>0.27510316368638632</t>
        </is>
      </c>
    </row>
    <row r="680">
      <c r="A680" t="inlineStr">
        <is>
          <t>2025-06-03</t>
        </is>
      </c>
      <c r="B680" t="n">
        <v>658</v>
      </c>
      <c r="C680" t="n">
        <v>640</v>
      </c>
      <c r="D680" t="n">
        <v>227</v>
      </c>
      <c r="E680" t="inlineStr">
        <is>
          <t>32.730115949466317</t>
        </is>
      </c>
      <c r="F680" t="inlineStr">
        <is>
          <t>10.897076940306858</t>
        </is>
      </c>
      <c r="G680" t="inlineStr">
        <is>
          <t>0.2015903236644653</t>
        </is>
      </c>
    </row>
    <row r="681">
      <c r="A681" t="inlineStr">
        <is>
          <t>2025-06-04</t>
        </is>
      </c>
      <c r="B681" t="n">
        <v>190</v>
      </c>
      <c r="C681" t="n">
        <v>636</v>
      </c>
      <c r="D681" t="n">
        <v>420</v>
      </c>
      <c r="E681" t="inlineStr">
        <is>
          <t>6.4018014466038951</t>
        </is>
      </c>
      <c r="F681" t="inlineStr">
        <is>
          <t>10.181514708950568</t>
        </is>
      </c>
      <c r="G681" t="inlineStr">
        <is>
          <t>0.25036511579386961</t>
        </is>
      </c>
    </row>
    <row r="682">
      <c r="A682" t="inlineStr">
        <is>
          <t>2025-06-05</t>
        </is>
      </c>
      <c r="B682" t="n">
        <v>375</v>
      </c>
      <c r="C682" t="n">
        <v>625</v>
      </c>
      <c r="D682" t="n">
        <v>157</v>
      </c>
      <c r="E682" t="inlineStr">
        <is>
          <t>10.363889940346318</t>
        </is>
      </c>
      <c r="F682" t="inlineStr">
        <is>
          <t>9.6504005826656964</t>
        </is>
      </c>
      <c r="G682" t="inlineStr">
        <is>
          <t>0.18208302986162719</t>
        </is>
      </c>
    </row>
    <row r="683">
      <c r="A683" t="inlineStr">
        <is>
          <t>2025-06-09</t>
        </is>
      </c>
      <c r="B683" t="n">
        <v>160</v>
      </c>
      <c r="C683" t="n">
        <v>307</v>
      </c>
      <c r="D683" t="n">
        <v>309</v>
      </c>
      <c r="E683" t="inlineStr">
        <is>
          <t>5.9494673336425823</t>
        </is>
      </c>
      <c r="F683" t="inlineStr">
        <is>
          <t>2.722152690863576</t>
        </is>
      </c>
      <c r="G683" t="inlineStr">
        <is>
          <t>0.21902377972466111</t>
        </is>
      </c>
    </row>
    <row r="684">
      <c r="A684" t="inlineStr">
        <is>
          <t>2025-06-10</t>
        </is>
      </c>
      <c r="B684" t="n">
        <v>351</v>
      </c>
      <c r="C684" t="n">
        <v>507</v>
      </c>
      <c r="D684" t="n">
        <v>146</v>
      </c>
      <c r="E684" t="inlineStr">
        <is>
          <t>9.7286908842751672</t>
        </is>
      </c>
      <c r="F684" t="inlineStr">
        <is>
          <t>5.2767308073794927</t>
        </is>
      </c>
      <c r="G684" t="inlineStr">
        <is>
          <t>0.1785360047609556</t>
        </is>
      </c>
    </row>
    <row r="685">
      <c r="A685" t="inlineStr">
        <is>
          <t>2025-06-12</t>
        </is>
      </c>
      <c r="B685" t="n">
        <v>170</v>
      </c>
      <c r="C685" t="n">
        <v>630</v>
      </c>
      <c r="D685" t="n">
        <v>361</v>
      </c>
      <c r="E685" t="inlineStr">
        <is>
          <t>6.1767630175295087</t>
        </is>
      </c>
      <c r="F685" t="inlineStr">
        <is>
          <t>9.9575453492859936</t>
        </is>
      </c>
      <c r="G685" t="inlineStr">
        <is>
          <t>0.2315708220764271</t>
        </is>
      </c>
    </row>
    <row r="686">
      <c r="A686" t="inlineStr">
        <is>
          <t>2025-06-13</t>
        </is>
      </c>
      <c r="B686" t="n">
        <v>406</v>
      </c>
      <c r="C686" t="n">
        <v>500</v>
      </c>
      <c r="D686" t="n">
        <v>251</v>
      </c>
      <c r="E686" t="inlineStr">
        <is>
          <t>11.392904661732455</t>
        </is>
      </c>
      <c r="F686" t="inlineStr">
        <is>
          <t>5.1226025734401608</t>
        </is>
      </c>
      <c r="G686" t="inlineStr">
        <is>
          <t>0.20636076717649771</t>
        </is>
      </c>
    </row>
    <row r="687">
      <c r="A687" t="inlineStr">
        <is>
          <t>2025-06-17</t>
        </is>
      </c>
      <c r="B687" t="n">
        <v>247</v>
      </c>
      <c r="C687" t="n">
        <v>566</v>
      </c>
      <c r="D687" t="n">
        <v>337</v>
      </c>
      <c r="E687" t="inlineStr">
        <is>
          <t>7.3753850532216028</t>
        </is>
      </c>
      <c r="F687" t="inlineStr">
        <is>
          <t>7.0876531573986847</t>
        </is>
      </c>
      <c r="G687" t="inlineStr">
        <is>
          <t>0.22620169651273239</t>
        </is>
      </c>
    </row>
    <row r="688">
      <c r="A688" t="inlineStr">
        <is>
          <t>2025-06-18</t>
        </is>
      </c>
      <c r="B688" t="n">
        <v>410</v>
      </c>
      <c r="C688" t="n">
        <v>562</v>
      </c>
      <c r="D688" t="n">
        <v>258</v>
      </c>
      <c r="E688" t="inlineStr">
        <is>
          <t>11.485081483630736</t>
        </is>
      </c>
      <c r="F688" t="inlineStr">
        <is>
          <t>6.9090909090909145</t>
        </is>
      </c>
      <c r="G688" t="inlineStr">
        <is>
          <t>0.20779220779221069</t>
        </is>
      </c>
    </row>
    <row r="689">
      <c r="A689" t="inlineStr">
        <is>
          <t>2025-06-25</t>
        </is>
      </c>
    </row>
    <row r="690">
      <c r="A690" t="inlineStr">
        <is>
          <t>2025-06-26</t>
        </is>
      </c>
      <c r="B690" t="n">
        <v>149</v>
      </c>
      <c r="C690" t="n">
        <v>586</v>
      </c>
      <c r="D690" t="n">
        <v>338</v>
      </c>
      <c r="E690" t="inlineStr">
        <is>
          <t>5.7982561843138347</t>
        </is>
      </c>
      <c r="F690" t="inlineStr">
        <is>
          <t>7.8054298642533899</t>
        </is>
      </c>
      <c r="G690" t="inlineStr">
        <is>
          <t>0.2262443438914005</t>
        </is>
      </c>
    </row>
    <row r="691">
      <c r="A691" t="inlineStr">
        <is>
          <t>2025-06-27</t>
        </is>
      </c>
      <c r="B691" t="n">
        <v>169</v>
      </c>
      <c r="C691" t="n">
        <v>110</v>
      </c>
      <c r="D691" t="n">
        <v>34</v>
      </c>
      <c r="E691" t="inlineStr">
        <is>
          <t>6.1690675922868206</t>
        </is>
      </c>
      <c r="F691" t="inlineStr">
        <is>
          <t>1.5904879555280966</t>
        </is>
      </c>
      <c r="G691" t="inlineStr">
        <is>
          <t>0.1235330450895632</t>
        </is>
      </c>
    </row>
    <row r="692">
      <c r="A692" t="inlineStr">
        <is>
          <t>2025-07-01</t>
        </is>
      </c>
      <c r="B692" t="n">
        <v>243</v>
      </c>
      <c r="C692" t="n">
        <v>511</v>
      </c>
      <c r="D692" t="n">
        <v>306</v>
      </c>
      <c r="E692" t="inlineStr">
        <is>
          <t>7.3314214136316327</t>
        </is>
      </c>
      <c r="F692" t="inlineStr">
        <is>
          <t>5.3731343283582085</t>
        </is>
      </c>
      <c r="G692" t="inlineStr">
        <is>
          <t>0.21890547263682039</t>
        </is>
      </c>
    </row>
    <row r="693">
      <c r="A693" t="inlineStr">
        <is>
          <t>2025-07-04</t>
        </is>
      </c>
      <c r="B693" t="n">
        <v>90</v>
      </c>
      <c r="C693" t="n">
        <v>95</v>
      </c>
      <c r="D693" t="n">
        <v>96</v>
      </c>
      <c r="E693" t="inlineStr">
        <is>
          <t>4.9126144147911495</t>
        </is>
      </c>
      <c r="F693" t="inlineStr">
        <is>
          <t>1.5030380556444023</t>
        </is>
      </c>
      <c r="G693" t="inlineStr">
        <is>
          <t>0.1598976654940838</t>
        </is>
      </c>
    </row>
    <row r="694">
      <c r="A694" t="inlineStr">
        <is>
          <t>2025-07-07</t>
        </is>
      </c>
      <c r="B694" t="n">
        <v>288</v>
      </c>
      <c r="C694" t="n">
        <v>270</v>
      </c>
      <c r="D694" t="n">
        <v>221</v>
      </c>
      <c r="E694" t="inlineStr">
        <is>
          <t>8.297531386101511</t>
        </is>
      </c>
      <c r="F694" t="inlineStr">
        <is>
          <t>2.448735815249842</t>
        </is>
      </c>
      <c r="G694" t="inlineStr">
        <is>
          <t>0.19908421262192769</t>
        </is>
      </c>
    </row>
    <row r="695">
      <c r="A695" t="inlineStr">
        <is>
          <t>2025-07-08</t>
        </is>
      </c>
      <c r="B695" t="n">
        <v>103</v>
      </c>
      <c r="C695" t="n">
        <v>261</v>
      </c>
      <c r="D695" t="n">
        <v>249</v>
      </c>
      <c r="E695" t="inlineStr">
        <is>
          <t>5.1485008430173149</t>
        </is>
      </c>
      <c r="F695" t="inlineStr">
        <is>
          <t>2.3820430600091691</t>
        </is>
      </c>
      <c r="G695" t="inlineStr">
        <is>
          <t>0.20613834173156331</t>
        </is>
      </c>
    </row>
    <row r="696">
      <c r="A696" t="inlineStr">
        <is>
          <t>2025-07-14</t>
        </is>
      </c>
      <c r="B696" t="n">
        <v>86</v>
      </c>
      <c r="C696" t="n">
        <v>75</v>
      </c>
      <c r="D696" t="n">
        <v>454</v>
      </c>
      <c r="E696" t="inlineStr">
        <is>
          <t>4.8359845009673244</t>
        </is>
      </c>
      <c r="F696" t="inlineStr">
        <is>
          <t>1.3897937024972806</t>
        </is>
      </c>
      <c r="G696" t="inlineStr">
        <is>
          <t>0.2605863192182386</t>
        </is>
      </c>
    </row>
    <row r="697">
      <c r="A697" t="inlineStr">
        <is>
          <t>2025-07-15</t>
        </is>
      </c>
      <c r="B697" t="n">
        <v>106</v>
      </c>
      <c r="C697" t="n">
        <v>248</v>
      </c>
      <c r="D697" t="n">
        <v>91</v>
      </c>
      <c r="E697" t="inlineStr">
        <is>
          <t>5.3069061333518368</t>
        </is>
      </c>
      <c r="F697" t="inlineStr">
        <is>
          <t>2.3255813953488254</t>
        </is>
      </c>
      <c r="G697" t="inlineStr">
        <is>
          <t>0.15856236786469941</t>
        </is>
      </c>
    </row>
    <row r="698">
      <c r="A698" t="inlineStr">
        <is>
          <t>2025-07-18</t>
        </is>
      </c>
      <c r="B698" t="n">
        <v>221</v>
      </c>
      <c r="C698" t="n">
        <v>293</v>
      </c>
      <c r="D698" t="n">
        <v>285</v>
      </c>
      <c r="E698" t="inlineStr">
        <is>
          <t>6.9599304006951197</t>
        </is>
      </c>
      <c r="F698" t="inlineStr">
        <is>
          <t>2.5983271044669709</t>
        </is>
      </c>
      <c r="G698" t="inlineStr">
        <is>
          <t>0.21356113187399689</t>
        </is>
      </c>
    </row>
    <row r="699">
      <c r="A699" t="inlineStr">
        <is>
          <t>2025-07-21</t>
        </is>
      </c>
      <c r="B699" t="n">
        <v>265</v>
      </c>
      <c r="C699" t="n">
        <v>7</v>
      </c>
      <c r="D699" t="n">
        <v>92</v>
      </c>
      <c r="E699" t="inlineStr">
        <is>
          <t>7.7444453116082812</t>
        </is>
      </c>
      <c r="F699" t="inlineStr">
        <is>
          <t>0.81799591002045502</t>
        </is>
      </c>
      <c r="G699" t="inlineStr">
        <is>
          <t>0.159054760281758</t>
        </is>
      </c>
    </row>
    <row r="700">
      <c r="A700" t="inlineStr">
        <is>
          <t>2025-07-29</t>
        </is>
      </c>
      <c r="B700" t="n">
        <v>390</v>
      </c>
      <c r="C700" t="n">
        <v>124</v>
      </c>
      <c r="D700" t="n">
        <v>304</v>
      </c>
      <c r="E700" t="inlineStr">
        <is>
          <t>11.040904017065792</t>
        </is>
      </c>
      <c r="F700" t="inlineStr">
        <is>
          <t>1.6468878663114583</t>
        </is>
      </c>
      <c r="G700" t="inlineStr">
        <is>
          <t>0.21797045289416461</t>
        </is>
      </c>
    </row>
    <row r="701">
      <c r="A701" t="inlineStr">
        <is>
          <t>2025-07-31</t>
        </is>
      </c>
      <c r="B701" t="n">
        <v>429</v>
      </c>
      <c r="C701" t="n">
        <v>548</v>
      </c>
      <c r="D701" t="n">
        <v>352</v>
      </c>
      <c r="E701" t="inlineStr">
        <is>
          <t>11.948934029306628</t>
        </is>
      </c>
      <c r="F701" t="inlineStr">
        <is>
          <t>6.5623807706981907</t>
        </is>
      </c>
      <c r="G701" t="inlineStr">
        <is>
          <t>0.22892025944295849</t>
        </is>
      </c>
    </row>
    <row r="702">
      <c r="A702" t="inlineStr">
        <is>
          <t>2025-08-06</t>
        </is>
      </c>
      <c r="B702" t="n">
        <v>176</v>
      </c>
      <c r="C702" t="n">
        <v>343</v>
      </c>
      <c r="D702" t="n">
        <v>219</v>
      </c>
      <c r="E702" t="inlineStr">
        <is>
          <t>6.2650670808237159</t>
        </is>
      </c>
      <c r="F702" t="inlineStr">
        <is>
          <t>3.0957114456120358</t>
        </is>
      </c>
      <c r="G702" t="inlineStr">
        <is>
          <t>0.19880715705765889</t>
        </is>
      </c>
    </row>
    <row r="703">
      <c r="A703" t="inlineStr">
        <is>
          <t>2025-08-11</t>
        </is>
      </c>
      <c r="B703" t="n">
        <v>200</v>
      </c>
      <c r="C703" t="n">
        <v>19</v>
      </c>
      <c r="D703" t="n">
        <v>93</v>
      </c>
      <c r="E703" t="inlineStr">
        <is>
          <t>6.5559664416467767</t>
        </is>
      </c>
      <c r="F703" t="inlineStr">
        <is>
          <t>0.97434877709286838</t>
        </is>
      </c>
      <c r="G703" t="inlineStr">
        <is>
          <t>0.1590773513621021</t>
        </is>
      </c>
    </row>
    <row r="704">
      <c r="A704" t="inlineStr">
        <is>
          <t>2025-08-18</t>
        </is>
      </c>
      <c r="B704" t="n">
        <v>617</v>
      </c>
      <c r="C704" t="n">
        <v>626</v>
      </c>
      <c r="D704" t="n">
        <v>375</v>
      </c>
      <c r="E704" t="inlineStr">
        <is>
          <t>25.263149459276157</t>
        </is>
      </c>
      <c r="F704" t="inlineStr">
        <is>
          <t>9.6650891882053394</t>
        </is>
      </c>
      <c r="G704" t="inlineStr">
        <is>
          <t>0.2366217692027584</t>
        </is>
      </c>
    </row>
    <row r="705">
      <c r="A705" t="inlineStr">
        <is>
          <t>2025-08-25</t>
        </is>
      </c>
      <c r="B705" t="n">
        <v>197</v>
      </c>
      <c r="C705" t="n">
        <v>103</v>
      </c>
      <c r="D705" t="n">
        <v>495</v>
      </c>
      <c r="E705" t="inlineStr">
        <is>
          <t>6.5334589253860038</t>
        </is>
      </c>
      <c r="F705" t="inlineStr">
        <is>
          <t>1.5454775779072769</t>
        </is>
      </c>
      <c r="G705" t="inlineStr">
        <is>
          <t>0.27869267798327702</t>
        </is>
      </c>
    </row>
    <row r="706">
      <c r="A706" t="inlineStr">
        <is>
          <t>2025-09-03</t>
        </is>
      </c>
      <c r="B706" t="n">
        <v>478</v>
      </c>
      <c r="C706" t="n">
        <v>228</v>
      </c>
      <c r="D706" t="n">
        <v>346</v>
      </c>
      <c r="E706" t="inlineStr">
        <is>
          <t>13.655169326135876</t>
        </is>
      </c>
      <c r="F706" t="inlineStr">
        <is>
          <t>2.224334600760443</t>
        </is>
      </c>
      <c r="G706" t="inlineStr">
        <is>
          <t>0.22813688212928621</t>
        </is>
      </c>
    </row>
    <row r="707">
      <c r="A707" t="inlineStr">
        <is>
          <t>2025-09-11</t>
        </is>
      </c>
      <c r="B707" t="n">
        <v>10</v>
      </c>
      <c r="C707" t="n">
        <v>14</v>
      </c>
      <c r="D707" t="n">
        <v>411</v>
      </c>
      <c r="E707" t="inlineStr">
        <is>
          <t>2.5392077671760589</t>
        </is>
      </c>
      <c r="F707" t="inlineStr">
        <is>
          <t>0.8924144769459651</t>
        </is>
      </c>
      <c r="G707" t="inlineStr">
        <is>
          <t>0.2478929102627665</t>
        </is>
      </c>
    </row>
    <row r="708">
      <c r="A708" t="inlineStr">
        <is>
          <t>2025-09-17</t>
        </is>
      </c>
      <c r="B708" t="n">
        <v>136</v>
      </c>
      <c r="C708" t="n">
        <v>182</v>
      </c>
      <c r="D708" t="n">
        <v>143</v>
      </c>
      <c r="E708" t="inlineStr">
        <is>
          <t>5.6999499035547689</t>
        </is>
      </c>
      <c r="F708" t="inlineStr">
        <is>
          <t>1.9299023957409029</t>
        </is>
      </c>
      <c r="G708" t="inlineStr">
        <is>
          <t>0.17746228926352769</t>
        </is>
      </c>
    </row>
    <row r="709">
      <c r="A709" t="inlineStr">
        <is>
          <t>2025-10-09</t>
        </is>
      </c>
      <c r="B709" t="n">
        <v>131</v>
      </c>
      <c r="C709" t="n">
        <v>73</v>
      </c>
      <c r="D709" t="n">
        <v>118</v>
      </c>
      <c r="E709" t="inlineStr">
        <is>
          <t>5.643183313722778</t>
        </is>
      </c>
      <c r="F709" t="inlineStr">
        <is>
          <t>1.358893472458133</t>
        </is>
      </c>
      <c r="G709" t="inlineStr">
        <is>
          <t>0.16986168405726479</t>
        </is>
      </c>
    </row>
    <row r="710">
      <c r="A710" t="inlineStr">
        <is>
          <t>2025-10-17</t>
        </is>
      </c>
      <c r="B710" t="n">
        <v>129</v>
      </c>
      <c r="C710" t="n">
        <v>203</v>
      </c>
      <c r="D710" t="n">
        <v>317</v>
      </c>
      <c r="E710" t="inlineStr">
        <is>
          <t>5.6145814789232311</t>
        </is>
      </c>
      <c r="F710" t="inlineStr">
        <is>
          <t>2.044198895027618</t>
        </is>
      </c>
      <c r="G710" t="inlineStr">
        <is>
          <t>0.22099447513812459</t>
        </is>
      </c>
    </row>
    <row r="711">
      <c r="A711" t="inlineStr">
        <is>
          <t>2025-10-28</t>
        </is>
      </c>
      <c r="B711" t="n">
        <v>502</v>
      </c>
      <c r="C711" t="n">
        <v>684</v>
      </c>
      <c r="D711" t="n">
        <v>589</v>
      </c>
      <c r="E711" t="inlineStr">
        <is>
          <t>14.680732499374374</t>
        </is>
      </c>
      <c r="F711" t="inlineStr">
        <is>
          <t>18.31083419868466</t>
        </is>
      </c>
      <c r="G711" t="inlineStr">
        <is>
          <t>0.34614053305641601</t>
        </is>
      </c>
    </row>
    <row r="712">
      <c r="A712" t="inlineStr">
        <is>
          <t>2025-10-30</t>
        </is>
      </c>
      <c r="B712" t="n">
        <v>14</v>
      </c>
      <c r="C712" t="n">
        <v>196</v>
      </c>
      <c r="D712" t="n">
        <v>52</v>
      </c>
      <c r="E712" t="inlineStr">
        <is>
          <t>2.689571570460052</t>
        </is>
      </c>
      <c r="F712" t="inlineStr">
        <is>
          <t>2.0202020202020243</t>
        </is>
      </c>
      <c r="G712" t="inlineStr">
        <is>
          <t>0.1334095673718185</t>
        </is>
      </c>
    </row>
    <row r="713">
      <c r="A713" t="inlineStr">
        <is>
          <t>2025-10-31</t>
        </is>
      </c>
      <c r="B713" t="n">
        <v>52</v>
      </c>
      <c r="C713" t="n">
        <v>17</v>
      </c>
      <c r="D713" t="n">
        <v>226</v>
      </c>
      <c r="E713" t="inlineStr">
        <is>
          <t>3.9399429094549858</t>
        </is>
      </c>
      <c r="F713" t="inlineStr">
        <is>
          <t>0.95982142857143105</t>
        </is>
      </c>
      <c r="G713" t="inlineStr">
        <is>
          <t>0.2008928571428584</t>
        </is>
      </c>
    </row>
    <row r="714">
      <c r="A714" t="inlineStr">
        <is>
          <t>2025-11-04</t>
        </is>
      </c>
      <c r="B714" t="n">
        <v>534</v>
      </c>
      <c r="C714" t="n">
        <v>537</v>
      </c>
      <c r="D714" t="n">
        <v>460</v>
      </c>
      <c r="E714" t="inlineStr">
        <is>
          <t>16.894578605372619</t>
        </is>
      </c>
      <c r="F714" t="inlineStr">
        <is>
          <t>6.0856498873027975</t>
        </is>
      </c>
      <c r="G714" t="inlineStr">
        <is>
          <t>0.26296018031554791</t>
        </is>
      </c>
    </row>
    <row r="715">
      <c r="A715" t="inlineStr">
        <is>
          <t>2025-11-14</t>
        </is>
      </c>
      <c r="B715" t="n">
        <v>251</v>
      </c>
      <c r="C715" t="n">
        <v>179</v>
      </c>
      <c r="D715" t="n">
        <v>82</v>
      </c>
      <c r="E715" t="inlineStr">
        <is>
          <t>7.3946027143219295</t>
        </is>
      </c>
      <c r="F715" t="inlineStr">
        <is>
          <t>1.9069412662090008</t>
        </is>
      </c>
      <c r="G715" t="inlineStr">
        <is>
          <t>0.1525553012967113</t>
        </is>
      </c>
    </row>
    <row r="716">
      <c r="A716" t="inlineStr">
        <is>
          <t>2025-11-20</t>
        </is>
      </c>
      <c r="B716" t="n">
        <v>123</v>
      </c>
      <c r="C716" t="n">
        <v>20</v>
      </c>
      <c r="D716" t="n">
        <v>84</v>
      </c>
      <c r="E716" t="inlineStr">
        <is>
          <t>5.5331972690146181</t>
        </is>
      </c>
      <c r="F716" t="inlineStr">
        <is>
          <t>1.003667245705449</t>
        </is>
      </c>
      <c r="G716" t="inlineStr">
        <is>
          <t>0.15441034549315019</t>
        </is>
      </c>
    </row>
    <row r="717">
      <c r="A717" t="inlineStr">
        <is>
          <t>2025-12-03</t>
        </is>
      </c>
      <c r="B717" t="n">
        <v>42</v>
      </c>
      <c r="C717" t="n">
        <v>28</v>
      </c>
      <c r="D717" t="n">
        <v>244</v>
      </c>
      <c r="E717" t="inlineStr">
        <is>
          <t>3.7209873275435879</t>
        </is>
      </c>
      <c r="F717" t="inlineStr">
        <is>
          <t>1.0849233071455209</t>
        </is>
      </c>
      <c r="G717" t="inlineStr">
        <is>
          <t>0.20576131687243221</t>
        </is>
      </c>
    </row>
    <row r="718">
      <c r="A718" t="inlineStr">
        <is>
          <t>2025-12-04</t>
        </is>
      </c>
      <c r="B718" t="n">
        <v>143</v>
      </c>
      <c r="C718" t="n">
        <v>9</v>
      </c>
      <c r="D718" t="n">
        <v>46</v>
      </c>
      <c r="E718" t="inlineStr">
        <is>
          <t>5.7523673203975205</t>
        </is>
      </c>
      <c r="F718" t="inlineStr">
        <is>
          <t>0.84488734835354784</t>
        </is>
      </c>
      <c r="G718" t="inlineStr">
        <is>
          <t>0.12998266897746841</t>
        </is>
      </c>
    </row>
    <row r="719">
      <c r="A719" t="inlineStr">
        <is>
          <t>2025-12-11</t>
        </is>
      </c>
      <c r="B719" t="n">
        <v>419</v>
      </c>
      <c r="C719" t="n">
        <v>451</v>
      </c>
      <c r="D719" t="n">
        <v>220</v>
      </c>
      <c r="E719" t="inlineStr">
        <is>
          <t>11.658380358053602</t>
        </is>
      </c>
      <c r="F719" t="inlineStr">
        <is>
          <t>4.2769047145414758</t>
        </is>
      </c>
      <c r="G719" t="inlineStr">
        <is>
          <t>0.19892580067634771</t>
        </is>
      </c>
    </row>
    <row r="720">
      <c r="A720" t="inlineStr">
        <is>
          <t>2025-12-18</t>
        </is>
      </c>
      <c r="B720" t="n">
        <v>51</v>
      </c>
      <c r="C720" t="n">
        <v>52</v>
      </c>
      <c r="D720" t="n">
        <v>347</v>
      </c>
      <c r="E720" t="inlineStr">
        <is>
          <t>3.9319444336829408</t>
        </is>
      </c>
      <c r="F720" t="inlineStr">
        <is>
          <t>1.2094933820173459</t>
        </is>
      </c>
      <c r="G720" t="inlineStr">
        <is>
          <t>0.22820629849383839</t>
        </is>
      </c>
    </row>
    <row r="721">
      <c r="A721" t="inlineStr">
        <is>
          <t>2026-01-01</t>
        </is>
      </c>
      <c r="B721" t="n">
        <v>40</v>
      </c>
      <c r="C721" t="n">
        <v>18</v>
      </c>
      <c r="D721" t="n">
        <v>314</v>
      </c>
      <c r="E721" t="inlineStr">
        <is>
          <t>3.701195257128417</t>
        </is>
      </c>
      <c r="F721" t="inlineStr">
        <is>
          <t>0.96551724137931039</t>
        </is>
      </c>
      <c r="G721" t="inlineStr">
        <is>
          <t>0.2206896551724169</t>
        </is>
      </c>
    </row>
    <row r="722">
      <c r="A722" t="inlineStr">
        <is>
          <t>2026-01-08</t>
        </is>
      </c>
      <c r="B722" t="n">
        <v>276</v>
      </c>
      <c r="C722" t="n">
        <v>138</v>
      </c>
      <c r="D722" t="n">
        <v>188</v>
      </c>
      <c r="E722" t="inlineStr">
        <is>
          <t>7.9554801315260288</t>
        </is>
      </c>
      <c r="F722" t="inlineStr">
        <is>
          <t>1.7014138509465668</t>
        </is>
      </c>
      <c r="G722" t="inlineStr">
        <is>
          <t>0.1917086029235589</t>
        </is>
      </c>
    </row>
    <row r="723">
      <c r="A723" t="inlineStr">
        <is>
          <t>2026-01-21</t>
        </is>
      </c>
      <c r="B723" t="n">
        <v>239</v>
      </c>
      <c r="C723" t="n">
        <v>50</v>
      </c>
      <c r="D723" t="n">
        <v>63</v>
      </c>
      <c r="E723" t="inlineStr">
        <is>
          <t>7.2558179995698628</t>
        </is>
      </c>
      <c r="F723" t="inlineStr">
        <is>
          <t>1.2021857923497341</t>
        </is>
      </c>
      <c r="G723" t="inlineStr">
        <is>
          <t>0.14051522248244089</t>
        </is>
      </c>
    </row>
    <row r="724">
      <c r="A724" t="inlineStr">
        <is>
          <t>2026-01-23</t>
        </is>
      </c>
      <c r="B724" t="n">
        <v>281</v>
      </c>
      <c r="C724" t="n">
        <v>109</v>
      </c>
      <c r="D724" t="n">
        <v>58</v>
      </c>
      <c r="E724" t="inlineStr">
        <is>
          <t>8.1418741329491144</t>
        </is>
      </c>
      <c r="F724" t="inlineStr">
        <is>
          <t>1.5876127009016121</t>
        </is>
      </c>
      <c r="G724" t="inlineStr">
        <is>
          <t>0.137201097608773</t>
        </is>
      </c>
    </row>
    <row r="725">
      <c r="A725" t="inlineStr">
        <is>
          <t>2026-01-27</t>
        </is>
      </c>
      <c r="B725" t="n">
        <v>666</v>
      </c>
      <c r="C725" t="n">
        <v>673</v>
      </c>
      <c r="D725" t="n">
        <v>22</v>
      </c>
      <c r="E725" t="inlineStr">
        <is>
          <t>35.279541644375492</t>
        </is>
      </c>
      <c r="F725" t="inlineStr">
        <is>
          <t>15.790921595598345</t>
        </is>
      </c>
      <c r="G725" t="inlineStr">
        <is>
          <t>0.11004126547454671</t>
        </is>
      </c>
    </row>
    <row r="726">
      <c r="A726" t="inlineStr">
        <is>
          <t>2026-01-28</t>
        </is>
      </c>
      <c r="B726" t="n">
        <v>326</v>
      </c>
      <c r="C726" t="n">
        <v>308</v>
      </c>
      <c r="D726" t="n">
        <v>35</v>
      </c>
      <c r="E726" t="inlineStr">
        <is>
          <t>9.1471648717315528</t>
        </is>
      </c>
      <c r="F726" t="inlineStr">
        <is>
          <t>2.7316771466859087</t>
        </is>
      </c>
      <c r="G726" t="inlineStr">
        <is>
          <t>0.123698587774455</t>
        </is>
      </c>
    </row>
    <row r="727">
      <c r="A727" t="inlineStr">
        <is>
          <t>2026-01-29</t>
        </is>
      </c>
      <c r="B727" t="n">
        <v>332</v>
      </c>
      <c r="C727" t="n">
        <v>24</v>
      </c>
      <c r="D727" t="n">
        <v>3</v>
      </c>
      <c r="E727" t="inlineStr">
        <is>
          <t>9.3460159889987544</t>
        </is>
      </c>
      <c r="F727" t="inlineStr">
        <is>
          <t>1.051859099804322</t>
        </is>
      </c>
      <c r="G727" t="inlineStr">
        <is>
          <t>0.073385518590993806</t>
        </is>
      </c>
    </row>
    <row r="728">
      <c r="A728" t="inlineStr">
        <is>
          <t>2026-01-30</t>
        </is>
      </c>
      <c r="B728" t="n">
        <v>536</v>
      </c>
      <c r="C728" t="n">
        <v>431</v>
      </c>
      <c r="D728" t="n">
        <v>240</v>
      </c>
      <c r="E728" t="inlineStr">
        <is>
          <t>16.94318792901597</t>
        </is>
      </c>
      <c r="F728" t="inlineStr">
        <is>
          <t>4.0275299515676961</t>
        </is>
      </c>
      <c r="G728" t="inlineStr">
        <is>
          <t>0.2039255671679793</t>
        </is>
      </c>
    </row>
    <row r="729">
      <c r="A729" t="inlineStr">
        <is>
          <t>2026-02-01</t>
        </is>
      </c>
      <c r="B729" t="n">
        <v>263</v>
      </c>
      <c r="C729" t="n">
        <v>4</v>
      </c>
      <c r="D729" t="n">
        <v>78</v>
      </c>
      <c r="E729" t="inlineStr">
        <is>
          <t>7.6836015351389824</t>
        </is>
      </c>
      <c r="F729" t="inlineStr">
        <is>
          <t>0.72946799144761099</t>
        </is>
      </c>
      <c r="G729" t="inlineStr">
        <is>
          <t>0.1509244120236434</t>
        </is>
      </c>
    </row>
    <row r="730">
      <c r="A730" t="inlineStr">
        <is>
          <t>2026-02-02</t>
        </is>
      </c>
      <c r="B730" t="n">
        <v>599</v>
      </c>
      <c r="C730" t="n">
        <v>608</v>
      </c>
      <c r="D730" t="n">
        <v>107</v>
      </c>
      <c r="E730" t="inlineStr">
        <is>
          <t>22.925347064282239</t>
        </is>
      </c>
      <c r="F730" t="inlineStr">
        <is>
          <t>9.0476190476190759</t>
        </is>
      </c>
      <c r="G730" t="inlineStr">
        <is>
          <t>0.16369047619047111</t>
        </is>
      </c>
    </row>
    <row r="731">
      <c r="A731" t="inlineStr">
        <is>
          <t>2026-02-03</t>
        </is>
      </c>
      <c r="B731" t="n">
        <v>705</v>
      </c>
      <c r="C731" t="n">
        <v>717</v>
      </c>
      <c r="D731" t="n">
        <v>12</v>
      </c>
      <c r="E731" t="inlineStr">
        <is>
          <t>55.046869476373786</t>
        </is>
      </c>
      <c r="F731" t="inlineStr">
        <is>
          <t>47.385620915032682</t>
        </is>
      </c>
      <c r="G731" t="inlineStr">
        <is>
          <t>0.0980392156862782</t>
        </is>
      </c>
    </row>
    <row r="732">
      <c r="A732" t="inlineStr">
        <is>
          <t>2026-02-06</t>
        </is>
      </c>
      <c r="B732" t="n">
        <v>254</v>
      </c>
      <c r="C732" t="n">
        <v>237</v>
      </c>
      <c r="D732" t="n">
        <v>215</v>
      </c>
      <c r="E732" t="inlineStr">
        <is>
          <t>7.4639697377053738</t>
        </is>
      </c>
      <c r="F732" t="inlineStr">
        <is>
          <t>2.273176517098241</t>
        </is>
      </c>
      <c r="G732" t="inlineStr">
        <is>
          <t>0.19766752322593401</t>
        </is>
      </c>
    </row>
    <row r="733">
      <c r="A733" t="inlineStr">
        <is>
          <t>2026-02-12</t>
        </is>
      </c>
      <c r="B733" t="n">
        <v>45</v>
      </c>
      <c r="C733" t="n">
        <v>60</v>
      </c>
      <c r="D733" t="n">
        <v>216</v>
      </c>
      <c r="E733" t="inlineStr">
        <is>
          <t>3.784726312150815</t>
        </is>
      </c>
      <c r="F733" t="inlineStr">
        <is>
          <t>1.2738853503184613</t>
        </is>
      </c>
      <c r="G733" t="inlineStr">
        <is>
          <t>0.19767186470459161</t>
        </is>
      </c>
    </row>
    <row r="734">
      <c r="A734" t="inlineStr">
        <is>
          <t>2026-02-17</t>
        </is>
      </c>
    </row>
    <row r="735">
      <c r="A735" t="inlineStr">
        <is>
          <t>2026-02-23</t>
        </is>
      </c>
    </row>
    <row r="736">
      <c r="A736" t="inlineStr">
        <is>
          <t>2026-02-24</t>
        </is>
      </c>
      <c r="B736" t="n">
        <v>317</v>
      </c>
      <c r="C736" t="n">
        <v>496</v>
      </c>
      <c r="D736" t="n">
        <v>191</v>
      </c>
      <c r="E736" t="inlineStr">
        <is>
          <t>8.9820066974528192</t>
        </is>
      </c>
      <c r="F736" t="inlineStr">
        <is>
          <t>5.0307219662058467</t>
        </is>
      </c>
      <c r="G736" t="inlineStr">
        <is>
          <t>0.19201228878647689</t>
        </is>
      </c>
    </row>
    <row r="737">
      <c r="A737" t="inlineStr">
        <is>
          <t>2026-03-02</t>
        </is>
      </c>
      <c r="B737" t="n">
        <v>611</v>
      </c>
      <c r="C737" t="n">
        <v>651</v>
      </c>
      <c r="D737" t="n">
        <v>54</v>
      </c>
      <c r="E737" t="inlineStr">
        <is>
          <t>24.583743397136207</t>
        </is>
      </c>
      <c r="F737" t="inlineStr">
        <is>
          <t>12.600896860986545</t>
        </is>
      </c>
      <c r="G737" t="inlineStr">
        <is>
          <t>0.1345291479820615</t>
        </is>
      </c>
    </row>
    <row r="738">
      <c r="A738" t="inlineStr">
        <is>
          <t>2026-03-06</t>
        </is>
      </c>
      <c r="B738" t="n">
        <v>285</v>
      </c>
      <c r="C738" t="n">
        <v>164</v>
      </c>
      <c r="D738" t="n">
        <v>202</v>
      </c>
      <c r="E738" t="inlineStr">
        <is>
          <t>8.2865690557582337</t>
        </is>
      </c>
      <c r="F738" t="inlineStr">
        <is>
          <t>1.8456952883182416</t>
        </is>
      </c>
      <c r="G738" t="inlineStr">
        <is>
          <t>0.194887080132987</t>
        </is>
      </c>
    </row>
    <row r="739">
      <c r="A739" t="inlineStr">
        <is>
          <t>2026-03-09</t>
        </is>
      </c>
      <c r="B739" t="n">
        <v>564</v>
      </c>
      <c r="C739" t="n">
        <v>381</v>
      </c>
      <c r="D739" t="n">
        <v>233</v>
      </c>
      <c r="E739" t="inlineStr">
        <is>
          <t>19.856904214076341</t>
        </is>
      </c>
      <c r="F739" t="inlineStr">
        <is>
          <t>3.5439449169704331</t>
        </is>
      </c>
      <c r="G739" t="inlineStr">
        <is>
          <t>0.20251113811259619</t>
        </is>
      </c>
    </row>
    <row r="740">
      <c r="A740" t="inlineStr">
        <is>
          <t>2026-03-10</t>
        </is>
      </c>
    </row>
    <row r="741">
      <c r="A741" t="inlineStr">
        <is>
          <t>2026-03-12</t>
        </is>
      </c>
      <c r="B741" t="n">
        <v>416</v>
      </c>
      <c r="C741" t="n">
        <v>318</v>
      </c>
      <c r="D741" t="n">
        <v>40</v>
      </c>
      <c r="E741" t="inlineStr">
        <is>
          <t>11.635670004769024</t>
        </is>
      </c>
      <c r="F741" t="inlineStr">
        <is>
          <t>2.7920708561788388</t>
        </is>
      </c>
      <c r="G741" t="inlineStr">
        <is>
          <t>0.12652889076338139</t>
        </is>
      </c>
    </row>
    <row r="742">
      <c r="A742" t="inlineStr">
        <is>
          <t>2026-03-13</t>
        </is>
      </c>
      <c r="B742" t="n">
        <v>172</v>
      </c>
      <c r="C742" t="n">
        <v>77</v>
      </c>
      <c r="D742" t="n">
        <v>27</v>
      </c>
      <c r="E742" t="inlineStr">
        <is>
          <t>6.2223112476808815</t>
        </is>
      </c>
      <c r="F742" t="inlineStr">
        <is>
          <t>1.3942761295733377</t>
        </is>
      </c>
      <c r="G742" t="inlineStr">
        <is>
          <t>0.1153160708669695</t>
        </is>
      </c>
    </row>
    <row r="743">
      <c r="A743" t="inlineStr">
        <is>
          <t>2026-03-16</t>
        </is>
      </c>
    </row>
    <row r="744">
      <c r="A744" t="inlineStr">
        <is>
          <t>2026-03-17</t>
        </is>
      </c>
    </row>
    <row r="745">
      <c r="A745" t="inlineStr">
        <is>
          <t>2026-03-19</t>
        </is>
      </c>
      <c r="B745" t="n">
        <v>340</v>
      </c>
      <c r="C745" t="n">
        <v>127</v>
      </c>
      <c r="D745" t="n">
        <v>123</v>
      </c>
      <c r="E745" t="inlineStr">
        <is>
          <t>9.4439650916724123</t>
        </is>
      </c>
      <c r="F745" t="inlineStr">
        <is>
          <t>1.6666666666666692</t>
        </is>
      </c>
      <c r="G745" t="inlineStr">
        <is>
          <t>0.17094017094016731</t>
        </is>
      </c>
    </row>
    <row r="746">
      <c r="A746" t="inlineStr">
        <is>
          <t>2026-03-23</t>
        </is>
      </c>
      <c r="B746" t="n">
        <v>408</v>
      </c>
      <c r="C746" t="n">
        <v>102</v>
      </c>
      <c r="D746" t="n">
        <v>166</v>
      </c>
      <c r="E746" t="inlineStr">
        <is>
          <t>11.415171559409451</t>
        </is>
      </c>
      <c r="F746" t="inlineStr">
        <is>
          <t>1.5444855340439467</t>
        </is>
      </c>
      <c r="G746" t="inlineStr">
        <is>
          <t>0.18490319773765371</t>
        </is>
      </c>
    </row>
    <row r="747">
      <c r="A747" t="inlineStr">
        <is>
          <t>2026-03-24</t>
        </is>
      </c>
    </row>
    <row r="748">
      <c r="A748" t="inlineStr">
        <is>
          <t>2026-03-27</t>
        </is>
      </c>
      <c r="B748" t="n">
        <v>670</v>
      </c>
      <c r="C748" t="n">
        <v>631</v>
      </c>
      <c r="D748" t="n">
        <v>144</v>
      </c>
      <c r="E748" t="inlineStr">
        <is>
          <t>35.790531206832227</t>
        </is>
      </c>
      <c r="F748" t="inlineStr">
        <is>
          <t>9.9722717369776106</t>
        </is>
      </c>
      <c r="G748" t="inlineStr">
        <is>
          <t>0.17825311942959671</t>
        </is>
      </c>
    </row>
    <row r="749">
      <c r="A749" t="inlineStr">
        <is>
          <t>2026-04-06</t>
        </is>
      </c>
      <c r="B749" t="n">
        <v>412</v>
      </c>
      <c r="C749" t="n">
        <v>285</v>
      </c>
      <c r="D749" t="n">
        <v>196</v>
      </c>
      <c r="E749" t="inlineStr">
        <is>
          <t>11.538325773486038</t>
        </is>
      </c>
      <c r="F749" t="inlineStr">
        <is>
          <t>2.5591446769790722</t>
        </is>
      </c>
      <c r="G749" t="inlineStr">
        <is>
          <t>0.19335759781619519</t>
        </is>
      </c>
    </row>
    <row r="750">
      <c r="A750" t="inlineStr">
        <is>
          <t>2026-04-07</t>
        </is>
      </c>
    </row>
    <row r="751">
      <c r="A751" t="inlineStr">
        <is>
          <t>2026-04-13</t>
        </is>
      </c>
      <c r="B751" t="n">
        <v>303</v>
      </c>
      <c r="C751" t="n">
        <v>421</v>
      </c>
      <c r="D751" t="n">
        <v>433</v>
      </c>
      <c r="E751" t="inlineStr">
        <is>
          <t>8.5434933772017274</t>
        </is>
      </c>
      <c r="F751" t="inlineStr">
        <is>
          <t>3.9265536723163934</t>
        </is>
      </c>
      <c r="G751" t="inlineStr">
        <is>
          <t>0.25423728813559482</t>
        </is>
      </c>
    </row>
    <row r="752">
      <c r="A752" t="inlineStr">
        <is>
          <t>2026-04-17</t>
        </is>
      </c>
      <c r="B752" t="n">
        <v>600</v>
      </c>
      <c r="C752" t="n">
        <v>340</v>
      </c>
      <c r="D752" t="n">
        <v>8</v>
      </c>
      <c r="E752" t="inlineStr">
        <is>
          <t>23.039042172004748</t>
        </is>
      </c>
      <c r="F752" t="inlineStr">
        <is>
          <t>3.0804663883690933</t>
        </is>
      </c>
      <c r="G752" t="inlineStr">
        <is>
          <t>0.086368216496324396</t>
        </is>
      </c>
    </row>
    <row r="753">
      <c r="A753" t="inlineStr">
        <is>
          <t>2026-04-20</t>
        </is>
      </c>
      <c r="B753" t="n">
        <v>560</v>
      </c>
      <c r="C753" t="n">
        <v>429</v>
      </c>
      <c r="D753" t="n">
        <v>483</v>
      </c>
      <c r="E753" t="inlineStr">
        <is>
          <t>19.408834110098173</t>
        </is>
      </c>
      <c r="F753" t="inlineStr">
        <is>
          <t>3.9977993764899975</t>
        </is>
      </c>
      <c r="G753" t="inlineStr">
        <is>
          <t>0.2750779387493123</t>
        </is>
      </c>
    </row>
    <row r="754">
      <c r="A754" t="inlineStr">
        <is>
          <t>2026-04-21</t>
        </is>
      </c>
    </row>
    <row r="755">
      <c r="A755" t="inlineStr">
        <is>
          <t>2026-04-22</t>
        </is>
      </c>
      <c r="B755" t="n">
        <v>447</v>
      </c>
      <c r="C755" t="n">
        <v>283</v>
      </c>
      <c r="D755" t="n">
        <v>231</v>
      </c>
      <c r="E755" t="inlineStr">
        <is>
          <t>12.707674454713503</t>
        </is>
      </c>
      <c r="F755" t="inlineStr">
        <is>
          <t>2.5523769009890462</t>
        </is>
      </c>
      <c r="G755" t="inlineStr">
        <is>
          <t>0.20206317132830309</t>
        </is>
      </c>
    </row>
    <row r="756">
      <c r="A756" t="inlineStr">
        <is>
          <t>2026-04-23</t>
        </is>
      </c>
      <c r="B756" t="n">
        <v>116</v>
      </c>
      <c r="C756" t="n">
        <v>66</v>
      </c>
      <c r="D756" t="n">
        <v>269</v>
      </c>
      <c r="E756" t="inlineStr">
        <is>
          <t>5.420457883869191</t>
        </is>
      </c>
      <c r="F756" t="inlineStr">
        <is>
          <t>1.3311536665109736</t>
        </is>
      </c>
      <c r="G756" t="inlineStr">
        <is>
          <t>0.2101821578701554</t>
        </is>
      </c>
    </row>
    <row r="757">
      <c r="A757" t="inlineStr">
        <is>
          <t>2026-04-27</t>
        </is>
      </c>
    </row>
    <row r="758">
      <c r="A758" t="inlineStr">
        <is>
          <t>2026-04-28</t>
        </is>
      </c>
    </row>
    <row r="759">
      <c r="A759" t="inlineStr">
        <is>
          <t>2026-04-30</t>
        </is>
      </c>
      <c r="B759" t="n">
        <v>78</v>
      </c>
      <c r="C759" t="n">
        <v>105</v>
      </c>
      <c r="D759" t="n">
        <v>136</v>
      </c>
      <c r="E759" t="inlineStr">
        <is>
          <t>4.6241511004428668</t>
        </is>
      </c>
      <c r="F759" t="inlineStr">
        <is>
          <t>1.5494189678870538</t>
        </is>
      </c>
      <c r="G759" t="inlineStr">
        <is>
          <t>0.17493439960015419</t>
        </is>
      </c>
    </row>
    <row r="760">
      <c r="A760" t="inlineStr">
        <is>
          <t>2026-05-04</t>
        </is>
      </c>
    </row>
    <row r="761">
      <c r="A761" t="inlineStr">
        <is>
          <t>2026-05-05</t>
        </is>
      </c>
      <c r="B761" t="n">
        <v>273</v>
      </c>
      <c r="C761" t="n">
        <v>463</v>
      </c>
      <c r="D761" t="n">
        <v>500</v>
      </c>
      <c r="E761" t="inlineStr">
        <is>
          <t>7.9264525068198326</t>
        </is>
      </c>
      <c r="F761" t="inlineStr">
        <is>
          <t>4.5277679518924696</t>
        </is>
      </c>
      <c r="G761" t="inlineStr">
        <is>
          <t>0.28298549699328313</t>
        </is>
      </c>
    </row>
    <row r="762">
      <c r="A762" t="inlineStr">
        <is>
          <t>2026-05-08</t>
        </is>
      </c>
      <c r="B762" t="n">
        <v>409</v>
      </c>
      <c r="C762" t="n">
        <v>12</v>
      </c>
      <c r="D762" t="n">
        <v>455</v>
      </c>
      <c r="E762" t="inlineStr">
        <is>
          <t>11.41731633192299</t>
        </is>
      </c>
      <c r="F762" t="inlineStr">
        <is>
          <t>0.87383105932850191</t>
        </is>
      </c>
      <c r="G762" t="inlineStr">
        <is>
          <t>0.26061628085236682</t>
        </is>
      </c>
    </row>
    <row r="763">
      <c r="A763" t="inlineStr">
        <is>
          <t>2026-05-12</t>
        </is>
      </c>
      <c r="B763" t="n">
        <v>535</v>
      </c>
      <c r="C763" t="n">
        <v>428</v>
      </c>
      <c r="D763" t="n">
        <v>172</v>
      </c>
      <c r="E763" t="inlineStr">
        <is>
          <t>16.92025958463022</t>
        </is>
      </c>
      <c r="F763" t="inlineStr">
        <is>
          <t>3.9925373134328312</t>
        </is>
      </c>
      <c r="G763" t="inlineStr">
        <is>
          <t>0.18656716417910441</t>
        </is>
      </c>
    </row>
    <row r="764">
      <c r="A764" t="inlineStr">
        <is>
          <t>2026-05-13</t>
        </is>
      </c>
      <c r="B764" t="n">
        <v>590</v>
      </c>
      <c r="C764" t="n">
        <v>292</v>
      </c>
      <c r="D764" t="n">
        <v>421</v>
      </c>
      <c r="E764" t="inlineStr">
        <is>
          <t>22.231600845780395</t>
        </is>
      </c>
      <c r="F764" t="inlineStr">
        <is>
          <t>2.5928750408541186</t>
        </is>
      </c>
      <c r="G764" t="inlineStr">
        <is>
          <t>0.25057195772959517</t>
        </is>
      </c>
    </row>
    <row r="765">
      <c r="A765" t="inlineStr">
        <is>
          <t>2026-05-15</t>
        </is>
      </c>
      <c r="B765" t="n">
        <v>494</v>
      </c>
      <c r="C765" t="n">
        <v>70</v>
      </c>
      <c r="D765" t="n">
        <v>444</v>
      </c>
      <c r="E765" t="inlineStr">
        <is>
          <t>14.423360369239555</t>
        </is>
      </c>
      <c r="F765" t="inlineStr">
        <is>
          <t>1.3509629203794329</t>
        </is>
      </c>
      <c r="G765" t="inlineStr">
        <is>
          <t>0.25869502730669081</t>
        </is>
      </c>
    </row>
    <row r="766">
      <c r="A766" t="inlineStr">
        <is>
          <t>2026-05-18</t>
        </is>
      </c>
      <c r="B766" t="n">
        <v>483</v>
      </c>
      <c r="C766" t="n">
        <v>219</v>
      </c>
      <c r="D766" t="n">
        <v>431</v>
      </c>
      <c r="E766" t="inlineStr">
        <is>
          <t>13.757420782677924</t>
        </is>
      </c>
      <c r="F766" t="inlineStr">
        <is>
          <t>2.1522879363357008</t>
        </is>
      </c>
      <c r="G766" t="inlineStr">
        <is>
          <t>0.25321034545125293</t>
        </is>
      </c>
    </row>
    <row r="767">
      <c r="A767" t="inlineStr">
        <is>
          <t>2026-05-19</t>
        </is>
      </c>
      <c r="B767" t="n">
        <v>466</v>
      </c>
      <c r="C767" t="n">
        <v>569</v>
      </c>
      <c r="D767" t="n">
        <v>49</v>
      </c>
      <c r="E767" t="inlineStr">
        <is>
          <t>13.155509080254662</t>
        </is>
      </c>
      <c r="F767" t="inlineStr">
        <is>
          <t>7.1641791044776015</t>
        </is>
      </c>
      <c r="G767" t="inlineStr">
        <is>
          <t>0.1326699834162634</t>
        </is>
      </c>
    </row>
    <row r="768">
      <c r="A768" t="inlineStr">
        <is>
          <t>2026-05-26</t>
        </is>
      </c>
    </row>
    <row r="769">
      <c r="A769" t="inlineStr">
        <is>
          <t>2026-05-27</t>
        </is>
      </c>
      <c r="B769" t="n">
        <v>201</v>
      </c>
      <c r="C769" t="n">
        <v>11</v>
      </c>
      <c r="D769" t="n">
        <v>87</v>
      </c>
      <c r="E769" t="inlineStr">
        <is>
          <t>6.5778757846466114</t>
        </is>
      </c>
      <c r="F769" t="inlineStr">
        <is>
          <t>0.86488019282576734</t>
        </is>
      </c>
      <c r="G769" t="inlineStr">
        <is>
          <t>0.1559620019849661</t>
        </is>
      </c>
    </row>
    <row r="770">
      <c r="A770" t="inlineStr">
        <is>
          <t>2026-06-01</t>
        </is>
      </c>
    </row>
    <row r="771">
      <c r="A771" t="inlineStr">
        <is>
          <t>2026-06-02</t>
        </is>
      </c>
      <c r="B771" t="n">
        <v>127</v>
      </c>
      <c r="C771" t="n">
        <v>338</v>
      </c>
      <c r="D771" t="n">
        <v>428</v>
      </c>
      <c r="E771" t="inlineStr">
        <is>
          <t>5.5896187880002222</t>
        </is>
      </c>
      <c r="F771" t="inlineStr">
        <is>
          <t>3.0620805369127568</t>
        </is>
      </c>
      <c r="G771" t="inlineStr">
        <is>
          <t>0.25167785234899681</t>
        </is>
      </c>
    </row>
    <row r="772">
      <c r="A772" t="inlineStr">
        <is>
          <t>2026-06-05</t>
        </is>
      </c>
      <c r="B772" t="n">
        <v>163</v>
      </c>
      <c r="C772" t="n">
        <v>59</v>
      </c>
      <c r="D772" t="n">
        <v>465</v>
      </c>
      <c r="E772" t="inlineStr">
        <is>
          <t>6.0004468417870198</t>
        </is>
      </c>
      <c r="F772" t="inlineStr">
        <is>
          <t>1.268002504696327</t>
        </is>
      </c>
      <c r="G772" t="inlineStr">
        <is>
          <t>0.26612398246711511</t>
        </is>
      </c>
    </row>
    <row r="773">
      <c r="A773" t="inlineStr">
        <is>
          <t>2026-06-09</t>
        </is>
      </c>
      <c r="B773" t="n">
        <v>108</v>
      </c>
      <c r="C773" t="n">
        <v>614</v>
      </c>
      <c r="D773" t="n">
        <v>545</v>
      </c>
      <c r="E773" t="inlineStr">
        <is>
          <t>5.3165614116648134</t>
        </is>
      </c>
      <c r="F773" t="inlineStr">
        <is>
          <t>9.1840756799369405</t>
        </is>
      </c>
      <c r="G773" t="inlineStr">
        <is>
          <t>0.31533307055576781</t>
        </is>
      </c>
    </row>
    <row r="774">
      <c r="A774" t="inlineStr">
        <is>
          <t>2026-06-11</t>
        </is>
      </c>
      <c r="B774" t="n">
        <v>482</v>
      </c>
      <c r="C774" t="n">
        <v>398</v>
      </c>
      <c r="D774" t="n">
        <v>203</v>
      </c>
      <c r="E774" t="inlineStr">
        <is>
          <t>13.751762282922476</t>
        </is>
      </c>
      <c r="F774" t="inlineStr">
        <is>
          <t>3.6748162591870401</t>
        </is>
      </c>
      <c r="G774" t="inlineStr">
        <is>
          <t>0.19499025048747731</t>
        </is>
      </c>
    </row>
    <row r="775">
      <c r="A775" t="inlineStr">
        <is>
          <t>2026-06-16</t>
        </is>
      </c>
    </row>
    <row r="776">
      <c r="A776" t="inlineStr">
        <is>
          <t>2026-06-18</t>
        </is>
      </c>
      <c r="B776" t="n">
        <v>165</v>
      </c>
      <c r="C776" t="n">
        <v>63</v>
      </c>
      <c r="D776" t="n">
        <v>105</v>
      </c>
      <c r="E776" t="inlineStr">
        <is>
          <t>6.0892100444954806</t>
        </is>
      </c>
      <c r="F776" t="inlineStr">
        <is>
          <t>1.3045841637977773</t>
        </is>
      </c>
      <c r="G776" t="inlineStr">
        <is>
          <t>0.1630730204747195</t>
        </is>
      </c>
    </row>
    <row r="777">
      <c r="A777" t="inlineStr">
        <is>
          <t>2026-06-19</t>
        </is>
      </c>
      <c r="B777" t="n">
        <v>330</v>
      </c>
      <c r="C777" t="n">
        <v>411</v>
      </c>
      <c r="D777" t="n">
        <v>33</v>
      </c>
      <c r="E777" t="inlineStr">
        <is>
          <t>9.2959273000122025</t>
        </is>
      </c>
      <c r="F777" t="inlineStr">
        <is>
          <t>3.8422025888637754</t>
        </is>
      </c>
      <c r="G777" t="inlineStr">
        <is>
          <t>0.1232792274501734</t>
        </is>
      </c>
    </row>
    <row r="778">
      <c r="A778" t="inlineStr">
        <is>
          <t>2026-06-30</t>
        </is>
      </c>
      <c r="B778" t="n">
        <v>121</v>
      </c>
      <c r="C778" t="n">
        <v>223</v>
      </c>
      <c r="D778" t="n">
        <v>514</v>
      </c>
      <c r="E778" t="inlineStr">
        <is>
          <t>5.5091589767992311</t>
        </is>
      </c>
      <c r="F778" t="inlineStr">
        <is>
          <t>2.1792763157894668</t>
        </is>
      </c>
      <c r="G778" t="inlineStr">
        <is>
          <t>0.28782894736841041</t>
        </is>
      </c>
    </row>
    <row r="779">
      <c r="A779" t="inlineStr">
        <is>
          <t>2026-07-01</t>
        </is>
      </c>
      <c r="B779" t="n">
        <v>574</v>
      </c>
      <c r="C779" t="n">
        <v>426</v>
      </c>
      <c r="D779" t="n">
        <v>198</v>
      </c>
      <c r="E779" t="inlineStr">
        <is>
          <t>20.757806104551001</t>
        </is>
      </c>
      <c r="F779" t="inlineStr">
        <is>
          <t>3.9815090963316329</t>
        </is>
      </c>
      <c r="G779" t="inlineStr">
        <is>
          <t>0.1938562481359993</t>
        </is>
      </c>
    </row>
    <row r="780">
      <c r="A780" t="inlineStr">
        <is>
          <t>2026-07-02</t>
        </is>
      </c>
      <c r="B780" t="n">
        <v>47</v>
      </c>
      <c r="C780" t="n">
        <v>54</v>
      </c>
      <c r="D780" t="n">
        <v>184</v>
      </c>
      <c r="E780" t="inlineStr">
        <is>
          <t>3.8574806089009375</t>
        </is>
      </c>
      <c r="F780" t="inlineStr">
        <is>
          <t>1.2195121951219683</t>
        </is>
      </c>
      <c r="G780" t="inlineStr">
        <is>
          <t>0.19054878048779941</t>
        </is>
      </c>
    </row>
    <row r="781">
      <c r="A781" t="inlineStr">
        <is>
          <t>2026-07-13</t>
        </is>
      </c>
      <c r="B781" t="n">
        <v>523</v>
      </c>
      <c r="C781" t="n">
        <v>515</v>
      </c>
      <c r="D781" t="n">
        <v>232</v>
      </c>
      <c r="E781" t="inlineStr">
        <is>
          <t>15.997724035138468</t>
        </is>
      </c>
      <c r="F781" t="inlineStr">
        <is>
          <t>5.4559232129325501</t>
        </is>
      </c>
      <c r="G781" t="inlineStr">
        <is>
          <t>0.20207123010861611</t>
        </is>
      </c>
    </row>
    <row r="782">
      <c r="A782" t="inlineStr">
        <is>
          <t>2026-07-14</t>
        </is>
      </c>
      <c r="B782" t="n">
        <v>472</v>
      </c>
      <c r="C782" t="n">
        <v>485</v>
      </c>
      <c r="D782" t="n">
        <v>601</v>
      </c>
      <c r="E782" t="inlineStr">
        <is>
          <t>13.420619215339144</t>
        </is>
      </c>
      <c r="F782" t="inlineStr">
        <is>
          <t>4.8202291584354073</t>
        </is>
      </c>
      <c r="G782" t="inlineStr">
        <is>
          <t>0.35559067562228031</t>
        </is>
      </c>
    </row>
    <row r="783">
      <c r="A783" t="inlineStr">
        <is>
          <t>2026-07-21</t>
        </is>
      </c>
    </row>
    <row r="784">
      <c r="A784" t="inlineStr">
        <is>
          <t>2026-07-22</t>
        </is>
      </c>
      <c r="B784" t="n">
        <v>632</v>
      </c>
      <c r="C784" t="n">
        <v>348</v>
      </c>
      <c r="D784" t="n">
        <v>481</v>
      </c>
      <c r="E784" t="inlineStr">
        <is>
          <t>26.965713241038351</t>
        </is>
      </c>
      <c r="F784" t="inlineStr">
        <is>
          <t>3.144078144078148</t>
        </is>
      </c>
      <c r="G784" t="inlineStr">
        <is>
          <t>0.27472527472527641</t>
        </is>
      </c>
    </row>
    <row r="785">
      <c r="A785" t="inlineStr">
        <is>
          <t>2026-07-28</t>
        </is>
      </c>
    </row>
    <row r="786">
      <c r="A786" t="inlineStr">
        <is>
          <t>2026-08-07</t>
        </is>
      </c>
      <c r="B786" t="n">
        <v>561</v>
      </c>
      <c r="C786" t="n">
        <v>650</v>
      </c>
      <c r="D786" t="n">
        <v>441</v>
      </c>
      <c r="E786" t="inlineStr">
        <is>
          <t>19.41822510110244</t>
        </is>
      </c>
      <c r="F786" t="inlineStr">
        <is>
          <t>12.457778660838462</t>
        </is>
      </c>
      <c r="G786" t="inlineStr">
        <is>
          <t>0.258295251341145</t>
        </is>
      </c>
    </row>
    <row r="787">
      <c r="A787" t="inlineStr">
        <is>
          <t>2026-08-10</t>
        </is>
      </c>
      <c r="B787" t="n">
        <v>154</v>
      </c>
      <c r="C787" t="n">
        <v>404</v>
      </c>
      <c r="D787" t="n">
        <v>322</v>
      </c>
      <c r="E787" t="inlineStr">
        <is>
          <t>5.8563010138712261</t>
        </is>
      </c>
      <c r="F787" t="inlineStr">
        <is>
          <t>3.7247163295510655</t>
        </is>
      </c>
      <c r="G787" t="inlineStr">
        <is>
          <t>0.22200296003946859</t>
        </is>
      </c>
    </row>
    <row r="788">
      <c r="A788" t="inlineStr">
        <is>
          <t>2026-08-11</t>
        </is>
      </c>
      <c r="B788" t="n">
        <v>629</v>
      </c>
      <c r="C788" t="n">
        <v>652</v>
      </c>
      <c r="D788" t="n">
        <v>599</v>
      </c>
      <c r="E788" t="inlineStr">
        <is>
          <t>26.689702664488024</t>
        </is>
      </c>
      <c r="F788" t="inlineStr">
        <is>
          <t>12.81446540880502</t>
        </is>
      </c>
      <c r="G788" t="inlineStr">
        <is>
          <t>0.35377358490565147</t>
        </is>
      </c>
    </row>
    <row r="789">
      <c r="A789" t="inlineStr">
        <is>
          <t>2026-08-12</t>
        </is>
      </c>
      <c r="B789" t="n">
        <v>145</v>
      </c>
      <c r="C789" t="n">
        <v>44</v>
      </c>
      <c r="D789" t="n">
        <v>149</v>
      </c>
      <c r="E789" t="inlineStr">
        <is>
          <t>5.7668593724766142</t>
        </is>
      </c>
      <c r="F789" t="inlineStr">
        <is>
          <t>1.1734970211229463</t>
        </is>
      </c>
      <c r="G789" t="inlineStr">
        <is>
          <t>0.180538003249684</t>
        </is>
      </c>
    </row>
    <row r="790">
      <c r="A790" t="inlineStr">
        <is>
          <t>2026-08-13</t>
        </is>
      </c>
      <c r="B790" t="n">
        <v>155</v>
      </c>
      <c r="C790" t="n">
        <v>136</v>
      </c>
      <c r="D790" t="n">
        <v>424</v>
      </c>
      <c r="E790" t="inlineStr">
        <is>
          <t>5.8596711208359551</t>
        </is>
      </c>
      <c r="F790" t="inlineStr">
        <is>
          <t>1.6956248691647524</t>
        </is>
      </c>
      <c r="G790" t="inlineStr">
        <is>
          <t>0.25120368432070689</t>
        </is>
      </c>
    </row>
    <row r="791">
      <c r="A791" t="inlineStr">
        <is>
          <t>2026-08-19</t>
        </is>
      </c>
      <c r="B791" t="n">
        <v>89</v>
      </c>
      <c r="C791" t="n">
        <v>47</v>
      </c>
      <c r="D791" t="n">
        <v>368</v>
      </c>
      <c r="E791" t="inlineStr">
        <is>
          <t>4.8860069729113453</t>
        </is>
      </c>
      <c r="F791" t="inlineStr">
        <is>
          <t>1.1890838206627503</t>
        </is>
      </c>
      <c r="G791" t="inlineStr">
        <is>
          <t>0.233918128654963</t>
        </is>
      </c>
    </row>
    <row r="792">
      <c r="A792" t="inlineStr">
        <is>
          <t>2026-08-27</t>
        </is>
      </c>
      <c r="B792" t="n">
        <v>475</v>
      </c>
      <c r="C792" t="n">
        <v>150</v>
      </c>
      <c r="D792" t="n">
        <v>464</v>
      </c>
      <c r="E792" t="inlineStr">
        <is>
          <t>13.507225130027331</t>
        </is>
      </c>
      <c r="F792" t="inlineStr">
        <is>
          <t>1.7848528702363804</t>
        </is>
      </c>
      <c r="G792" t="inlineStr">
        <is>
          <t>0.26531596719730399</t>
        </is>
      </c>
    </row>
    <row r="793">
      <c r="A793" t="inlineStr">
        <is>
          <t>2026-09-15</t>
        </is>
      </c>
    </row>
    <row r="794">
      <c r="A794" t="inlineStr">
        <is>
          <t>2026-09-29</t>
        </is>
      </c>
      <c r="B794" t="n">
        <v>66</v>
      </c>
      <c r="C794" t="n">
        <v>106</v>
      </c>
      <c r="D794" t="n">
        <v>345</v>
      </c>
      <c r="E794" t="inlineStr">
        <is>
          <t>4.4015053148176673</t>
        </is>
      </c>
      <c r="F794" t="inlineStr">
        <is>
          <t>1.5559772296015051</t>
        </is>
      </c>
      <c r="G794" t="inlineStr">
        <is>
          <t>0.2277039848197375</t>
        </is>
      </c>
    </row>
    <row r="795">
      <c r="A795" t="inlineStr">
        <is>
          <t>2026-10-01</t>
        </is>
      </c>
      <c r="B795" t="n">
        <v>441</v>
      </c>
      <c r="C795" t="n">
        <v>436</v>
      </c>
      <c r="D795" t="n">
        <v>137</v>
      </c>
      <c r="E795" t="inlineStr">
        <is>
          <t>12.458304866777166</t>
        </is>
      </c>
      <c r="F795" t="inlineStr">
        <is>
          <t>4.1374474053295973</t>
        </is>
      </c>
      <c r="G795" t="inlineStr">
        <is>
          <t>0.1753155680224503</t>
        </is>
      </c>
    </row>
    <row r="796">
      <c r="A796" t="inlineStr">
        <is>
          <t>2026-10-05</t>
        </is>
      </c>
    </row>
    <row r="797">
      <c r="A797" t="inlineStr">
        <is>
          <t>2026-10-06</t>
        </is>
      </c>
      <c r="B797" t="n">
        <v>117</v>
      </c>
      <c r="C797" t="n">
        <v>391</v>
      </c>
      <c r="D797" t="n">
        <v>350</v>
      </c>
      <c r="E797" t="inlineStr">
        <is>
          <t>5.4218413901158735</t>
        </is>
      </c>
      <c r="F797" t="inlineStr">
        <is>
          <t>3.6204268292682928</t>
        </is>
      </c>
      <c r="G797" t="inlineStr">
        <is>
          <t>0.2286585365853637</t>
        </is>
      </c>
    </row>
    <row r="798">
      <c r="A798" t="inlineStr">
        <is>
          <t>2026-10-08</t>
        </is>
      </c>
      <c r="B798" t="n">
        <v>597</v>
      </c>
      <c r="C798" t="n">
        <v>382</v>
      </c>
      <c r="D798" t="n">
        <v>152</v>
      </c>
      <c r="E798" t="inlineStr">
        <is>
          <t>22.769438353853616</t>
        </is>
      </c>
      <c r="F798" t="inlineStr">
        <is>
          <t>3.5468693449149518</t>
        </is>
      </c>
      <c r="G798" t="inlineStr">
        <is>
          <t>0.180962721679334</t>
        </is>
      </c>
    </row>
    <row r="799">
      <c r="A799" t="inlineStr">
        <is>
          <t>2026-10-12</t>
        </is>
      </c>
      <c r="B799" t="n">
        <v>354</v>
      </c>
      <c r="C799" t="n">
        <v>243</v>
      </c>
      <c r="D799" t="n">
        <v>334</v>
      </c>
      <c r="E799" t="inlineStr">
        <is>
          <t>9.7891095039280778</t>
        </is>
      </c>
      <c r="F799" t="inlineStr">
        <is>
          <t>2.2977022977023092</t>
        </is>
      </c>
      <c r="G799" t="inlineStr">
        <is>
          <t>0.22477522477522621</t>
        </is>
      </c>
    </row>
    <row r="800">
      <c r="A800" t="inlineStr">
        <is>
          <t>2026-10-13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Leg</t>
        </is>
      </c>
      <c r="C1" t="inlineStr">
        <is>
          <t>Net_PnL</t>
        </is>
      </c>
      <c r="D1" t="inlineStr">
        <is>
          <t>Logit_formula</t>
        </is>
      </c>
      <c r="E1" t="inlineStr">
        <is>
          <t>Probability_formula</t>
        </is>
      </c>
      <c r="F1" t="inlineStr">
        <is>
          <t>Downside_raw_formula</t>
        </is>
      </c>
      <c r="G1" t="inlineStr">
        <is>
          <t>Downside_formula</t>
        </is>
      </c>
      <c r="H1" t="inlineStr">
        <is>
          <t>Loss_rank_formula</t>
        </is>
      </c>
      <c r="I1" t="inlineStr">
        <is>
          <t>Downside_rank_formula</t>
        </is>
      </c>
      <c r="J1" t="inlineStr">
        <is>
          <t>U_range</t>
        </is>
      </c>
      <c r="K1" t="inlineStr">
        <is>
          <t>Str_range</t>
        </is>
      </c>
      <c r="L1" t="inlineStr">
        <is>
          <t>Spread</t>
        </is>
      </c>
      <c r="M1" t="inlineStr">
        <is>
          <t>U_rank_formula</t>
        </is>
      </c>
      <c r="N1" t="inlineStr">
        <is>
          <t>Str_rank_formula</t>
        </is>
      </c>
      <c r="O1" t="inlineStr">
        <is>
          <t>Spread_rank_formula</t>
        </is>
      </c>
      <c r="P1" t="inlineStr">
        <is>
          <t>Instability_formula</t>
        </is>
      </c>
      <c r="Q1" t="inlineStr">
        <is>
          <t>Risk_formula</t>
        </is>
      </c>
      <c r="R1" t="inlineStr">
        <is>
          <t>Threshold_formula</t>
        </is>
      </c>
      <c r="S1" t="inlineStr">
        <is>
          <t>Dicey_formula</t>
        </is>
      </c>
      <c r="T1" t="inlineStr">
        <is>
          <t>Saved_probability</t>
        </is>
      </c>
      <c r="U1" t="inlineStr">
        <is>
          <t>Saved_downside</t>
        </is>
      </c>
      <c r="V1" t="inlineStr">
        <is>
          <t>Saved_risk</t>
        </is>
      </c>
      <c r="W1" t="inlineStr">
        <is>
          <t>Risk_error_formula</t>
        </is>
      </c>
    </row>
    <row r="2">
      <c r="A2" t="inlineStr">
        <is>
          <t>2021-01-01</t>
        </is>
      </c>
      <c r="B2" t="inlineStr">
        <is>
          <t>CW</t>
        </is>
      </c>
      <c r="C2" t="n">
        <v>34.78783713722119</v>
      </c>
      <c r="D2">
        <f>SUMPRODUCT(Risk_Inputs!B2:AJ2,Risk_Coefs!$B$2:$AJ$2)</f>
        <v/>
      </c>
      <c r="E2">
        <f>1/(1+EXP(-MAX(-25,MIN(25,D2))))</f>
        <v/>
      </c>
      <c r="F2">
        <f>SUMPRODUCT(Risk_Inputs!B2:AJ2,Risk_Coefs!$B$3:$AJ$3)</f>
        <v/>
      </c>
      <c r="G2">
        <f>MAX(0,F2)</f>
        <v/>
      </c>
      <c r="H2">
        <f>(SUMPRODUCT(--ISNUMBER($E$2:$E$800),--($E$2:$E$800&lt;E2))+(SUMPRODUCT(--ISNUMBER($E$2:$E$800),--($E$2:$E$800=E2))+1)/2)/COUNT($E$2:$E$800)</f>
        <v/>
      </c>
      <c r="I2">
        <f>(SUMPRODUCT(--ISNUMBER($G$2:$G$800),--($G$2:$G$800&lt;G2))+(SUMPRODUCT(--ISNUMBER($G$2:$G$800),--($G$2:$G$800=G2))+1)/2)/COUNT($G$2:$G$800)</f>
        <v/>
      </c>
      <c r="J2" t="n">
        <v>6.784623899730401</v>
      </c>
      <c r="K2" t="n">
        <v>1.453545472402296</v>
      </c>
      <c r="L2" t="n">
        <v>0.3142801021410321</v>
      </c>
      <c r="M2">
        <f>IF(OR(B2="NW",COUNT(Risk_Rank_Keys!B2)=0),0.5,(SUMPRODUCT(--ISNUMBER(Risk_Rank_Keys!$B$2:$B$800),--(Risk_Rank_Keys!$B$2:$B$800&lt;Risk_Rank_Keys!B2))+(SUMPRODUCT(--ISNUMBER(Risk_Rank_Keys!$B$2:$B$800),--(Risk_Rank_Keys!$B$2:$B$800=Risk_Rank_Keys!B2))+1)/2)/COUNT(Risk_Rank_Keys!$B$2:$B$800))</f>
        <v/>
      </c>
      <c r="N2">
        <f>IF(OR(B2="NW",COUNT(Risk_Rank_Keys!C2)=0),0.5,(SUMPRODUCT(--ISNUMBER(Risk_Rank_Keys!$C$2:$C$800),--(Risk_Rank_Keys!$C$2:$C$800&lt;Risk_Rank_Keys!C2))+(SUMPRODUCT(--ISNUMBER(Risk_Rank_Keys!$C$2:$C$800),--(Risk_Rank_Keys!$C$2:$C$800=Risk_Rank_Keys!C2))+1)/2)/COUNT(Risk_Rank_Keys!$C$2:$C$800))</f>
        <v/>
      </c>
      <c r="O2">
        <f>IF(OR(B2="NW",COUNT(Risk_Rank_Keys!D2)=0),0.5,(SUMPRODUCT(--ISNUMBER(Risk_Rank_Keys!$D$2:$D$800),--(Risk_Rank_Keys!$D$2:$D$800&lt;Risk_Rank_Keys!D2))+(SUMPRODUCT(--ISNUMBER(Risk_Rank_Keys!$D$2:$D$800),--(Risk_Rank_Keys!$D$2:$D$800=Risk_Rank_Keys!D2))+1)/2)/COUNT(Risk_Rank_Keys!$D$2:$D$800))</f>
        <v/>
      </c>
      <c r="P2">
        <f>AVERAGE(M2:O2)</f>
        <v/>
      </c>
      <c r="Q2">
        <f>0.4*H2+0.4*I2+0.2*P2</f>
        <v/>
      </c>
      <c r="R2">
        <f>PERCENTILE($Q$2:$Q$800,0.75)</f>
        <v/>
      </c>
      <c r="S2">
        <f>OR(Q2&gt;=R2,AND(B2="CW",COUNT(J2:L2)&lt;3))</f>
        <v/>
      </c>
      <c r="T2" t="n">
        <v>0.2341393052371285</v>
      </c>
      <c r="U2" t="n">
        <v>8.193641186786312</v>
      </c>
      <c r="V2" t="n">
        <v>0.3811677660767266</v>
      </c>
      <c r="W2">
        <f>Q2-V2</f>
        <v/>
      </c>
    </row>
    <row r="3">
      <c r="A3" t="inlineStr">
        <is>
          <t>2021-01-04</t>
        </is>
      </c>
      <c r="B3" t="inlineStr">
        <is>
          <t>CW</t>
        </is>
      </c>
      <c r="C3" t="n">
        <v>44.50026738622965</v>
      </c>
      <c r="D3">
        <f>SUMPRODUCT(Risk_Inputs!B3:AJ3,Risk_Coefs!$B$2:$AJ$2)</f>
        <v/>
      </c>
      <c r="E3">
        <f>1/(1+EXP(-MAX(-25,MIN(25,D3))))</f>
        <v/>
      </c>
      <c r="F3">
        <f>SUMPRODUCT(Risk_Inputs!B3:AJ3,Risk_Coefs!$B$3:$AJ$3)</f>
        <v/>
      </c>
      <c r="G3">
        <f>MAX(0,F3)</f>
        <v/>
      </c>
      <c r="H3">
        <f>(SUMPRODUCT(--ISNUMBER($E$2:$E$800),--($E$2:$E$800&lt;E3))+(SUMPRODUCT(--ISNUMBER($E$2:$E$800),--($E$2:$E$800=E3))+1)/2)/COUNT($E$2:$E$800)</f>
        <v/>
      </c>
      <c r="I3">
        <f>(SUMPRODUCT(--ISNUMBER($G$2:$G$800),--($G$2:$G$800&lt;G3))+(SUMPRODUCT(--ISNUMBER($G$2:$G$800),--($G$2:$G$800=G3))+1)/2)/COUNT($G$2:$G$800)</f>
        <v/>
      </c>
      <c r="J3" t="n">
        <v>39.39524899726029</v>
      </c>
      <c r="K3" t="n">
        <v>3.638908327501754</v>
      </c>
      <c r="L3" t="n">
        <v>0.3265686960578506</v>
      </c>
      <c r="M3">
        <f>IF(OR(B3="NW",COUNT(Risk_Rank_Keys!B3)=0),0.5,(SUMPRODUCT(--ISNUMBER(Risk_Rank_Keys!$B$2:$B$800),--(Risk_Rank_Keys!$B$2:$B$800&lt;Risk_Rank_Keys!B3))+(SUMPRODUCT(--ISNUMBER(Risk_Rank_Keys!$B$2:$B$800),--(Risk_Rank_Keys!$B$2:$B$800=Risk_Rank_Keys!B3))+1)/2)/COUNT(Risk_Rank_Keys!$B$2:$B$800))</f>
        <v/>
      </c>
      <c r="N3">
        <f>IF(OR(B3="NW",COUNT(Risk_Rank_Keys!C3)=0),0.5,(SUMPRODUCT(--ISNUMBER(Risk_Rank_Keys!$C$2:$C$800),--(Risk_Rank_Keys!$C$2:$C$800&lt;Risk_Rank_Keys!C3))+(SUMPRODUCT(--ISNUMBER(Risk_Rank_Keys!$C$2:$C$800),--(Risk_Rank_Keys!$C$2:$C$800=Risk_Rank_Keys!C3))+1)/2)/COUNT(Risk_Rank_Keys!$C$2:$C$800))</f>
        <v/>
      </c>
      <c r="O3">
        <f>IF(OR(B3="NW",COUNT(Risk_Rank_Keys!D3)=0),0.5,(SUMPRODUCT(--ISNUMBER(Risk_Rank_Keys!$D$2:$D$800),--(Risk_Rank_Keys!$D$2:$D$800&lt;Risk_Rank_Keys!D3))+(SUMPRODUCT(--ISNUMBER(Risk_Rank_Keys!$D$2:$D$800),--(Risk_Rank_Keys!$D$2:$D$800=Risk_Rank_Keys!D3))+1)/2)/COUNT(Risk_Rank_Keys!$D$2:$D$800))</f>
        <v/>
      </c>
      <c r="P3">
        <f>AVERAGE(M3:O3)</f>
        <v/>
      </c>
      <c r="Q3">
        <f>0.4*H3+0.4*I3+0.2*P3</f>
        <v/>
      </c>
      <c r="R3">
        <f>PERCENTILE($Q$2:$Q$800,0.75)</f>
        <v/>
      </c>
      <c r="S3">
        <f>OR(Q3&gt;=R3,AND(B3="CW",COUNT(J3:L3)&lt;3))</f>
        <v/>
      </c>
      <c r="T3" t="n">
        <v>0.2763399555181705</v>
      </c>
      <c r="U3" t="n">
        <v>10.93196451297463</v>
      </c>
      <c r="V3" t="n">
        <v>0.6777009150792279</v>
      </c>
      <c r="W3">
        <f>Q3-V3</f>
        <v/>
      </c>
    </row>
    <row r="4">
      <c r="A4" t="inlineStr">
        <is>
          <t>2021-01-05</t>
        </is>
      </c>
      <c r="B4" t="inlineStr">
        <is>
          <t>CW</t>
        </is>
      </c>
      <c r="C4" t="n">
        <v>-10.68426970169916</v>
      </c>
      <c r="D4">
        <f>SUMPRODUCT(Risk_Inputs!B4:AJ4,Risk_Coefs!$B$2:$AJ$2)</f>
        <v/>
      </c>
      <c r="E4">
        <f>1/(1+EXP(-MAX(-25,MIN(25,D4))))</f>
        <v/>
      </c>
      <c r="F4">
        <f>SUMPRODUCT(Risk_Inputs!B4:AJ4,Risk_Coefs!$B$3:$AJ$3)</f>
        <v/>
      </c>
      <c r="G4">
        <f>MAX(0,F4)</f>
        <v/>
      </c>
      <c r="H4">
        <f>(SUMPRODUCT(--ISNUMBER($E$2:$E$800),--($E$2:$E$800&lt;E4))+(SUMPRODUCT(--ISNUMBER($E$2:$E$800),--($E$2:$E$800=E4))+1)/2)/COUNT($E$2:$E$800)</f>
        <v/>
      </c>
      <c r="I4">
        <f>(SUMPRODUCT(--ISNUMBER($G$2:$G$800),--($G$2:$G$800&lt;G4))+(SUMPRODUCT(--ISNUMBER($G$2:$G$800),--($G$2:$G$800=G4))+1)/2)/COUNT($G$2:$G$800)</f>
        <v/>
      </c>
      <c r="J4" t="n">
        <v>8.557782788558331</v>
      </c>
      <c r="K4" t="n">
        <v>3.718887262079076</v>
      </c>
      <c r="L4" t="n">
        <v>0.3806734992679389</v>
      </c>
      <c r="M4">
        <f>IF(OR(B4="NW",COUNT(Risk_Rank_Keys!B4)=0),0.5,(SUMPRODUCT(--ISNUMBER(Risk_Rank_Keys!$B$2:$B$800),--(Risk_Rank_Keys!$B$2:$B$800&lt;Risk_Rank_Keys!B4))+(SUMPRODUCT(--ISNUMBER(Risk_Rank_Keys!$B$2:$B$800),--(Risk_Rank_Keys!$B$2:$B$800=Risk_Rank_Keys!B4))+1)/2)/COUNT(Risk_Rank_Keys!$B$2:$B$800))</f>
        <v/>
      </c>
      <c r="N4">
        <f>IF(OR(B4="NW",COUNT(Risk_Rank_Keys!C4)=0),0.5,(SUMPRODUCT(--ISNUMBER(Risk_Rank_Keys!$C$2:$C$800),--(Risk_Rank_Keys!$C$2:$C$800&lt;Risk_Rank_Keys!C4))+(SUMPRODUCT(--ISNUMBER(Risk_Rank_Keys!$C$2:$C$800),--(Risk_Rank_Keys!$C$2:$C$800=Risk_Rank_Keys!C4))+1)/2)/COUNT(Risk_Rank_Keys!$C$2:$C$800))</f>
        <v/>
      </c>
      <c r="O4">
        <f>IF(OR(B4="NW",COUNT(Risk_Rank_Keys!D4)=0),0.5,(SUMPRODUCT(--ISNUMBER(Risk_Rank_Keys!$D$2:$D$800),--(Risk_Rank_Keys!$D$2:$D$800&lt;Risk_Rank_Keys!D4))+(SUMPRODUCT(--ISNUMBER(Risk_Rank_Keys!$D$2:$D$800),--(Risk_Rank_Keys!$D$2:$D$800=Risk_Rank_Keys!D4))+1)/2)/COUNT(Risk_Rank_Keys!$D$2:$D$800))</f>
        <v/>
      </c>
      <c r="P4">
        <f>AVERAGE(M4:O4)</f>
        <v/>
      </c>
      <c r="Q4">
        <f>0.4*H4+0.4*I4+0.2*P4</f>
        <v/>
      </c>
      <c r="R4">
        <f>PERCENTILE($Q$2:$Q$800,0.75)</f>
        <v/>
      </c>
      <c r="S4">
        <f>OR(Q4&gt;=R4,AND(B4="CW",COUNT(J4:L4)&lt;3))</f>
        <v/>
      </c>
      <c r="T4" t="n">
        <v>0.1925724311002533</v>
      </c>
      <c r="U4" t="n">
        <v>3.221025586986661</v>
      </c>
      <c r="V4" t="n">
        <v>0.1725387790060681</v>
      </c>
      <c r="W4">
        <f>Q4-V4</f>
        <v/>
      </c>
    </row>
    <row r="5">
      <c r="A5" t="inlineStr">
        <is>
          <t>2021-01-06</t>
        </is>
      </c>
      <c r="B5" t="inlineStr">
        <is>
          <t>CW</t>
        </is>
      </c>
      <c r="C5" t="n">
        <v>-45.30674667488596</v>
      </c>
      <c r="D5">
        <f>SUMPRODUCT(Risk_Inputs!B5:AJ5,Risk_Coefs!$B$2:$AJ$2)</f>
        <v/>
      </c>
      <c r="E5">
        <f>1/(1+EXP(-MAX(-25,MIN(25,D5))))</f>
        <v/>
      </c>
      <c r="F5">
        <f>SUMPRODUCT(Risk_Inputs!B5:AJ5,Risk_Coefs!$B$3:$AJ$3)</f>
        <v/>
      </c>
      <c r="G5">
        <f>MAX(0,F5)</f>
        <v/>
      </c>
      <c r="H5">
        <f>(SUMPRODUCT(--ISNUMBER($E$2:$E$800),--($E$2:$E$800&lt;E5))+(SUMPRODUCT(--ISNUMBER($E$2:$E$800),--($E$2:$E$800=E5))+1)/2)/COUNT($E$2:$E$800)</f>
        <v/>
      </c>
      <c r="I5">
        <f>(SUMPRODUCT(--ISNUMBER($G$2:$G$800),--($G$2:$G$800&lt;G5))+(SUMPRODUCT(--ISNUMBER($G$2:$G$800),--($G$2:$G$800=G5))+1)/2)/COUNT($G$2:$G$800)</f>
        <v/>
      </c>
      <c r="J5" t="n">
        <v>9.397503854032736</v>
      </c>
      <c r="K5" t="n">
        <v>1.64912280701756</v>
      </c>
      <c r="L5" t="n">
        <v>0.3157894736842125</v>
      </c>
      <c r="M5">
        <f>IF(OR(B5="NW",COUNT(Risk_Rank_Keys!B5)=0),0.5,(SUMPRODUCT(--ISNUMBER(Risk_Rank_Keys!$B$2:$B$800),--(Risk_Rank_Keys!$B$2:$B$800&lt;Risk_Rank_Keys!B5))+(SUMPRODUCT(--ISNUMBER(Risk_Rank_Keys!$B$2:$B$800),--(Risk_Rank_Keys!$B$2:$B$800=Risk_Rank_Keys!B5))+1)/2)/COUNT(Risk_Rank_Keys!$B$2:$B$800))</f>
        <v/>
      </c>
      <c r="N5">
        <f>IF(OR(B5="NW",COUNT(Risk_Rank_Keys!C5)=0),0.5,(SUMPRODUCT(--ISNUMBER(Risk_Rank_Keys!$C$2:$C$800),--(Risk_Rank_Keys!$C$2:$C$800&lt;Risk_Rank_Keys!C5))+(SUMPRODUCT(--ISNUMBER(Risk_Rank_Keys!$C$2:$C$800),--(Risk_Rank_Keys!$C$2:$C$800=Risk_Rank_Keys!C5))+1)/2)/COUNT(Risk_Rank_Keys!$C$2:$C$800))</f>
        <v/>
      </c>
      <c r="O5">
        <f>IF(OR(B5="NW",COUNT(Risk_Rank_Keys!D5)=0),0.5,(SUMPRODUCT(--ISNUMBER(Risk_Rank_Keys!$D$2:$D$800),--(Risk_Rank_Keys!$D$2:$D$800&lt;Risk_Rank_Keys!D5))+(SUMPRODUCT(--ISNUMBER(Risk_Rank_Keys!$D$2:$D$800),--(Risk_Rank_Keys!$D$2:$D$800=Risk_Rank_Keys!D5))+1)/2)/COUNT(Risk_Rank_Keys!$D$2:$D$800))</f>
        <v/>
      </c>
      <c r="P5">
        <f>AVERAGE(M5:O5)</f>
        <v/>
      </c>
      <c r="Q5">
        <f>0.4*H5+0.4*I5+0.2*P5</f>
        <v/>
      </c>
      <c r="R5">
        <f>PERCENTILE($Q$2:$Q$800,0.75)</f>
        <v/>
      </c>
      <c r="S5">
        <f>OR(Q5&gt;=R5,AND(B5="CW",COUNT(J5:L5)&lt;3))</f>
        <v/>
      </c>
      <c r="T5" t="n">
        <v>0.328091515297164</v>
      </c>
      <c r="U5" t="n">
        <v>10.81176787788056</v>
      </c>
      <c r="V5" t="n">
        <v>0.7272944039184267</v>
      </c>
      <c r="W5">
        <f>Q5-V5</f>
        <v/>
      </c>
    </row>
    <row r="6">
      <c r="A6" t="inlineStr">
        <is>
          <t>2021-01-07</t>
        </is>
      </c>
      <c r="B6" t="inlineStr">
        <is>
          <t>CW</t>
        </is>
      </c>
      <c r="C6" t="n">
        <v>40.42944495091485</v>
      </c>
      <c r="D6">
        <f>SUMPRODUCT(Risk_Inputs!B6:AJ6,Risk_Coefs!$B$2:$AJ$2)</f>
        <v/>
      </c>
      <c r="E6">
        <f>1/(1+EXP(-MAX(-25,MIN(25,D6))))</f>
        <v/>
      </c>
      <c r="F6">
        <f>SUMPRODUCT(Risk_Inputs!B6:AJ6,Risk_Coefs!$B$3:$AJ$3)</f>
        <v/>
      </c>
      <c r="G6">
        <f>MAX(0,F6)</f>
        <v/>
      </c>
      <c r="H6">
        <f>(SUMPRODUCT(--ISNUMBER($E$2:$E$800),--($E$2:$E$800&lt;E6))+(SUMPRODUCT(--ISNUMBER($E$2:$E$800),--($E$2:$E$800=E6))+1)/2)/COUNT($E$2:$E$800)</f>
        <v/>
      </c>
      <c r="I6">
        <f>(SUMPRODUCT(--ISNUMBER($G$2:$G$800),--($G$2:$G$800&lt;G6))+(SUMPRODUCT(--ISNUMBER($G$2:$G$800),--($G$2:$G$800=G6))+1)/2)/COUNT($G$2:$G$800)</f>
        <v/>
      </c>
      <c r="J6" t="n">
        <v>5.800627170842054</v>
      </c>
      <c r="K6" t="n">
        <v>2.850061957868646</v>
      </c>
      <c r="L6" t="n">
        <v>0.3097893432465879</v>
      </c>
      <c r="M6">
        <f>IF(OR(B6="NW",COUNT(Risk_Rank_Keys!B6)=0),0.5,(SUMPRODUCT(--ISNUMBER(Risk_Rank_Keys!$B$2:$B$800),--(Risk_Rank_Keys!$B$2:$B$800&lt;Risk_Rank_Keys!B6))+(SUMPRODUCT(--ISNUMBER(Risk_Rank_Keys!$B$2:$B$800),--(Risk_Rank_Keys!$B$2:$B$800=Risk_Rank_Keys!B6))+1)/2)/COUNT(Risk_Rank_Keys!$B$2:$B$800))</f>
        <v/>
      </c>
      <c r="N6">
        <f>IF(OR(B6="NW",COUNT(Risk_Rank_Keys!C6)=0),0.5,(SUMPRODUCT(--ISNUMBER(Risk_Rank_Keys!$C$2:$C$800),--(Risk_Rank_Keys!$C$2:$C$800&lt;Risk_Rank_Keys!C6))+(SUMPRODUCT(--ISNUMBER(Risk_Rank_Keys!$C$2:$C$800),--(Risk_Rank_Keys!$C$2:$C$800=Risk_Rank_Keys!C6))+1)/2)/COUNT(Risk_Rank_Keys!$C$2:$C$800))</f>
        <v/>
      </c>
      <c r="O6">
        <f>IF(OR(B6="NW",COUNT(Risk_Rank_Keys!D6)=0),0.5,(SUMPRODUCT(--ISNUMBER(Risk_Rank_Keys!$D$2:$D$800),--(Risk_Rank_Keys!$D$2:$D$800&lt;Risk_Rank_Keys!D6))+(SUMPRODUCT(--ISNUMBER(Risk_Rank_Keys!$D$2:$D$800),--(Risk_Rank_Keys!$D$2:$D$800=Risk_Rank_Keys!D6))+1)/2)/COUNT(Risk_Rank_Keys!$D$2:$D$800))</f>
        <v/>
      </c>
      <c r="P6">
        <f>AVERAGE(M6:O6)</f>
        <v/>
      </c>
      <c r="Q6">
        <f>0.4*H6+0.4*I6+0.2*P6</f>
        <v/>
      </c>
      <c r="R6">
        <f>PERCENTILE($Q$2:$Q$800,0.75)</f>
        <v/>
      </c>
      <c r="S6">
        <f>OR(Q6&gt;=R6,AND(B6="CW",COUNT(J6:L6)&lt;3))</f>
        <v/>
      </c>
      <c r="T6" t="n">
        <v>0.3059910238158816</v>
      </c>
      <c r="U6" t="n">
        <v>8.801505249211454</v>
      </c>
      <c r="V6" t="n">
        <v>0.5944998658830279</v>
      </c>
      <c r="W6">
        <f>Q6-V6</f>
        <v/>
      </c>
    </row>
    <row r="7">
      <c r="A7" t="inlineStr">
        <is>
          <t>2021-01-11</t>
        </is>
      </c>
      <c r="B7" t="inlineStr">
        <is>
          <t>CW</t>
        </is>
      </c>
      <c r="C7" t="n">
        <v>-37.92181153681947</v>
      </c>
      <c r="D7">
        <f>SUMPRODUCT(Risk_Inputs!B7:AJ7,Risk_Coefs!$B$2:$AJ$2)</f>
        <v/>
      </c>
      <c r="E7">
        <f>1/(1+EXP(-MAX(-25,MIN(25,D7))))</f>
        <v/>
      </c>
      <c r="F7">
        <f>SUMPRODUCT(Risk_Inputs!B7:AJ7,Risk_Coefs!$B$3:$AJ$3)</f>
        <v/>
      </c>
      <c r="G7">
        <f>MAX(0,F7)</f>
        <v/>
      </c>
      <c r="H7">
        <f>(SUMPRODUCT(--ISNUMBER($E$2:$E$800),--($E$2:$E$800&lt;E7))+(SUMPRODUCT(--ISNUMBER($E$2:$E$800),--($E$2:$E$800=E7))+1)/2)/COUNT($E$2:$E$800)</f>
        <v/>
      </c>
      <c r="I7">
        <f>(SUMPRODUCT(--ISNUMBER($G$2:$G$800),--($G$2:$G$800&lt;G7))+(SUMPRODUCT(--ISNUMBER($G$2:$G$800),--($G$2:$G$800=G7))+1)/2)/COUNT($G$2:$G$800)</f>
        <v/>
      </c>
      <c r="J7" t="n">
        <v>10.38291784299147</v>
      </c>
      <c r="K7" t="n">
        <v>2.886207712325524</v>
      </c>
      <c r="L7" t="n">
        <v>0.260231842914602</v>
      </c>
      <c r="M7">
        <f>IF(OR(B7="NW",COUNT(Risk_Rank_Keys!B7)=0),0.5,(SUMPRODUCT(--ISNUMBER(Risk_Rank_Keys!$B$2:$B$800),--(Risk_Rank_Keys!$B$2:$B$800&lt;Risk_Rank_Keys!B7))+(SUMPRODUCT(--ISNUMBER(Risk_Rank_Keys!$B$2:$B$800),--(Risk_Rank_Keys!$B$2:$B$800=Risk_Rank_Keys!B7))+1)/2)/COUNT(Risk_Rank_Keys!$B$2:$B$800))</f>
        <v/>
      </c>
      <c r="N7">
        <f>IF(OR(B7="NW",COUNT(Risk_Rank_Keys!C7)=0),0.5,(SUMPRODUCT(--ISNUMBER(Risk_Rank_Keys!$C$2:$C$800),--(Risk_Rank_Keys!$C$2:$C$800&lt;Risk_Rank_Keys!C7))+(SUMPRODUCT(--ISNUMBER(Risk_Rank_Keys!$C$2:$C$800),--(Risk_Rank_Keys!$C$2:$C$800=Risk_Rank_Keys!C7))+1)/2)/COUNT(Risk_Rank_Keys!$C$2:$C$800))</f>
        <v/>
      </c>
      <c r="O7">
        <f>IF(OR(B7="NW",COUNT(Risk_Rank_Keys!D7)=0),0.5,(SUMPRODUCT(--ISNUMBER(Risk_Rank_Keys!$D$2:$D$800),--(Risk_Rank_Keys!$D$2:$D$800&lt;Risk_Rank_Keys!D7))+(SUMPRODUCT(--ISNUMBER(Risk_Rank_Keys!$D$2:$D$800),--(Risk_Rank_Keys!$D$2:$D$800=Risk_Rank_Keys!D7))+1)/2)/COUNT(Risk_Rank_Keys!$D$2:$D$800))</f>
        <v/>
      </c>
      <c r="P7">
        <f>AVERAGE(M7:O7)</f>
        <v/>
      </c>
      <c r="Q7">
        <f>0.4*H7+0.4*I7+0.2*P7</f>
        <v/>
      </c>
      <c r="R7">
        <f>PERCENTILE($Q$2:$Q$800,0.75)</f>
        <v/>
      </c>
      <c r="S7">
        <f>OR(Q7&gt;=R7,AND(B7="CW",COUNT(J7:L7)&lt;3))</f>
        <v/>
      </c>
      <c r="T7" t="n">
        <v>0.35706683399404</v>
      </c>
      <c r="U7" t="n">
        <v>10.27798057890095</v>
      </c>
      <c r="V7" t="n">
        <v>0.7690904890992867</v>
      </c>
      <c r="W7">
        <f>Q7-V7</f>
        <v/>
      </c>
    </row>
    <row r="8">
      <c r="A8" t="inlineStr">
        <is>
          <t>2021-01-12</t>
        </is>
      </c>
      <c r="B8" t="inlineStr">
        <is>
          <t>CW</t>
        </is>
      </c>
      <c r="C8" t="n">
        <v>18.44543084549054</v>
      </c>
      <c r="D8">
        <f>SUMPRODUCT(Risk_Inputs!B8:AJ8,Risk_Coefs!$B$2:$AJ$2)</f>
        <v/>
      </c>
      <c r="E8">
        <f>1/(1+EXP(-MAX(-25,MIN(25,D8))))</f>
        <v/>
      </c>
      <c r="F8">
        <f>SUMPRODUCT(Risk_Inputs!B8:AJ8,Risk_Coefs!$B$3:$AJ$3)</f>
        <v/>
      </c>
      <c r="G8">
        <f>MAX(0,F8)</f>
        <v/>
      </c>
      <c r="H8">
        <f>(SUMPRODUCT(--ISNUMBER($E$2:$E$800),--($E$2:$E$800&lt;E8))+(SUMPRODUCT(--ISNUMBER($E$2:$E$800),--($E$2:$E$800=E8))+1)/2)/COUNT($E$2:$E$800)</f>
        <v/>
      </c>
      <c r="I8">
        <f>(SUMPRODUCT(--ISNUMBER($G$2:$G$800),--($G$2:$G$800&lt;G8))+(SUMPRODUCT(--ISNUMBER($G$2:$G$800),--($G$2:$G$800=G8))+1)/2)/COUNT($G$2:$G$800)</f>
        <v/>
      </c>
      <c r="J8" t="n">
        <v>6.125924080073347</v>
      </c>
      <c r="K8" t="n">
        <v>1.746611053180393</v>
      </c>
      <c r="L8" t="n">
        <v>0.3128258602711202</v>
      </c>
      <c r="M8">
        <f>IF(OR(B8="NW",COUNT(Risk_Rank_Keys!B8)=0),0.5,(SUMPRODUCT(--ISNUMBER(Risk_Rank_Keys!$B$2:$B$800),--(Risk_Rank_Keys!$B$2:$B$800&lt;Risk_Rank_Keys!B8))+(SUMPRODUCT(--ISNUMBER(Risk_Rank_Keys!$B$2:$B$800),--(Risk_Rank_Keys!$B$2:$B$800=Risk_Rank_Keys!B8))+1)/2)/COUNT(Risk_Rank_Keys!$B$2:$B$800))</f>
        <v/>
      </c>
      <c r="N8">
        <f>IF(OR(B8="NW",COUNT(Risk_Rank_Keys!C8)=0),0.5,(SUMPRODUCT(--ISNUMBER(Risk_Rank_Keys!$C$2:$C$800),--(Risk_Rank_Keys!$C$2:$C$800&lt;Risk_Rank_Keys!C8))+(SUMPRODUCT(--ISNUMBER(Risk_Rank_Keys!$C$2:$C$800),--(Risk_Rank_Keys!$C$2:$C$800=Risk_Rank_Keys!C8))+1)/2)/COUNT(Risk_Rank_Keys!$C$2:$C$800))</f>
        <v/>
      </c>
      <c r="O8">
        <f>IF(OR(B8="NW",COUNT(Risk_Rank_Keys!D8)=0),0.5,(SUMPRODUCT(--ISNUMBER(Risk_Rank_Keys!$D$2:$D$800),--(Risk_Rank_Keys!$D$2:$D$800&lt;Risk_Rank_Keys!D8))+(SUMPRODUCT(--ISNUMBER(Risk_Rank_Keys!$D$2:$D$800),--(Risk_Rank_Keys!$D$2:$D$800=Risk_Rank_Keys!D8))+1)/2)/COUNT(Risk_Rank_Keys!$D$2:$D$800))</f>
        <v/>
      </c>
      <c r="P8">
        <f>AVERAGE(M8:O8)</f>
        <v/>
      </c>
      <c r="Q8">
        <f>0.4*H8+0.4*I8+0.2*P8</f>
        <v/>
      </c>
      <c r="R8">
        <f>PERCENTILE($Q$2:$Q$800,0.75)</f>
        <v/>
      </c>
      <c r="S8">
        <f>OR(Q8&gt;=R8,AND(B8="CW",COUNT(J8:L8)&lt;3))</f>
        <v/>
      </c>
      <c r="T8" t="n">
        <v>0.2883238274344674</v>
      </c>
      <c r="U8" t="n">
        <v>7.108222207801915</v>
      </c>
      <c r="V8" t="n">
        <v>0.4559684961850849</v>
      </c>
      <c r="W8">
        <f>Q8-V8</f>
        <v/>
      </c>
    </row>
    <row r="9">
      <c r="A9" t="inlineStr">
        <is>
          <t>2021-01-13</t>
        </is>
      </c>
      <c r="B9" t="inlineStr">
        <is>
          <t>CW</t>
        </is>
      </c>
      <c r="C9" t="n">
        <v>21.29718207997079</v>
      </c>
      <c r="D9">
        <f>SUMPRODUCT(Risk_Inputs!B9:AJ9,Risk_Coefs!$B$2:$AJ$2)</f>
        <v/>
      </c>
      <c r="E9">
        <f>1/(1+EXP(-MAX(-25,MIN(25,D9))))</f>
        <v/>
      </c>
      <c r="F9">
        <f>SUMPRODUCT(Risk_Inputs!B9:AJ9,Risk_Coefs!$B$3:$AJ$3)</f>
        <v/>
      </c>
      <c r="G9">
        <f>MAX(0,F9)</f>
        <v/>
      </c>
      <c r="H9">
        <f>(SUMPRODUCT(--ISNUMBER($E$2:$E$800),--($E$2:$E$800&lt;E9))+(SUMPRODUCT(--ISNUMBER($E$2:$E$800),--($E$2:$E$800=E9))+1)/2)/COUNT($E$2:$E$800)</f>
        <v/>
      </c>
      <c r="I9">
        <f>(SUMPRODUCT(--ISNUMBER($G$2:$G$800),--($G$2:$G$800&lt;G9))+(SUMPRODUCT(--ISNUMBER($G$2:$G$800),--($G$2:$G$800=G9))+1)/2)/COUNT($G$2:$G$800)</f>
        <v/>
      </c>
      <c r="J9" t="n">
        <v>4.0768782760634</v>
      </c>
      <c r="K9" t="n">
        <v>2.719141323792474</v>
      </c>
      <c r="L9" t="n">
        <v>0.3220035778175333</v>
      </c>
      <c r="M9">
        <f>IF(OR(B9="NW",COUNT(Risk_Rank_Keys!B9)=0),0.5,(SUMPRODUCT(--ISNUMBER(Risk_Rank_Keys!$B$2:$B$800),--(Risk_Rank_Keys!$B$2:$B$800&lt;Risk_Rank_Keys!B9))+(SUMPRODUCT(--ISNUMBER(Risk_Rank_Keys!$B$2:$B$800),--(Risk_Rank_Keys!$B$2:$B$800=Risk_Rank_Keys!B9))+1)/2)/COUNT(Risk_Rank_Keys!$B$2:$B$800))</f>
        <v/>
      </c>
      <c r="N9">
        <f>IF(OR(B9="NW",COUNT(Risk_Rank_Keys!C9)=0),0.5,(SUMPRODUCT(--ISNUMBER(Risk_Rank_Keys!$C$2:$C$800),--(Risk_Rank_Keys!$C$2:$C$800&lt;Risk_Rank_Keys!C9))+(SUMPRODUCT(--ISNUMBER(Risk_Rank_Keys!$C$2:$C$800),--(Risk_Rank_Keys!$C$2:$C$800=Risk_Rank_Keys!C9))+1)/2)/COUNT(Risk_Rank_Keys!$C$2:$C$800))</f>
        <v/>
      </c>
      <c r="O9">
        <f>IF(OR(B9="NW",COUNT(Risk_Rank_Keys!D9)=0),0.5,(SUMPRODUCT(--ISNUMBER(Risk_Rank_Keys!$D$2:$D$800),--(Risk_Rank_Keys!$D$2:$D$800&lt;Risk_Rank_Keys!D9))+(SUMPRODUCT(--ISNUMBER(Risk_Rank_Keys!$D$2:$D$800),--(Risk_Rank_Keys!$D$2:$D$800=Risk_Rank_Keys!D9))+1)/2)/COUNT(Risk_Rank_Keys!$D$2:$D$800))</f>
        <v/>
      </c>
      <c r="P9">
        <f>AVERAGE(M9:O9)</f>
        <v/>
      </c>
      <c r="Q9">
        <f>0.4*H9+0.4*I9+0.2*P9</f>
        <v/>
      </c>
      <c r="R9">
        <f>PERCENTILE($Q$2:$Q$800,0.75)</f>
        <v/>
      </c>
      <c r="S9">
        <f>OR(Q9&gt;=R9,AND(B9="CW",COUNT(J9:L9)&lt;3))</f>
        <v/>
      </c>
      <c r="T9" t="n">
        <v>0.3273695355940839</v>
      </c>
      <c r="U9" t="n">
        <v>9.458368912625945</v>
      </c>
      <c r="V9" t="n">
        <v>0.6618548639076391</v>
      </c>
      <c r="W9">
        <f>Q9-V9</f>
        <v/>
      </c>
    </row>
    <row r="10">
      <c r="A10" t="inlineStr">
        <is>
          <t>2021-01-14</t>
        </is>
      </c>
      <c r="B10" t="inlineStr">
        <is>
          <t>CW</t>
        </is>
      </c>
      <c r="C10" t="n">
        <v>25.73782854298286</v>
      </c>
      <c r="D10">
        <f>SUMPRODUCT(Risk_Inputs!B10:AJ10,Risk_Coefs!$B$2:$AJ$2)</f>
        <v/>
      </c>
      <c r="E10">
        <f>1/(1+EXP(-MAX(-25,MIN(25,D10))))</f>
        <v/>
      </c>
      <c r="F10">
        <f>SUMPRODUCT(Risk_Inputs!B10:AJ10,Risk_Coefs!$B$3:$AJ$3)</f>
        <v/>
      </c>
      <c r="G10">
        <f>MAX(0,F10)</f>
        <v/>
      </c>
      <c r="H10">
        <f>(SUMPRODUCT(--ISNUMBER($E$2:$E$800),--($E$2:$E$800&lt;E10))+(SUMPRODUCT(--ISNUMBER($E$2:$E$800),--($E$2:$E$800=E10))+1)/2)/COUNT($E$2:$E$800)</f>
        <v/>
      </c>
      <c r="I10">
        <f>(SUMPRODUCT(--ISNUMBER($G$2:$G$800),--($G$2:$G$800&lt;G10))+(SUMPRODUCT(--ISNUMBER($G$2:$G$800),--($G$2:$G$800=G10))+1)/2)/COUNT($G$2:$G$800)</f>
        <v/>
      </c>
      <c r="J10" t="n">
        <v>6.424063787174796</v>
      </c>
      <c r="K10" t="n">
        <v>3.3197437390798</v>
      </c>
      <c r="L10" t="n">
        <v>0.4659289458357584</v>
      </c>
      <c r="M10">
        <f>IF(OR(B10="NW",COUNT(Risk_Rank_Keys!B10)=0),0.5,(SUMPRODUCT(--ISNUMBER(Risk_Rank_Keys!$B$2:$B$800),--(Risk_Rank_Keys!$B$2:$B$800&lt;Risk_Rank_Keys!B10))+(SUMPRODUCT(--ISNUMBER(Risk_Rank_Keys!$B$2:$B$800),--(Risk_Rank_Keys!$B$2:$B$800=Risk_Rank_Keys!B10))+1)/2)/COUNT(Risk_Rank_Keys!$B$2:$B$800))</f>
        <v/>
      </c>
      <c r="N10">
        <f>IF(OR(B10="NW",COUNT(Risk_Rank_Keys!C10)=0),0.5,(SUMPRODUCT(--ISNUMBER(Risk_Rank_Keys!$C$2:$C$800),--(Risk_Rank_Keys!$C$2:$C$800&lt;Risk_Rank_Keys!C10))+(SUMPRODUCT(--ISNUMBER(Risk_Rank_Keys!$C$2:$C$800),--(Risk_Rank_Keys!$C$2:$C$800=Risk_Rank_Keys!C10))+1)/2)/COUNT(Risk_Rank_Keys!$C$2:$C$800))</f>
        <v/>
      </c>
      <c r="O10">
        <f>IF(OR(B10="NW",COUNT(Risk_Rank_Keys!D10)=0),0.5,(SUMPRODUCT(--ISNUMBER(Risk_Rank_Keys!$D$2:$D$800),--(Risk_Rank_Keys!$D$2:$D$800&lt;Risk_Rank_Keys!D10))+(SUMPRODUCT(--ISNUMBER(Risk_Rank_Keys!$D$2:$D$800),--(Risk_Rank_Keys!$D$2:$D$800=Risk_Rank_Keys!D10))+1)/2)/COUNT(Risk_Rank_Keys!$D$2:$D$800))</f>
        <v/>
      </c>
      <c r="P10">
        <f>AVERAGE(M10:O10)</f>
        <v/>
      </c>
      <c r="Q10">
        <f>0.4*H10+0.4*I10+0.2*P10</f>
        <v/>
      </c>
      <c r="R10">
        <f>PERCENTILE($Q$2:$Q$800,0.75)</f>
        <v/>
      </c>
      <c r="S10">
        <f>OR(Q10&gt;=R10,AND(B10="CW",COUNT(J10:L10)&lt;3))</f>
        <v/>
      </c>
      <c r="T10" t="n">
        <v>0.2750668172483725</v>
      </c>
      <c r="U10" t="n">
        <v>7.415315512418617</v>
      </c>
      <c r="V10" t="n">
        <v>0.468214859462287</v>
      </c>
      <c r="W10">
        <f>Q10-V10</f>
        <v/>
      </c>
    </row>
    <row r="11">
      <c r="A11" t="inlineStr">
        <is>
          <t>2021-01-15</t>
        </is>
      </c>
      <c r="B11" t="inlineStr">
        <is>
          <t>CW</t>
        </is>
      </c>
      <c r="C11" t="n">
        <v>-45.13389396822777</v>
      </c>
      <c r="D11">
        <f>SUMPRODUCT(Risk_Inputs!B11:AJ11,Risk_Coefs!$B$2:$AJ$2)</f>
        <v/>
      </c>
      <c r="E11">
        <f>1/(1+EXP(-MAX(-25,MIN(25,D11))))</f>
        <v/>
      </c>
      <c r="F11">
        <f>SUMPRODUCT(Risk_Inputs!B11:AJ11,Risk_Coefs!$B$3:$AJ$3)</f>
        <v/>
      </c>
      <c r="G11">
        <f>MAX(0,F11)</f>
        <v/>
      </c>
      <c r="H11">
        <f>(SUMPRODUCT(--ISNUMBER($E$2:$E$800),--($E$2:$E$800&lt;E11))+(SUMPRODUCT(--ISNUMBER($E$2:$E$800),--($E$2:$E$800=E11))+1)/2)/COUNT($E$2:$E$800)</f>
        <v/>
      </c>
      <c r="I11">
        <f>(SUMPRODUCT(--ISNUMBER($G$2:$G$800),--($G$2:$G$800&lt;G11))+(SUMPRODUCT(--ISNUMBER($G$2:$G$800),--($G$2:$G$800=G11))+1)/2)/COUNT($G$2:$G$800)</f>
        <v/>
      </c>
      <c r="J11" t="n">
        <v>14.8950668223515</v>
      </c>
      <c r="K11" t="n">
        <v>1.78806700545831</v>
      </c>
      <c r="L11" t="n">
        <v>0.3387916431394714</v>
      </c>
      <c r="M11">
        <f>IF(OR(B11="NW",COUNT(Risk_Rank_Keys!B11)=0),0.5,(SUMPRODUCT(--ISNUMBER(Risk_Rank_Keys!$B$2:$B$800),--(Risk_Rank_Keys!$B$2:$B$800&lt;Risk_Rank_Keys!B11))+(SUMPRODUCT(--ISNUMBER(Risk_Rank_Keys!$B$2:$B$800),--(Risk_Rank_Keys!$B$2:$B$800=Risk_Rank_Keys!B11))+1)/2)/COUNT(Risk_Rank_Keys!$B$2:$B$800))</f>
        <v/>
      </c>
      <c r="N11">
        <f>IF(OR(B11="NW",COUNT(Risk_Rank_Keys!C11)=0),0.5,(SUMPRODUCT(--ISNUMBER(Risk_Rank_Keys!$C$2:$C$800),--(Risk_Rank_Keys!$C$2:$C$800&lt;Risk_Rank_Keys!C11))+(SUMPRODUCT(--ISNUMBER(Risk_Rank_Keys!$C$2:$C$800),--(Risk_Rank_Keys!$C$2:$C$800=Risk_Rank_Keys!C11))+1)/2)/COUNT(Risk_Rank_Keys!$C$2:$C$800))</f>
        <v/>
      </c>
      <c r="O11">
        <f>IF(OR(B11="NW",COUNT(Risk_Rank_Keys!D11)=0),0.5,(SUMPRODUCT(--ISNUMBER(Risk_Rank_Keys!$D$2:$D$800),--(Risk_Rank_Keys!$D$2:$D$800&lt;Risk_Rank_Keys!D11))+(SUMPRODUCT(--ISNUMBER(Risk_Rank_Keys!$D$2:$D$800),--(Risk_Rank_Keys!$D$2:$D$800=Risk_Rank_Keys!D11))+1)/2)/COUNT(Risk_Rank_Keys!$D$2:$D$800))</f>
        <v/>
      </c>
      <c r="P11">
        <f>AVERAGE(M11:O11)</f>
        <v/>
      </c>
      <c r="Q11">
        <f>0.4*H11+0.4*I11+0.2*P11</f>
        <v/>
      </c>
      <c r="R11">
        <f>PERCENTILE($Q$2:$Q$800,0.75)</f>
        <v/>
      </c>
      <c r="S11">
        <f>OR(Q11&gt;=R11,AND(B11="CW",COUNT(J11:L11)&lt;3))</f>
        <v/>
      </c>
      <c r="T11" t="n">
        <v>0.2568601511945975</v>
      </c>
      <c r="U11" t="n">
        <v>8.201331555519936</v>
      </c>
      <c r="V11" t="n">
        <v>0.4641384017329891</v>
      </c>
      <c r="W11">
        <f>Q11-V11</f>
        <v/>
      </c>
    </row>
    <row r="12">
      <c r="A12" t="inlineStr">
        <is>
          <t>2021-01-18</t>
        </is>
      </c>
      <c r="B12" t="inlineStr">
        <is>
          <t>CW</t>
        </is>
      </c>
      <c r="C12" t="n">
        <v>11.47860551381732</v>
      </c>
      <c r="D12">
        <f>SUMPRODUCT(Risk_Inputs!B12:AJ12,Risk_Coefs!$B$2:$AJ$2)</f>
        <v/>
      </c>
      <c r="E12">
        <f>1/(1+EXP(-MAX(-25,MIN(25,D12))))</f>
        <v/>
      </c>
      <c r="F12">
        <f>SUMPRODUCT(Risk_Inputs!B12:AJ12,Risk_Coefs!$B$3:$AJ$3)</f>
        <v/>
      </c>
      <c r="G12">
        <f>MAX(0,F12)</f>
        <v/>
      </c>
      <c r="H12">
        <f>(SUMPRODUCT(--ISNUMBER($E$2:$E$800),--($E$2:$E$800&lt;E12))+(SUMPRODUCT(--ISNUMBER($E$2:$E$800),--($E$2:$E$800=E12))+1)/2)/COUNT($E$2:$E$800)</f>
        <v/>
      </c>
      <c r="I12">
        <f>(SUMPRODUCT(--ISNUMBER($G$2:$G$800),--($G$2:$G$800&lt;G12))+(SUMPRODUCT(--ISNUMBER($G$2:$G$800),--($G$2:$G$800=G12))+1)/2)/COUNT($G$2:$G$800)</f>
        <v/>
      </c>
      <c r="J12" t="n">
        <v>5.10773143756479</v>
      </c>
      <c r="K12" t="n">
        <v>1.174168297455973</v>
      </c>
      <c r="L12" t="n">
        <v>0.2490660024906661</v>
      </c>
      <c r="M12">
        <f>IF(OR(B12="NW",COUNT(Risk_Rank_Keys!B12)=0),0.5,(SUMPRODUCT(--ISNUMBER(Risk_Rank_Keys!$B$2:$B$800),--(Risk_Rank_Keys!$B$2:$B$800&lt;Risk_Rank_Keys!B12))+(SUMPRODUCT(--ISNUMBER(Risk_Rank_Keys!$B$2:$B$800),--(Risk_Rank_Keys!$B$2:$B$800=Risk_Rank_Keys!B12))+1)/2)/COUNT(Risk_Rank_Keys!$B$2:$B$800))</f>
        <v/>
      </c>
      <c r="N12">
        <f>IF(OR(B12="NW",COUNT(Risk_Rank_Keys!C12)=0),0.5,(SUMPRODUCT(--ISNUMBER(Risk_Rank_Keys!$C$2:$C$800),--(Risk_Rank_Keys!$C$2:$C$800&lt;Risk_Rank_Keys!C12))+(SUMPRODUCT(--ISNUMBER(Risk_Rank_Keys!$C$2:$C$800),--(Risk_Rank_Keys!$C$2:$C$800=Risk_Rank_Keys!C12))+1)/2)/COUNT(Risk_Rank_Keys!$C$2:$C$800))</f>
        <v/>
      </c>
      <c r="O12">
        <f>IF(OR(B12="NW",COUNT(Risk_Rank_Keys!D12)=0),0.5,(SUMPRODUCT(--ISNUMBER(Risk_Rank_Keys!$D$2:$D$800),--(Risk_Rank_Keys!$D$2:$D$800&lt;Risk_Rank_Keys!D12))+(SUMPRODUCT(--ISNUMBER(Risk_Rank_Keys!$D$2:$D$800),--(Risk_Rank_Keys!$D$2:$D$800=Risk_Rank_Keys!D12))+1)/2)/COUNT(Risk_Rank_Keys!$D$2:$D$800))</f>
        <v/>
      </c>
      <c r="P12">
        <f>AVERAGE(M12:O12)</f>
        <v/>
      </c>
      <c r="Q12">
        <f>0.4*H12+0.4*I12+0.2*P12</f>
        <v/>
      </c>
      <c r="R12">
        <f>PERCENTILE($Q$2:$Q$800,0.75)</f>
        <v/>
      </c>
      <c r="S12">
        <f>OR(Q12&gt;=R12,AND(B12="CW",COUNT(J12:L12)&lt;3))</f>
        <v/>
      </c>
      <c r="T12" t="n">
        <v>0.4087267863330692</v>
      </c>
      <c r="U12" t="n">
        <v>10.27113152328028</v>
      </c>
      <c r="V12" t="n">
        <v>0.7616414986422475</v>
      </c>
      <c r="W12">
        <f>Q12-V12</f>
        <v/>
      </c>
    </row>
    <row r="13">
      <c r="A13" t="inlineStr">
        <is>
          <t>2021-01-19</t>
        </is>
      </c>
      <c r="B13" t="inlineStr">
        <is>
          <t>CW</t>
        </is>
      </c>
      <c r="C13" t="n">
        <v>39.15150145451604</v>
      </c>
      <c r="D13">
        <f>SUMPRODUCT(Risk_Inputs!B13:AJ13,Risk_Coefs!$B$2:$AJ$2)</f>
        <v/>
      </c>
      <c r="E13">
        <f>1/(1+EXP(-MAX(-25,MIN(25,D13))))</f>
        <v/>
      </c>
      <c r="F13">
        <f>SUMPRODUCT(Risk_Inputs!B13:AJ13,Risk_Coefs!$B$3:$AJ$3)</f>
        <v/>
      </c>
      <c r="G13">
        <f>MAX(0,F13)</f>
        <v/>
      </c>
      <c r="H13">
        <f>(SUMPRODUCT(--ISNUMBER($E$2:$E$800),--($E$2:$E$800&lt;E13))+(SUMPRODUCT(--ISNUMBER($E$2:$E$800),--($E$2:$E$800=E13))+1)/2)/COUNT($E$2:$E$800)</f>
        <v/>
      </c>
      <c r="I13">
        <f>(SUMPRODUCT(--ISNUMBER($G$2:$G$800),--($G$2:$G$800&lt;G13))+(SUMPRODUCT(--ISNUMBER($G$2:$G$800),--($G$2:$G$800=G13))+1)/2)/COUNT($G$2:$G$800)</f>
        <v/>
      </c>
      <c r="J13" t="n">
        <v>10.61430739034329</v>
      </c>
      <c r="K13" t="n">
        <v>5.235849056603784</v>
      </c>
      <c r="L13" t="n">
        <v>0.5660377358490646</v>
      </c>
      <c r="M13">
        <f>IF(OR(B13="NW",COUNT(Risk_Rank_Keys!B13)=0),0.5,(SUMPRODUCT(--ISNUMBER(Risk_Rank_Keys!$B$2:$B$800),--(Risk_Rank_Keys!$B$2:$B$800&lt;Risk_Rank_Keys!B13))+(SUMPRODUCT(--ISNUMBER(Risk_Rank_Keys!$B$2:$B$800),--(Risk_Rank_Keys!$B$2:$B$800=Risk_Rank_Keys!B13))+1)/2)/COUNT(Risk_Rank_Keys!$B$2:$B$800))</f>
        <v/>
      </c>
      <c r="N13">
        <f>IF(OR(B13="NW",COUNT(Risk_Rank_Keys!C13)=0),0.5,(SUMPRODUCT(--ISNUMBER(Risk_Rank_Keys!$C$2:$C$800),--(Risk_Rank_Keys!$C$2:$C$800&lt;Risk_Rank_Keys!C13))+(SUMPRODUCT(--ISNUMBER(Risk_Rank_Keys!$C$2:$C$800),--(Risk_Rank_Keys!$C$2:$C$800=Risk_Rank_Keys!C13))+1)/2)/COUNT(Risk_Rank_Keys!$C$2:$C$800))</f>
        <v/>
      </c>
      <c r="O13">
        <f>IF(OR(B13="NW",COUNT(Risk_Rank_Keys!D13)=0),0.5,(SUMPRODUCT(--ISNUMBER(Risk_Rank_Keys!$D$2:$D$800),--(Risk_Rank_Keys!$D$2:$D$800&lt;Risk_Rank_Keys!D13))+(SUMPRODUCT(--ISNUMBER(Risk_Rank_Keys!$D$2:$D$800),--(Risk_Rank_Keys!$D$2:$D$800=Risk_Rank_Keys!D13))+1)/2)/COUNT(Risk_Rank_Keys!$D$2:$D$800))</f>
        <v/>
      </c>
      <c r="P13">
        <f>AVERAGE(M13:O13)</f>
        <v/>
      </c>
      <c r="Q13">
        <f>0.4*H13+0.4*I13+0.2*P13</f>
        <v/>
      </c>
      <c r="R13">
        <f>PERCENTILE($Q$2:$Q$800,0.75)</f>
        <v/>
      </c>
      <c r="S13">
        <f>OR(Q13&gt;=R13,AND(B13="CW",COUNT(J13:L13)&lt;3))</f>
        <v/>
      </c>
      <c r="T13" t="n">
        <v>0.2150092795668146</v>
      </c>
      <c r="U13" t="n">
        <v>5.153519918733672</v>
      </c>
      <c r="V13" t="n">
        <v>0.262238304621828</v>
      </c>
      <c r="W13">
        <f>Q13-V13</f>
        <v/>
      </c>
    </row>
    <row r="14">
      <c r="A14" t="inlineStr">
        <is>
          <t>2021-01-20</t>
        </is>
      </c>
      <c r="B14" t="inlineStr">
        <is>
          <t>CW</t>
        </is>
      </c>
      <c r="C14" t="n">
        <v>55.06772074033524</v>
      </c>
      <c r="D14">
        <f>SUMPRODUCT(Risk_Inputs!B14:AJ14,Risk_Coefs!$B$2:$AJ$2)</f>
        <v/>
      </c>
      <c r="E14">
        <f>1/(1+EXP(-MAX(-25,MIN(25,D14))))</f>
        <v/>
      </c>
      <c r="F14">
        <f>SUMPRODUCT(Risk_Inputs!B14:AJ14,Risk_Coefs!$B$3:$AJ$3)</f>
        <v/>
      </c>
      <c r="G14">
        <f>MAX(0,F14)</f>
        <v/>
      </c>
      <c r="H14">
        <f>(SUMPRODUCT(--ISNUMBER($E$2:$E$800),--($E$2:$E$800&lt;E14))+(SUMPRODUCT(--ISNUMBER($E$2:$E$800),--($E$2:$E$800=E14))+1)/2)/COUNT($E$2:$E$800)</f>
        <v/>
      </c>
      <c r="I14">
        <f>(SUMPRODUCT(--ISNUMBER($G$2:$G$800),--($G$2:$G$800&lt;G14))+(SUMPRODUCT(--ISNUMBER($G$2:$G$800),--($G$2:$G$800=G14))+1)/2)/COUNT($G$2:$G$800)</f>
        <v/>
      </c>
      <c r="J14" t="n">
        <v>8.427874593226052</v>
      </c>
      <c r="K14" t="n">
        <v>7.408660351826804</v>
      </c>
      <c r="L14" t="n">
        <v>0.4736129905277325</v>
      </c>
      <c r="M14">
        <f>IF(OR(B14="NW",COUNT(Risk_Rank_Keys!B14)=0),0.5,(SUMPRODUCT(--ISNUMBER(Risk_Rank_Keys!$B$2:$B$800),--(Risk_Rank_Keys!$B$2:$B$800&lt;Risk_Rank_Keys!B14))+(SUMPRODUCT(--ISNUMBER(Risk_Rank_Keys!$B$2:$B$800),--(Risk_Rank_Keys!$B$2:$B$800=Risk_Rank_Keys!B14))+1)/2)/COUNT(Risk_Rank_Keys!$B$2:$B$800))</f>
        <v/>
      </c>
      <c r="N14">
        <f>IF(OR(B14="NW",COUNT(Risk_Rank_Keys!C14)=0),0.5,(SUMPRODUCT(--ISNUMBER(Risk_Rank_Keys!$C$2:$C$800),--(Risk_Rank_Keys!$C$2:$C$800&lt;Risk_Rank_Keys!C14))+(SUMPRODUCT(--ISNUMBER(Risk_Rank_Keys!$C$2:$C$800),--(Risk_Rank_Keys!$C$2:$C$800=Risk_Rank_Keys!C14))+1)/2)/COUNT(Risk_Rank_Keys!$C$2:$C$800))</f>
        <v/>
      </c>
      <c r="O14">
        <f>IF(OR(B14="NW",COUNT(Risk_Rank_Keys!D14)=0),0.5,(SUMPRODUCT(--ISNUMBER(Risk_Rank_Keys!$D$2:$D$800),--(Risk_Rank_Keys!$D$2:$D$800&lt;Risk_Rank_Keys!D14))+(SUMPRODUCT(--ISNUMBER(Risk_Rank_Keys!$D$2:$D$800),--(Risk_Rank_Keys!$D$2:$D$800=Risk_Rank_Keys!D14))+1)/2)/COUNT(Risk_Rank_Keys!$D$2:$D$800))</f>
        <v/>
      </c>
      <c r="P14">
        <f>AVERAGE(M14:O14)</f>
        <v/>
      </c>
      <c r="Q14">
        <f>0.4*H14+0.4*I14+0.2*P14</f>
        <v/>
      </c>
      <c r="R14">
        <f>PERCENTILE($Q$2:$Q$800,0.75)</f>
        <v/>
      </c>
      <c r="S14">
        <f>OR(Q14&gt;=R14,AND(B14="CW",COUNT(J14:L14)&lt;3))</f>
        <v/>
      </c>
      <c r="T14" t="n">
        <v>0.249425571807864</v>
      </c>
      <c r="U14" t="n">
        <v>6.672059700376566</v>
      </c>
      <c r="V14" t="n">
        <v>0.3984726375193539</v>
      </c>
      <c r="W14">
        <f>Q14-V14</f>
        <v/>
      </c>
    </row>
    <row r="15">
      <c r="A15" t="inlineStr">
        <is>
          <t>2021-01-21</t>
        </is>
      </c>
      <c r="B15" t="inlineStr">
        <is>
          <t>CW</t>
        </is>
      </c>
      <c r="C15" t="n">
        <v>36.43741052857595</v>
      </c>
      <c r="D15">
        <f>SUMPRODUCT(Risk_Inputs!B15:AJ15,Risk_Coefs!$B$2:$AJ$2)</f>
        <v/>
      </c>
      <c r="E15">
        <f>1/(1+EXP(-MAX(-25,MIN(25,D15))))</f>
        <v/>
      </c>
      <c r="F15">
        <f>SUMPRODUCT(Risk_Inputs!B15:AJ15,Risk_Coefs!$B$3:$AJ$3)</f>
        <v/>
      </c>
      <c r="G15">
        <f>MAX(0,F15)</f>
        <v/>
      </c>
      <c r="H15">
        <f>(SUMPRODUCT(--ISNUMBER($E$2:$E$800),--($E$2:$E$800&lt;E15))+(SUMPRODUCT(--ISNUMBER($E$2:$E$800),--($E$2:$E$800=E15))+1)/2)/COUNT($E$2:$E$800)</f>
        <v/>
      </c>
      <c r="I15">
        <f>(SUMPRODUCT(--ISNUMBER($G$2:$G$800),--($G$2:$G$800&lt;G15))+(SUMPRODUCT(--ISNUMBER($G$2:$G$800),--($G$2:$G$800=G15))+1)/2)/COUNT($G$2:$G$800)</f>
        <v/>
      </c>
      <c r="M15">
        <f>IF(OR(B15="NW",COUNT(Risk_Rank_Keys!B15)=0),0.5,(SUMPRODUCT(--ISNUMBER(Risk_Rank_Keys!$B$2:$B$800),--(Risk_Rank_Keys!$B$2:$B$800&lt;Risk_Rank_Keys!B15))+(SUMPRODUCT(--ISNUMBER(Risk_Rank_Keys!$B$2:$B$800),--(Risk_Rank_Keys!$B$2:$B$800=Risk_Rank_Keys!B15))+1)/2)/COUNT(Risk_Rank_Keys!$B$2:$B$800))</f>
        <v/>
      </c>
      <c r="N15">
        <f>IF(OR(B15="NW",COUNT(Risk_Rank_Keys!C15)=0),0.5,(SUMPRODUCT(--ISNUMBER(Risk_Rank_Keys!$C$2:$C$800),--(Risk_Rank_Keys!$C$2:$C$800&lt;Risk_Rank_Keys!C15))+(SUMPRODUCT(--ISNUMBER(Risk_Rank_Keys!$C$2:$C$800),--(Risk_Rank_Keys!$C$2:$C$800=Risk_Rank_Keys!C15))+1)/2)/COUNT(Risk_Rank_Keys!$C$2:$C$800))</f>
        <v/>
      </c>
      <c r="O15">
        <f>IF(OR(B15="NW",COUNT(Risk_Rank_Keys!D15)=0),0.5,(SUMPRODUCT(--ISNUMBER(Risk_Rank_Keys!$D$2:$D$800),--(Risk_Rank_Keys!$D$2:$D$800&lt;Risk_Rank_Keys!D15))+(SUMPRODUCT(--ISNUMBER(Risk_Rank_Keys!$D$2:$D$800),--(Risk_Rank_Keys!$D$2:$D$800=Risk_Rank_Keys!D15))+1)/2)/COUNT(Risk_Rank_Keys!$D$2:$D$800))</f>
        <v/>
      </c>
      <c r="P15">
        <f>AVERAGE(M15:O15)</f>
        <v/>
      </c>
      <c r="Q15">
        <f>0.4*H15+0.4*I15+0.2*P15</f>
        <v/>
      </c>
      <c r="R15">
        <f>PERCENTILE($Q$2:$Q$800,0.75)</f>
        <v/>
      </c>
      <c r="S15">
        <f>OR(Q15&gt;=R15,AND(B15="CW",COUNT(J15:L15)&lt;3))</f>
        <v/>
      </c>
      <c r="T15" t="n">
        <v>0.4158954647912267</v>
      </c>
      <c r="U15" t="n">
        <v>13.54347690460652</v>
      </c>
      <c r="V15" t="n">
        <v>0.8704630788485607</v>
      </c>
      <c r="W15">
        <f>Q15-V15</f>
        <v/>
      </c>
    </row>
    <row r="16">
      <c r="A16" t="inlineStr">
        <is>
          <t>2021-01-22</t>
        </is>
      </c>
      <c r="B16" t="inlineStr">
        <is>
          <t>CW</t>
        </is>
      </c>
      <c r="C16" t="n">
        <v>-40.9149503190211</v>
      </c>
      <c r="D16">
        <f>SUMPRODUCT(Risk_Inputs!B16:AJ16,Risk_Coefs!$B$2:$AJ$2)</f>
        <v/>
      </c>
      <c r="E16">
        <f>1/(1+EXP(-MAX(-25,MIN(25,D16))))</f>
        <v/>
      </c>
      <c r="F16">
        <f>SUMPRODUCT(Risk_Inputs!B16:AJ16,Risk_Coefs!$B$3:$AJ$3)</f>
        <v/>
      </c>
      <c r="G16">
        <f>MAX(0,F16)</f>
        <v/>
      </c>
      <c r="H16">
        <f>(SUMPRODUCT(--ISNUMBER($E$2:$E$800),--($E$2:$E$800&lt;E16))+(SUMPRODUCT(--ISNUMBER($E$2:$E$800),--($E$2:$E$800=E16))+1)/2)/COUNT($E$2:$E$800)</f>
        <v/>
      </c>
      <c r="I16">
        <f>(SUMPRODUCT(--ISNUMBER($G$2:$G$800),--($G$2:$G$800&lt;G16))+(SUMPRODUCT(--ISNUMBER($G$2:$G$800),--($G$2:$G$800=G16))+1)/2)/COUNT($G$2:$G$800)</f>
        <v/>
      </c>
      <c r="J16" t="n">
        <v>7.458331750739288</v>
      </c>
      <c r="K16" t="n">
        <v>1.635474624852458</v>
      </c>
      <c r="L16" t="n">
        <v>0.2866295734277506</v>
      </c>
      <c r="M16">
        <f>IF(OR(B16="NW",COUNT(Risk_Rank_Keys!B16)=0),0.5,(SUMPRODUCT(--ISNUMBER(Risk_Rank_Keys!$B$2:$B$800),--(Risk_Rank_Keys!$B$2:$B$800&lt;Risk_Rank_Keys!B16))+(SUMPRODUCT(--ISNUMBER(Risk_Rank_Keys!$B$2:$B$800),--(Risk_Rank_Keys!$B$2:$B$800=Risk_Rank_Keys!B16))+1)/2)/COUNT(Risk_Rank_Keys!$B$2:$B$800))</f>
        <v/>
      </c>
      <c r="N16">
        <f>IF(OR(B16="NW",COUNT(Risk_Rank_Keys!C16)=0),0.5,(SUMPRODUCT(--ISNUMBER(Risk_Rank_Keys!$C$2:$C$800),--(Risk_Rank_Keys!$C$2:$C$800&lt;Risk_Rank_Keys!C16))+(SUMPRODUCT(--ISNUMBER(Risk_Rank_Keys!$C$2:$C$800),--(Risk_Rank_Keys!$C$2:$C$800=Risk_Rank_Keys!C16))+1)/2)/COUNT(Risk_Rank_Keys!$C$2:$C$800))</f>
        <v/>
      </c>
      <c r="O16">
        <f>IF(OR(B16="NW",COUNT(Risk_Rank_Keys!D16)=0),0.5,(SUMPRODUCT(--ISNUMBER(Risk_Rank_Keys!$D$2:$D$800),--(Risk_Rank_Keys!$D$2:$D$800&lt;Risk_Rank_Keys!D16))+(SUMPRODUCT(--ISNUMBER(Risk_Rank_Keys!$D$2:$D$800),--(Risk_Rank_Keys!$D$2:$D$800=Risk_Rank_Keys!D16))+1)/2)/COUNT(Risk_Rank_Keys!$D$2:$D$800))</f>
        <v/>
      </c>
      <c r="P16">
        <f>AVERAGE(M16:O16)</f>
        <v/>
      </c>
      <c r="Q16">
        <f>0.4*H16+0.4*I16+0.2*P16</f>
        <v/>
      </c>
      <c r="R16">
        <f>PERCENTILE($Q$2:$Q$800,0.75)</f>
        <v/>
      </c>
      <c r="S16">
        <f>OR(Q16&gt;=R16,AND(B16="CW",COUNT(J16:L16)&lt;3))</f>
        <v/>
      </c>
      <c r="T16" t="n">
        <v>0.3684000629710867</v>
      </c>
      <c r="U16" t="n">
        <v>13.782778188743</v>
      </c>
      <c r="V16" t="n">
        <v>0.8156683534566977</v>
      </c>
      <c r="W16">
        <f>Q16-V16</f>
        <v/>
      </c>
    </row>
    <row r="17">
      <c r="A17" t="inlineStr">
        <is>
          <t>2021-01-25</t>
        </is>
      </c>
      <c r="B17" t="inlineStr">
        <is>
          <t>CW</t>
        </is>
      </c>
      <c r="C17" t="n">
        <v>-38.68392744354918</v>
      </c>
      <c r="D17">
        <f>SUMPRODUCT(Risk_Inputs!B17:AJ17,Risk_Coefs!$B$2:$AJ$2)</f>
        <v/>
      </c>
      <c r="E17">
        <f>1/(1+EXP(-MAX(-25,MIN(25,D17))))</f>
        <v/>
      </c>
      <c r="F17">
        <f>SUMPRODUCT(Risk_Inputs!B17:AJ17,Risk_Coefs!$B$3:$AJ$3)</f>
        <v/>
      </c>
      <c r="G17">
        <f>MAX(0,F17)</f>
        <v/>
      </c>
      <c r="H17">
        <f>(SUMPRODUCT(--ISNUMBER($E$2:$E$800),--($E$2:$E$800&lt;E17))+(SUMPRODUCT(--ISNUMBER($E$2:$E$800),--($E$2:$E$800=E17))+1)/2)/COUNT($E$2:$E$800)</f>
        <v/>
      </c>
      <c r="I17">
        <f>(SUMPRODUCT(--ISNUMBER($G$2:$G$800),--($G$2:$G$800&lt;G17))+(SUMPRODUCT(--ISNUMBER($G$2:$G$800),--($G$2:$G$800=G17))+1)/2)/COUNT($G$2:$G$800)</f>
        <v/>
      </c>
      <c r="J17" t="n">
        <v>16.7288503253786</v>
      </c>
      <c r="K17" t="n">
        <v>2.268620758883749</v>
      </c>
      <c r="L17" t="n">
        <v>0.3212206384260177</v>
      </c>
      <c r="M17">
        <f>IF(OR(B17="NW",COUNT(Risk_Rank_Keys!B17)=0),0.5,(SUMPRODUCT(--ISNUMBER(Risk_Rank_Keys!$B$2:$B$800),--(Risk_Rank_Keys!$B$2:$B$800&lt;Risk_Rank_Keys!B17))+(SUMPRODUCT(--ISNUMBER(Risk_Rank_Keys!$B$2:$B$800),--(Risk_Rank_Keys!$B$2:$B$800=Risk_Rank_Keys!B17))+1)/2)/COUNT(Risk_Rank_Keys!$B$2:$B$800))</f>
        <v/>
      </c>
      <c r="N17">
        <f>IF(OR(B17="NW",COUNT(Risk_Rank_Keys!C17)=0),0.5,(SUMPRODUCT(--ISNUMBER(Risk_Rank_Keys!$C$2:$C$800),--(Risk_Rank_Keys!$C$2:$C$800&lt;Risk_Rank_Keys!C17))+(SUMPRODUCT(--ISNUMBER(Risk_Rank_Keys!$C$2:$C$800),--(Risk_Rank_Keys!$C$2:$C$800=Risk_Rank_Keys!C17))+1)/2)/COUNT(Risk_Rank_Keys!$C$2:$C$800))</f>
        <v/>
      </c>
      <c r="O17">
        <f>IF(OR(B17="NW",COUNT(Risk_Rank_Keys!D17)=0),0.5,(SUMPRODUCT(--ISNUMBER(Risk_Rank_Keys!$D$2:$D$800),--(Risk_Rank_Keys!$D$2:$D$800&lt;Risk_Rank_Keys!D17))+(SUMPRODUCT(--ISNUMBER(Risk_Rank_Keys!$D$2:$D$800),--(Risk_Rank_Keys!$D$2:$D$800=Risk_Rank_Keys!D17))+1)/2)/COUNT(Risk_Rank_Keys!$D$2:$D$800))</f>
        <v/>
      </c>
      <c r="P17">
        <f>AVERAGE(M17:O17)</f>
        <v/>
      </c>
      <c r="Q17">
        <f>0.4*H17+0.4*I17+0.2*P17</f>
        <v/>
      </c>
      <c r="R17">
        <f>PERCENTILE($Q$2:$Q$800,0.75)</f>
        <v/>
      </c>
      <c r="S17">
        <f>OR(Q17&gt;=R17,AND(B17="CW",COUNT(J17:L17)&lt;3))</f>
        <v/>
      </c>
      <c r="T17" t="n">
        <v>0.3500297818895333</v>
      </c>
      <c r="U17" t="n">
        <v>12.18568600108686</v>
      </c>
      <c r="V17" t="n">
        <v>0.8209778727360852</v>
      </c>
      <c r="W17">
        <f>Q17-V17</f>
        <v/>
      </c>
    </row>
    <row r="18">
      <c r="A18" t="inlineStr">
        <is>
          <t>2021-01-27</t>
        </is>
      </c>
      <c r="B18" t="inlineStr">
        <is>
          <t>CW</t>
        </is>
      </c>
      <c r="C18" t="n">
        <v>48.260157215037</v>
      </c>
      <c r="D18">
        <f>SUMPRODUCT(Risk_Inputs!B18:AJ18,Risk_Coefs!$B$2:$AJ$2)</f>
        <v/>
      </c>
      <c r="E18">
        <f>1/(1+EXP(-MAX(-25,MIN(25,D18))))</f>
        <v/>
      </c>
      <c r="F18">
        <f>SUMPRODUCT(Risk_Inputs!B18:AJ18,Risk_Coefs!$B$3:$AJ$3)</f>
        <v/>
      </c>
      <c r="G18">
        <f>MAX(0,F18)</f>
        <v/>
      </c>
      <c r="H18">
        <f>(SUMPRODUCT(--ISNUMBER($E$2:$E$800),--($E$2:$E$800&lt;E18))+(SUMPRODUCT(--ISNUMBER($E$2:$E$800),--($E$2:$E$800=E18))+1)/2)/COUNT($E$2:$E$800)</f>
        <v/>
      </c>
      <c r="I18">
        <f>(SUMPRODUCT(--ISNUMBER($G$2:$G$800),--($G$2:$G$800&lt;G18))+(SUMPRODUCT(--ISNUMBER($G$2:$G$800),--($G$2:$G$800=G18))+1)/2)/COUNT($G$2:$G$800)</f>
        <v/>
      </c>
      <c r="J18" t="n">
        <v>37.43521168006907</v>
      </c>
      <c r="K18" t="n">
        <v>9.682539682539671</v>
      </c>
      <c r="L18" t="n">
        <v>1.375661375661373</v>
      </c>
      <c r="M18">
        <f>IF(OR(B18="NW",COUNT(Risk_Rank_Keys!B18)=0),0.5,(SUMPRODUCT(--ISNUMBER(Risk_Rank_Keys!$B$2:$B$800),--(Risk_Rank_Keys!$B$2:$B$800&lt;Risk_Rank_Keys!B18))+(SUMPRODUCT(--ISNUMBER(Risk_Rank_Keys!$B$2:$B$800),--(Risk_Rank_Keys!$B$2:$B$800=Risk_Rank_Keys!B18))+1)/2)/COUNT(Risk_Rank_Keys!$B$2:$B$800))</f>
        <v/>
      </c>
      <c r="N18">
        <f>IF(OR(B18="NW",COUNT(Risk_Rank_Keys!C18)=0),0.5,(SUMPRODUCT(--ISNUMBER(Risk_Rank_Keys!$C$2:$C$800),--(Risk_Rank_Keys!$C$2:$C$800&lt;Risk_Rank_Keys!C18))+(SUMPRODUCT(--ISNUMBER(Risk_Rank_Keys!$C$2:$C$800),--(Risk_Rank_Keys!$C$2:$C$800=Risk_Rank_Keys!C18))+1)/2)/COUNT(Risk_Rank_Keys!$C$2:$C$800))</f>
        <v/>
      </c>
      <c r="O18">
        <f>IF(OR(B18="NW",COUNT(Risk_Rank_Keys!D18)=0),0.5,(SUMPRODUCT(--ISNUMBER(Risk_Rank_Keys!$D$2:$D$800),--(Risk_Rank_Keys!$D$2:$D$800&lt;Risk_Rank_Keys!D18))+(SUMPRODUCT(--ISNUMBER(Risk_Rank_Keys!$D$2:$D$800),--(Risk_Rank_Keys!$D$2:$D$800=Risk_Rank_Keys!D18))+1)/2)/COUNT(Risk_Rank_Keys!$D$2:$D$800))</f>
        <v/>
      </c>
      <c r="P18">
        <f>AVERAGE(M18:O18)</f>
        <v/>
      </c>
      <c r="Q18">
        <f>0.4*H18+0.4*I18+0.2*P18</f>
        <v/>
      </c>
      <c r="R18">
        <f>PERCENTILE($Q$2:$Q$800,0.75)</f>
        <v/>
      </c>
      <c r="S18">
        <f>OR(Q18&gt;=R18,AND(B18="CW",COUNT(J18:L18)&lt;3))</f>
        <v/>
      </c>
      <c r="T18" t="n">
        <v>0.1866210188093316</v>
      </c>
      <c r="U18" t="n">
        <v>5.842826651919768</v>
      </c>
      <c r="V18" t="n">
        <v>0.3158868390229768</v>
      </c>
      <c r="W18">
        <f>Q18-V18</f>
        <v/>
      </c>
    </row>
    <row r="19">
      <c r="A19" t="inlineStr">
        <is>
          <t>2021-01-28</t>
        </is>
      </c>
      <c r="B19" t="inlineStr">
        <is>
          <t>CW</t>
        </is>
      </c>
      <c r="C19" t="n">
        <v>-12.88130494483715</v>
      </c>
      <c r="D19">
        <f>SUMPRODUCT(Risk_Inputs!B19:AJ19,Risk_Coefs!$B$2:$AJ$2)</f>
        <v/>
      </c>
      <c r="E19">
        <f>1/(1+EXP(-MAX(-25,MIN(25,D19))))</f>
        <v/>
      </c>
      <c r="F19">
        <f>SUMPRODUCT(Risk_Inputs!B19:AJ19,Risk_Coefs!$B$3:$AJ$3)</f>
        <v/>
      </c>
      <c r="G19">
        <f>MAX(0,F19)</f>
        <v/>
      </c>
      <c r="H19">
        <f>(SUMPRODUCT(--ISNUMBER($E$2:$E$800),--($E$2:$E$800&lt;E19))+(SUMPRODUCT(--ISNUMBER($E$2:$E$800),--($E$2:$E$800=E19))+1)/2)/COUNT($E$2:$E$800)</f>
        <v/>
      </c>
      <c r="I19">
        <f>(SUMPRODUCT(--ISNUMBER($G$2:$G$800),--($G$2:$G$800&lt;G19))+(SUMPRODUCT(--ISNUMBER($G$2:$G$800),--($G$2:$G$800=G19))+1)/2)/COUNT($G$2:$G$800)</f>
        <v/>
      </c>
      <c r="J19" t="n">
        <v>24.56010011576866</v>
      </c>
      <c r="K19" t="n">
        <v>4.78796169630643</v>
      </c>
      <c r="L19" t="n">
        <v>0.4559963520291837</v>
      </c>
      <c r="M19">
        <f>IF(OR(B19="NW",COUNT(Risk_Rank_Keys!B19)=0),0.5,(SUMPRODUCT(--ISNUMBER(Risk_Rank_Keys!$B$2:$B$800),--(Risk_Rank_Keys!$B$2:$B$800&lt;Risk_Rank_Keys!B19))+(SUMPRODUCT(--ISNUMBER(Risk_Rank_Keys!$B$2:$B$800),--(Risk_Rank_Keys!$B$2:$B$800=Risk_Rank_Keys!B19))+1)/2)/COUNT(Risk_Rank_Keys!$B$2:$B$800))</f>
        <v/>
      </c>
      <c r="N19">
        <f>IF(OR(B19="NW",COUNT(Risk_Rank_Keys!C19)=0),0.5,(SUMPRODUCT(--ISNUMBER(Risk_Rank_Keys!$C$2:$C$800),--(Risk_Rank_Keys!$C$2:$C$800&lt;Risk_Rank_Keys!C19))+(SUMPRODUCT(--ISNUMBER(Risk_Rank_Keys!$C$2:$C$800),--(Risk_Rank_Keys!$C$2:$C$800=Risk_Rank_Keys!C19))+1)/2)/COUNT(Risk_Rank_Keys!$C$2:$C$800))</f>
        <v/>
      </c>
      <c r="O19">
        <f>IF(OR(B19="NW",COUNT(Risk_Rank_Keys!D19)=0),0.5,(SUMPRODUCT(--ISNUMBER(Risk_Rank_Keys!$D$2:$D$800),--(Risk_Rank_Keys!$D$2:$D$800&lt;Risk_Rank_Keys!D19))+(SUMPRODUCT(--ISNUMBER(Risk_Rank_Keys!$D$2:$D$800),--(Risk_Rank_Keys!$D$2:$D$800=Risk_Rank_Keys!D19))+1)/2)/COUNT(Risk_Rank_Keys!$D$2:$D$800))</f>
        <v/>
      </c>
      <c r="P19">
        <f>AVERAGE(M19:O19)</f>
        <v/>
      </c>
      <c r="Q19">
        <f>0.4*H19+0.4*I19+0.2*P19</f>
        <v/>
      </c>
      <c r="R19">
        <f>PERCENTILE($Q$2:$Q$800,0.75)</f>
        <v/>
      </c>
      <c r="S19">
        <f>OR(Q19&gt;=R19,AND(B19="CW",COUNT(J19:L19)&lt;3))</f>
        <v/>
      </c>
      <c r="T19" t="n">
        <v>0.251119026577459</v>
      </c>
      <c r="U19" t="n">
        <v>7.124150786819801</v>
      </c>
      <c r="V19" t="n">
        <v>0.4448105459579006</v>
      </c>
      <c r="W19">
        <f>Q19-V19</f>
        <v/>
      </c>
    </row>
    <row r="20">
      <c r="A20" t="inlineStr">
        <is>
          <t>2021-01-29</t>
        </is>
      </c>
      <c r="B20" t="inlineStr">
        <is>
          <t>CW</t>
        </is>
      </c>
      <c r="C20" t="n">
        <v>-42.9942281854246</v>
      </c>
      <c r="D20">
        <f>SUMPRODUCT(Risk_Inputs!B20:AJ20,Risk_Coefs!$B$2:$AJ$2)</f>
        <v/>
      </c>
      <c r="E20">
        <f>1/(1+EXP(-MAX(-25,MIN(25,D20))))</f>
        <v/>
      </c>
      <c r="F20">
        <f>SUMPRODUCT(Risk_Inputs!B20:AJ20,Risk_Coefs!$B$3:$AJ$3)</f>
        <v/>
      </c>
      <c r="G20">
        <f>MAX(0,F20)</f>
        <v/>
      </c>
      <c r="H20">
        <f>(SUMPRODUCT(--ISNUMBER($E$2:$E$800),--($E$2:$E$800&lt;E20))+(SUMPRODUCT(--ISNUMBER($E$2:$E$800),--($E$2:$E$800=E20))+1)/2)/COUNT($E$2:$E$800)</f>
        <v/>
      </c>
      <c r="I20">
        <f>(SUMPRODUCT(--ISNUMBER($G$2:$G$800),--($G$2:$G$800&lt;G20))+(SUMPRODUCT(--ISNUMBER($G$2:$G$800),--($G$2:$G$800=G20))+1)/2)/COUNT($G$2:$G$800)</f>
        <v/>
      </c>
      <c r="J20" t="n">
        <v>59.80818276518553</v>
      </c>
      <c r="K20" t="n">
        <v>8.05191821732139</v>
      </c>
      <c r="L20" t="n">
        <v>0.321617275442225</v>
      </c>
      <c r="M20">
        <f>IF(OR(B20="NW",COUNT(Risk_Rank_Keys!B20)=0),0.5,(SUMPRODUCT(--ISNUMBER(Risk_Rank_Keys!$B$2:$B$800),--(Risk_Rank_Keys!$B$2:$B$800&lt;Risk_Rank_Keys!B20))+(SUMPRODUCT(--ISNUMBER(Risk_Rank_Keys!$B$2:$B$800),--(Risk_Rank_Keys!$B$2:$B$800=Risk_Rank_Keys!B20))+1)/2)/COUNT(Risk_Rank_Keys!$B$2:$B$800))</f>
        <v/>
      </c>
      <c r="N20">
        <f>IF(OR(B20="NW",COUNT(Risk_Rank_Keys!C20)=0),0.5,(SUMPRODUCT(--ISNUMBER(Risk_Rank_Keys!$C$2:$C$800),--(Risk_Rank_Keys!$C$2:$C$800&lt;Risk_Rank_Keys!C20))+(SUMPRODUCT(--ISNUMBER(Risk_Rank_Keys!$C$2:$C$800),--(Risk_Rank_Keys!$C$2:$C$800=Risk_Rank_Keys!C20))+1)/2)/COUNT(Risk_Rank_Keys!$C$2:$C$800))</f>
        <v/>
      </c>
      <c r="O20">
        <f>IF(OR(B20="NW",COUNT(Risk_Rank_Keys!D20)=0),0.5,(SUMPRODUCT(--ISNUMBER(Risk_Rank_Keys!$D$2:$D$800),--(Risk_Rank_Keys!$D$2:$D$800&lt;Risk_Rank_Keys!D20))+(SUMPRODUCT(--ISNUMBER(Risk_Rank_Keys!$D$2:$D$800),--(Risk_Rank_Keys!$D$2:$D$800=Risk_Rank_Keys!D20))+1)/2)/COUNT(Risk_Rank_Keys!$D$2:$D$800))</f>
        <v/>
      </c>
      <c r="P20">
        <f>AVERAGE(M20:O20)</f>
        <v/>
      </c>
      <c r="Q20">
        <f>0.4*H20+0.4*I20+0.2*P20</f>
        <v/>
      </c>
      <c r="R20">
        <f>PERCENTILE($Q$2:$Q$800,0.75)</f>
        <v/>
      </c>
      <c r="S20">
        <f>OR(Q20&gt;=R20,AND(B20="CW",COUNT(J20:L20)&lt;3))</f>
        <v/>
      </c>
      <c r="T20" t="n">
        <v>0.1772040542798534</v>
      </c>
      <c r="U20" t="n">
        <v>9.74579643583842</v>
      </c>
      <c r="V20" t="n">
        <v>0.4993508273067974</v>
      </c>
      <c r="W20">
        <f>Q20-V20</f>
        <v/>
      </c>
    </row>
    <row r="21">
      <c r="A21" t="inlineStr">
        <is>
          <t>2021-02-01</t>
        </is>
      </c>
      <c r="B21" t="inlineStr">
        <is>
          <t>CW</t>
        </is>
      </c>
      <c r="C21" t="n">
        <v>31.53839256813476</v>
      </c>
      <c r="D21">
        <f>SUMPRODUCT(Risk_Inputs!B21:AJ21,Risk_Coefs!$B$2:$AJ$2)</f>
        <v/>
      </c>
      <c r="E21">
        <f>1/(1+EXP(-MAX(-25,MIN(25,D21))))</f>
        <v/>
      </c>
      <c r="F21">
        <f>SUMPRODUCT(Risk_Inputs!B21:AJ21,Risk_Coefs!$B$3:$AJ$3)</f>
        <v/>
      </c>
      <c r="G21">
        <f>MAX(0,F21)</f>
        <v/>
      </c>
      <c r="H21">
        <f>(SUMPRODUCT(--ISNUMBER($E$2:$E$800),--($E$2:$E$800&lt;E21))+(SUMPRODUCT(--ISNUMBER($E$2:$E$800),--($E$2:$E$800=E21))+1)/2)/COUNT($E$2:$E$800)</f>
        <v/>
      </c>
      <c r="I21">
        <f>(SUMPRODUCT(--ISNUMBER($G$2:$G$800),--($G$2:$G$800&lt;G21))+(SUMPRODUCT(--ISNUMBER($G$2:$G$800),--($G$2:$G$800=G21))+1)/2)/COUNT($G$2:$G$800)</f>
        <v/>
      </c>
      <c r="J21" t="n">
        <v>11.38330836036823</v>
      </c>
      <c r="K21" t="n">
        <v>1.623073330219521</v>
      </c>
      <c r="L21" t="n">
        <v>0.4553946753853313</v>
      </c>
      <c r="M21">
        <f>IF(OR(B21="NW",COUNT(Risk_Rank_Keys!B21)=0),0.5,(SUMPRODUCT(--ISNUMBER(Risk_Rank_Keys!$B$2:$B$800),--(Risk_Rank_Keys!$B$2:$B$800&lt;Risk_Rank_Keys!B21))+(SUMPRODUCT(--ISNUMBER(Risk_Rank_Keys!$B$2:$B$800),--(Risk_Rank_Keys!$B$2:$B$800=Risk_Rank_Keys!B21))+1)/2)/COUNT(Risk_Rank_Keys!$B$2:$B$800))</f>
        <v/>
      </c>
      <c r="N21">
        <f>IF(OR(B21="NW",COUNT(Risk_Rank_Keys!C21)=0),0.5,(SUMPRODUCT(--ISNUMBER(Risk_Rank_Keys!$C$2:$C$800),--(Risk_Rank_Keys!$C$2:$C$800&lt;Risk_Rank_Keys!C21))+(SUMPRODUCT(--ISNUMBER(Risk_Rank_Keys!$C$2:$C$800),--(Risk_Rank_Keys!$C$2:$C$800=Risk_Rank_Keys!C21))+1)/2)/COUNT(Risk_Rank_Keys!$C$2:$C$800))</f>
        <v/>
      </c>
      <c r="O21">
        <f>IF(OR(B21="NW",COUNT(Risk_Rank_Keys!D21)=0),0.5,(SUMPRODUCT(--ISNUMBER(Risk_Rank_Keys!$D$2:$D$800),--(Risk_Rank_Keys!$D$2:$D$800&lt;Risk_Rank_Keys!D21))+(SUMPRODUCT(--ISNUMBER(Risk_Rank_Keys!$D$2:$D$800),--(Risk_Rank_Keys!$D$2:$D$800=Risk_Rank_Keys!D21))+1)/2)/COUNT(Risk_Rank_Keys!$D$2:$D$800))</f>
        <v/>
      </c>
      <c r="P21">
        <f>AVERAGE(M21:O21)</f>
        <v/>
      </c>
      <c r="Q21">
        <f>0.4*H21+0.4*I21+0.2*P21</f>
        <v/>
      </c>
      <c r="R21">
        <f>PERCENTILE($Q$2:$Q$800,0.75)</f>
        <v/>
      </c>
      <c r="S21">
        <f>OR(Q21&gt;=R21,AND(B21="CW",COUNT(J21:L21)&lt;3))</f>
        <v/>
      </c>
      <c r="T21" t="n">
        <v>0.3701990967412486</v>
      </c>
      <c r="U21" t="n">
        <v>9.747915566471919</v>
      </c>
      <c r="V21" t="n">
        <v>0.7637768968532842</v>
      </c>
      <c r="W21">
        <f>Q21-V21</f>
        <v/>
      </c>
    </row>
    <row r="22">
      <c r="A22" t="inlineStr">
        <is>
          <t>2021-02-03</t>
        </is>
      </c>
      <c r="B22" t="inlineStr">
        <is>
          <t>CW</t>
        </is>
      </c>
      <c r="C22" t="n">
        <v>54.11296629708809</v>
      </c>
      <c r="D22">
        <f>SUMPRODUCT(Risk_Inputs!B22:AJ22,Risk_Coefs!$B$2:$AJ$2)</f>
        <v/>
      </c>
      <c r="E22">
        <f>1/(1+EXP(-MAX(-25,MIN(25,D22))))</f>
        <v/>
      </c>
      <c r="F22">
        <f>SUMPRODUCT(Risk_Inputs!B22:AJ22,Risk_Coefs!$B$3:$AJ$3)</f>
        <v/>
      </c>
      <c r="G22">
        <f>MAX(0,F22)</f>
        <v/>
      </c>
      <c r="H22">
        <f>(SUMPRODUCT(--ISNUMBER($E$2:$E$800),--($E$2:$E$800&lt;E22))+(SUMPRODUCT(--ISNUMBER($E$2:$E$800),--($E$2:$E$800=E22))+1)/2)/COUNT($E$2:$E$800)</f>
        <v/>
      </c>
      <c r="I22">
        <f>(SUMPRODUCT(--ISNUMBER($G$2:$G$800),--($G$2:$G$800&lt;G22))+(SUMPRODUCT(--ISNUMBER($G$2:$G$800),--($G$2:$G$800=G22))+1)/2)/COUNT($G$2:$G$800)</f>
        <v/>
      </c>
      <c r="J22" t="n">
        <v>35.66755380026903</v>
      </c>
      <c r="K22" t="n">
        <v>3.15441363520732</v>
      </c>
      <c r="L22" t="n">
        <v>0.6359704909692262</v>
      </c>
      <c r="M22">
        <f>IF(OR(B22="NW",COUNT(Risk_Rank_Keys!B22)=0),0.5,(SUMPRODUCT(--ISNUMBER(Risk_Rank_Keys!$B$2:$B$800),--(Risk_Rank_Keys!$B$2:$B$800&lt;Risk_Rank_Keys!B22))+(SUMPRODUCT(--ISNUMBER(Risk_Rank_Keys!$B$2:$B$800),--(Risk_Rank_Keys!$B$2:$B$800=Risk_Rank_Keys!B22))+1)/2)/COUNT(Risk_Rank_Keys!$B$2:$B$800))</f>
        <v/>
      </c>
      <c r="N22">
        <f>IF(OR(B22="NW",COUNT(Risk_Rank_Keys!C22)=0),0.5,(SUMPRODUCT(--ISNUMBER(Risk_Rank_Keys!$C$2:$C$800),--(Risk_Rank_Keys!$C$2:$C$800&lt;Risk_Rank_Keys!C22))+(SUMPRODUCT(--ISNUMBER(Risk_Rank_Keys!$C$2:$C$800),--(Risk_Rank_Keys!$C$2:$C$800=Risk_Rank_Keys!C22))+1)/2)/COUNT(Risk_Rank_Keys!$C$2:$C$800))</f>
        <v/>
      </c>
      <c r="O22">
        <f>IF(OR(B22="NW",COUNT(Risk_Rank_Keys!D22)=0),0.5,(SUMPRODUCT(--ISNUMBER(Risk_Rank_Keys!$D$2:$D$800),--(Risk_Rank_Keys!$D$2:$D$800&lt;Risk_Rank_Keys!D22))+(SUMPRODUCT(--ISNUMBER(Risk_Rank_Keys!$D$2:$D$800),--(Risk_Rank_Keys!$D$2:$D$800=Risk_Rank_Keys!D22))+1)/2)/COUNT(Risk_Rank_Keys!$D$2:$D$800))</f>
        <v/>
      </c>
      <c r="P22">
        <f>AVERAGE(M22:O22)</f>
        <v/>
      </c>
      <c r="Q22">
        <f>0.4*H22+0.4*I22+0.2*P22</f>
        <v/>
      </c>
      <c r="R22">
        <f>PERCENTILE($Q$2:$Q$800,0.75)</f>
        <v/>
      </c>
      <c r="S22">
        <f>OR(Q22&gt;=R22,AND(B22="CW",COUNT(J22:L22)&lt;3))</f>
        <v/>
      </c>
      <c r="T22" t="n">
        <v>0.2108469468112318</v>
      </c>
      <c r="U22" t="n">
        <v>5.30596218912004</v>
      </c>
      <c r="V22" t="n">
        <v>0.2793534921906684</v>
      </c>
      <c r="W22">
        <f>Q22-V22</f>
        <v/>
      </c>
    </row>
    <row r="23">
      <c r="A23" t="inlineStr">
        <is>
          <t>2021-02-04</t>
        </is>
      </c>
      <c r="B23" t="inlineStr">
        <is>
          <t>CW</t>
        </is>
      </c>
      <c r="C23" t="n">
        <v>47.12896880934595</v>
      </c>
      <c r="D23">
        <f>SUMPRODUCT(Risk_Inputs!B23:AJ23,Risk_Coefs!$B$2:$AJ$2)</f>
        <v/>
      </c>
      <c r="E23">
        <f>1/(1+EXP(-MAX(-25,MIN(25,D23))))</f>
        <v/>
      </c>
      <c r="F23">
        <f>SUMPRODUCT(Risk_Inputs!B23:AJ23,Risk_Coefs!$B$3:$AJ$3)</f>
        <v/>
      </c>
      <c r="G23">
        <f>MAX(0,F23)</f>
        <v/>
      </c>
      <c r="H23">
        <f>(SUMPRODUCT(--ISNUMBER($E$2:$E$800),--($E$2:$E$800&lt;E23))+(SUMPRODUCT(--ISNUMBER($E$2:$E$800),--($E$2:$E$800=E23))+1)/2)/COUNT($E$2:$E$800)</f>
        <v/>
      </c>
      <c r="I23">
        <f>(SUMPRODUCT(--ISNUMBER($G$2:$G$800),--($G$2:$G$800&lt;G23))+(SUMPRODUCT(--ISNUMBER($G$2:$G$800),--($G$2:$G$800=G23))+1)/2)/COUNT($G$2:$G$800)</f>
        <v/>
      </c>
      <c r="J23" t="n">
        <v>26.10097581671542</v>
      </c>
      <c r="K23" t="n">
        <v>12.25281116711905</v>
      </c>
      <c r="L23" t="n">
        <v>0.387747188832892</v>
      </c>
      <c r="M23">
        <f>IF(OR(B23="NW",COUNT(Risk_Rank_Keys!B23)=0),0.5,(SUMPRODUCT(--ISNUMBER(Risk_Rank_Keys!$B$2:$B$800),--(Risk_Rank_Keys!$B$2:$B$800&lt;Risk_Rank_Keys!B23))+(SUMPRODUCT(--ISNUMBER(Risk_Rank_Keys!$B$2:$B$800),--(Risk_Rank_Keys!$B$2:$B$800=Risk_Rank_Keys!B23))+1)/2)/COUNT(Risk_Rank_Keys!$B$2:$B$800))</f>
        <v/>
      </c>
      <c r="N23">
        <f>IF(OR(B23="NW",COUNT(Risk_Rank_Keys!C23)=0),0.5,(SUMPRODUCT(--ISNUMBER(Risk_Rank_Keys!$C$2:$C$800),--(Risk_Rank_Keys!$C$2:$C$800&lt;Risk_Rank_Keys!C23))+(SUMPRODUCT(--ISNUMBER(Risk_Rank_Keys!$C$2:$C$800),--(Risk_Rank_Keys!$C$2:$C$800=Risk_Rank_Keys!C23))+1)/2)/COUNT(Risk_Rank_Keys!$C$2:$C$800))</f>
        <v/>
      </c>
      <c r="O23">
        <f>IF(OR(B23="NW",COUNT(Risk_Rank_Keys!D23)=0),0.5,(SUMPRODUCT(--ISNUMBER(Risk_Rank_Keys!$D$2:$D$800),--(Risk_Rank_Keys!$D$2:$D$800&lt;Risk_Rank_Keys!D23))+(SUMPRODUCT(--ISNUMBER(Risk_Rank_Keys!$D$2:$D$800),--(Risk_Rank_Keys!$D$2:$D$800=Risk_Rank_Keys!D23))+1)/2)/COUNT(Risk_Rank_Keys!$D$2:$D$800))</f>
        <v/>
      </c>
      <c r="P23">
        <f>AVERAGE(M23:O23)</f>
        <v/>
      </c>
      <c r="Q23">
        <f>0.4*H23+0.4*I23+0.2*P23</f>
        <v/>
      </c>
      <c r="R23">
        <f>PERCENTILE($Q$2:$Q$800,0.75)</f>
        <v/>
      </c>
      <c r="S23">
        <f>OR(Q23&gt;=R23,AND(B23="CW",COUNT(J23:L23)&lt;3))</f>
        <v/>
      </c>
      <c r="T23" t="n">
        <v>0.2882808486129001</v>
      </c>
      <c r="U23" t="n">
        <v>9.797830129821243</v>
      </c>
      <c r="V23" t="n">
        <v>0.6866137297377184</v>
      </c>
      <c r="W23">
        <f>Q23-V23</f>
        <v/>
      </c>
    </row>
    <row r="24">
      <c r="A24" t="inlineStr">
        <is>
          <t>2021-02-05</t>
        </is>
      </c>
      <c r="B24" t="inlineStr">
        <is>
          <t>CW</t>
        </is>
      </c>
      <c r="C24" t="n">
        <v>-33.66310317682423</v>
      </c>
      <c r="D24">
        <f>SUMPRODUCT(Risk_Inputs!B24:AJ24,Risk_Coefs!$B$2:$AJ$2)</f>
        <v/>
      </c>
      <c r="E24">
        <f>1/(1+EXP(-MAX(-25,MIN(25,D24))))</f>
        <v/>
      </c>
      <c r="F24">
        <f>SUMPRODUCT(Risk_Inputs!B24:AJ24,Risk_Coefs!$B$3:$AJ$3)</f>
        <v/>
      </c>
      <c r="G24">
        <f>MAX(0,F24)</f>
        <v/>
      </c>
      <c r="H24">
        <f>(SUMPRODUCT(--ISNUMBER($E$2:$E$800),--($E$2:$E$800&lt;E24))+(SUMPRODUCT(--ISNUMBER($E$2:$E$800),--($E$2:$E$800=E24))+1)/2)/COUNT($E$2:$E$800)</f>
        <v/>
      </c>
      <c r="I24">
        <f>(SUMPRODUCT(--ISNUMBER($G$2:$G$800),--($G$2:$G$800&lt;G24))+(SUMPRODUCT(--ISNUMBER($G$2:$G$800),--($G$2:$G$800=G24))+1)/2)/COUNT($G$2:$G$800)</f>
        <v/>
      </c>
      <c r="J24" t="n">
        <v>18.37140352168811</v>
      </c>
      <c r="K24" t="n">
        <v>8.587343339006653</v>
      </c>
      <c r="L24" t="n">
        <v>0.6189076280365156</v>
      </c>
      <c r="M24">
        <f>IF(OR(B24="NW",COUNT(Risk_Rank_Keys!B24)=0),0.5,(SUMPRODUCT(--ISNUMBER(Risk_Rank_Keys!$B$2:$B$800),--(Risk_Rank_Keys!$B$2:$B$800&lt;Risk_Rank_Keys!B24))+(SUMPRODUCT(--ISNUMBER(Risk_Rank_Keys!$B$2:$B$800),--(Risk_Rank_Keys!$B$2:$B$800=Risk_Rank_Keys!B24))+1)/2)/COUNT(Risk_Rank_Keys!$B$2:$B$800))</f>
        <v/>
      </c>
      <c r="N24">
        <f>IF(OR(B24="NW",COUNT(Risk_Rank_Keys!C24)=0),0.5,(SUMPRODUCT(--ISNUMBER(Risk_Rank_Keys!$C$2:$C$800),--(Risk_Rank_Keys!$C$2:$C$800&lt;Risk_Rank_Keys!C24))+(SUMPRODUCT(--ISNUMBER(Risk_Rank_Keys!$C$2:$C$800),--(Risk_Rank_Keys!$C$2:$C$800=Risk_Rank_Keys!C24))+1)/2)/COUNT(Risk_Rank_Keys!$C$2:$C$800))</f>
        <v/>
      </c>
      <c r="O24">
        <f>IF(OR(B24="NW",COUNT(Risk_Rank_Keys!D24)=0),0.5,(SUMPRODUCT(--ISNUMBER(Risk_Rank_Keys!$D$2:$D$800),--(Risk_Rank_Keys!$D$2:$D$800&lt;Risk_Rank_Keys!D24))+(SUMPRODUCT(--ISNUMBER(Risk_Rank_Keys!$D$2:$D$800),--(Risk_Rank_Keys!$D$2:$D$800=Risk_Rank_Keys!D24))+1)/2)/COUNT(Risk_Rank_Keys!$D$2:$D$800))</f>
        <v/>
      </c>
      <c r="P24">
        <f>AVERAGE(M24:O24)</f>
        <v/>
      </c>
      <c r="Q24">
        <f>0.4*H24+0.4*I24+0.2*P24</f>
        <v/>
      </c>
      <c r="R24">
        <f>PERCENTILE($Q$2:$Q$800,0.75)</f>
        <v/>
      </c>
      <c r="S24">
        <f>OR(Q24&gt;=R24,AND(B24="CW",COUNT(J24:L24)&lt;3))</f>
        <v/>
      </c>
      <c r="T24" t="n">
        <v>0.187260013745748</v>
      </c>
      <c r="U24" t="n">
        <v>7.578946421206757</v>
      </c>
      <c r="V24" t="n">
        <v>0.402637071327537</v>
      </c>
      <c r="W24">
        <f>Q24-V24</f>
        <v/>
      </c>
    </row>
    <row r="25">
      <c r="A25" t="inlineStr">
        <is>
          <t>2021-02-08</t>
        </is>
      </c>
      <c r="B25" t="inlineStr">
        <is>
          <t>CW</t>
        </is>
      </c>
      <c r="C25" t="n">
        <v>57.12934908038083</v>
      </c>
      <c r="D25">
        <f>SUMPRODUCT(Risk_Inputs!B25:AJ25,Risk_Coefs!$B$2:$AJ$2)</f>
        <v/>
      </c>
      <c r="E25">
        <f>1/(1+EXP(-MAX(-25,MIN(25,D25))))</f>
        <v/>
      </c>
      <c r="F25">
        <f>SUMPRODUCT(Risk_Inputs!B25:AJ25,Risk_Coefs!$B$3:$AJ$3)</f>
        <v/>
      </c>
      <c r="G25">
        <f>MAX(0,F25)</f>
        <v/>
      </c>
      <c r="H25">
        <f>(SUMPRODUCT(--ISNUMBER($E$2:$E$800),--($E$2:$E$800&lt;E25))+(SUMPRODUCT(--ISNUMBER($E$2:$E$800),--($E$2:$E$800=E25))+1)/2)/COUNT($E$2:$E$800)</f>
        <v/>
      </c>
      <c r="I25">
        <f>(SUMPRODUCT(--ISNUMBER($G$2:$G$800),--($G$2:$G$800&lt;G25))+(SUMPRODUCT(--ISNUMBER($G$2:$G$800),--($G$2:$G$800=G25))+1)/2)/COUNT($G$2:$G$800)</f>
        <v/>
      </c>
      <c r="J25" t="n">
        <v>27.11359800103621</v>
      </c>
      <c r="K25" t="n">
        <v>6.006521366054592</v>
      </c>
      <c r="L25" t="n">
        <v>0.5148446885189536</v>
      </c>
      <c r="M25">
        <f>IF(OR(B25="NW",COUNT(Risk_Rank_Keys!B25)=0),0.5,(SUMPRODUCT(--ISNUMBER(Risk_Rank_Keys!$B$2:$B$800),--(Risk_Rank_Keys!$B$2:$B$800&lt;Risk_Rank_Keys!B25))+(SUMPRODUCT(--ISNUMBER(Risk_Rank_Keys!$B$2:$B$800),--(Risk_Rank_Keys!$B$2:$B$800=Risk_Rank_Keys!B25))+1)/2)/COUNT(Risk_Rank_Keys!$B$2:$B$800))</f>
        <v/>
      </c>
      <c r="N25">
        <f>IF(OR(B25="NW",COUNT(Risk_Rank_Keys!C25)=0),0.5,(SUMPRODUCT(--ISNUMBER(Risk_Rank_Keys!$C$2:$C$800),--(Risk_Rank_Keys!$C$2:$C$800&lt;Risk_Rank_Keys!C25))+(SUMPRODUCT(--ISNUMBER(Risk_Rank_Keys!$C$2:$C$800),--(Risk_Rank_Keys!$C$2:$C$800=Risk_Rank_Keys!C25))+1)/2)/COUNT(Risk_Rank_Keys!$C$2:$C$800))</f>
        <v/>
      </c>
      <c r="O25">
        <f>IF(OR(B25="NW",COUNT(Risk_Rank_Keys!D25)=0),0.5,(SUMPRODUCT(--ISNUMBER(Risk_Rank_Keys!$D$2:$D$800),--(Risk_Rank_Keys!$D$2:$D$800&lt;Risk_Rank_Keys!D25))+(SUMPRODUCT(--ISNUMBER(Risk_Rank_Keys!$D$2:$D$800),--(Risk_Rank_Keys!$D$2:$D$800=Risk_Rank_Keys!D25))+1)/2)/COUNT(Risk_Rank_Keys!$D$2:$D$800))</f>
        <v/>
      </c>
      <c r="P25">
        <f>AVERAGE(M25:O25)</f>
        <v/>
      </c>
      <c r="Q25">
        <f>0.4*H25+0.4*I25+0.2*P25</f>
        <v/>
      </c>
      <c r="R25">
        <f>PERCENTILE($Q$2:$Q$800,0.75)</f>
        <v/>
      </c>
      <c r="S25">
        <f>OR(Q25&gt;=R25,AND(B25="CW",COUNT(J25:L25)&lt;3))</f>
        <v/>
      </c>
      <c r="T25" t="n">
        <v>0.2429908190137729</v>
      </c>
      <c r="U25" t="n">
        <v>9.195371264959341</v>
      </c>
      <c r="V25" t="n">
        <v>0.5476325881549985</v>
      </c>
      <c r="W25">
        <f>Q25-V25</f>
        <v/>
      </c>
    </row>
    <row r="26">
      <c r="A26" t="inlineStr">
        <is>
          <t>2021-02-09</t>
        </is>
      </c>
      <c r="B26" t="inlineStr">
        <is>
          <t>CW</t>
        </is>
      </c>
      <c r="C26" t="n">
        <v>24.58928358665873</v>
      </c>
      <c r="D26">
        <f>SUMPRODUCT(Risk_Inputs!B26:AJ26,Risk_Coefs!$B$2:$AJ$2)</f>
        <v/>
      </c>
      <c r="E26">
        <f>1/(1+EXP(-MAX(-25,MIN(25,D26))))</f>
        <v/>
      </c>
      <c r="F26">
        <f>SUMPRODUCT(Risk_Inputs!B26:AJ26,Risk_Coefs!$B$3:$AJ$3)</f>
        <v/>
      </c>
      <c r="G26">
        <f>MAX(0,F26)</f>
        <v/>
      </c>
      <c r="H26">
        <f>(SUMPRODUCT(--ISNUMBER($E$2:$E$800),--($E$2:$E$800&lt;E26))+(SUMPRODUCT(--ISNUMBER($E$2:$E$800),--($E$2:$E$800=E26))+1)/2)/COUNT($E$2:$E$800)</f>
        <v/>
      </c>
      <c r="I26">
        <f>(SUMPRODUCT(--ISNUMBER($G$2:$G$800),--($G$2:$G$800&lt;G26))+(SUMPRODUCT(--ISNUMBER($G$2:$G$800),--($G$2:$G$800=G26))+1)/2)/COUNT($G$2:$G$800)</f>
        <v/>
      </c>
      <c r="J26" t="n">
        <v>12.9522550801258</v>
      </c>
      <c r="K26" t="n">
        <v>9.418402777777771</v>
      </c>
      <c r="L26" t="n">
        <v>0.4123263888888901</v>
      </c>
      <c r="M26">
        <f>IF(OR(B26="NW",COUNT(Risk_Rank_Keys!B26)=0),0.5,(SUMPRODUCT(--ISNUMBER(Risk_Rank_Keys!$B$2:$B$800),--(Risk_Rank_Keys!$B$2:$B$800&lt;Risk_Rank_Keys!B26))+(SUMPRODUCT(--ISNUMBER(Risk_Rank_Keys!$B$2:$B$800),--(Risk_Rank_Keys!$B$2:$B$800=Risk_Rank_Keys!B26))+1)/2)/COUNT(Risk_Rank_Keys!$B$2:$B$800))</f>
        <v/>
      </c>
      <c r="N26">
        <f>IF(OR(B26="NW",COUNT(Risk_Rank_Keys!C26)=0),0.5,(SUMPRODUCT(--ISNUMBER(Risk_Rank_Keys!$C$2:$C$800),--(Risk_Rank_Keys!$C$2:$C$800&lt;Risk_Rank_Keys!C26))+(SUMPRODUCT(--ISNUMBER(Risk_Rank_Keys!$C$2:$C$800),--(Risk_Rank_Keys!$C$2:$C$800=Risk_Rank_Keys!C26))+1)/2)/COUNT(Risk_Rank_Keys!$C$2:$C$800))</f>
        <v/>
      </c>
      <c r="O26">
        <f>IF(OR(B26="NW",COUNT(Risk_Rank_Keys!D26)=0),0.5,(SUMPRODUCT(--ISNUMBER(Risk_Rank_Keys!$D$2:$D$800),--(Risk_Rank_Keys!$D$2:$D$800&lt;Risk_Rank_Keys!D26))+(SUMPRODUCT(--ISNUMBER(Risk_Rank_Keys!$D$2:$D$800),--(Risk_Rank_Keys!$D$2:$D$800=Risk_Rank_Keys!D26))+1)/2)/COUNT(Risk_Rank_Keys!$D$2:$D$800))</f>
        <v/>
      </c>
      <c r="P26">
        <f>AVERAGE(M26:O26)</f>
        <v/>
      </c>
      <c r="Q26">
        <f>0.4*H26+0.4*I26+0.2*P26</f>
        <v/>
      </c>
      <c r="R26">
        <f>PERCENTILE($Q$2:$Q$800,0.75)</f>
        <v/>
      </c>
      <c r="S26">
        <f>OR(Q26&gt;=R26,AND(B26="CW",COUNT(J26:L26)&lt;3))</f>
        <v/>
      </c>
      <c r="T26" t="n">
        <v>0.2111311455787106</v>
      </c>
      <c r="U26" t="n">
        <v>5.060391010178645</v>
      </c>
      <c r="V26" t="n">
        <v>0.2669092991064493</v>
      </c>
      <c r="W26">
        <f>Q26-V26</f>
        <v/>
      </c>
    </row>
    <row r="27">
      <c r="A27" t="inlineStr">
        <is>
          <t>2021-02-10</t>
        </is>
      </c>
      <c r="B27" t="inlineStr">
        <is>
          <t>NW</t>
        </is>
      </c>
      <c r="C27" t="n">
        <v>48.68731439150532</v>
      </c>
      <c r="D27">
        <f>SUMPRODUCT(Risk_Inputs!B27:AJ27,Risk_Coefs!$B$2:$AJ$2)</f>
        <v/>
      </c>
      <c r="E27">
        <f>1/(1+EXP(-MAX(-25,MIN(25,D27))))</f>
        <v/>
      </c>
      <c r="F27">
        <f>SUMPRODUCT(Risk_Inputs!B27:AJ27,Risk_Coefs!$B$3:$AJ$3)</f>
        <v/>
      </c>
      <c r="G27">
        <f>MAX(0,F27)</f>
        <v/>
      </c>
      <c r="H27">
        <f>(SUMPRODUCT(--ISNUMBER($E$2:$E$800),--($E$2:$E$800&lt;E27))+(SUMPRODUCT(--ISNUMBER($E$2:$E$800),--($E$2:$E$800=E27))+1)/2)/COUNT($E$2:$E$800)</f>
        <v/>
      </c>
      <c r="I27">
        <f>(SUMPRODUCT(--ISNUMBER($G$2:$G$800),--($G$2:$G$800&lt;G27))+(SUMPRODUCT(--ISNUMBER($G$2:$G$800),--($G$2:$G$800=G27))+1)/2)/COUNT($G$2:$G$800)</f>
        <v/>
      </c>
      <c r="M27">
        <f>IF(OR(B27="NW",COUNT(Risk_Rank_Keys!B27)=0),0.5,(SUMPRODUCT(--ISNUMBER(Risk_Rank_Keys!$B$2:$B$800),--(Risk_Rank_Keys!$B$2:$B$800&lt;Risk_Rank_Keys!B27))+(SUMPRODUCT(--ISNUMBER(Risk_Rank_Keys!$B$2:$B$800),--(Risk_Rank_Keys!$B$2:$B$800=Risk_Rank_Keys!B27))+1)/2)/COUNT(Risk_Rank_Keys!$B$2:$B$800))</f>
        <v/>
      </c>
      <c r="N27">
        <f>IF(OR(B27="NW",COUNT(Risk_Rank_Keys!C27)=0),0.5,(SUMPRODUCT(--ISNUMBER(Risk_Rank_Keys!$C$2:$C$800),--(Risk_Rank_Keys!$C$2:$C$800&lt;Risk_Rank_Keys!C27))+(SUMPRODUCT(--ISNUMBER(Risk_Rank_Keys!$C$2:$C$800),--(Risk_Rank_Keys!$C$2:$C$800=Risk_Rank_Keys!C27))+1)/2)/COUNT(Risk_Rank_Keys!$C$2:$C$800))</f>
        <v/>
      </c>
      <c r="O27">
        <f>IF(OR(B27="NW",COUNT(Risk_Rank_Keys!D27)=0),0.5,(SUMPRODUCT(--ISNUMBER(Risk_Rank_Keys!$D$2:$D$800),--(Risk_Rank_Keys!$D$2:$D$800&lt;Risk_Rank_Keys!D27))+(SUMPRODUCT(--ISNUMBER(Risk_Rank_Keys!$D$2:$D$800),--(Risk_Rank_Keys!$D$2:$D$800=Risk_Rank_Keys!D27))+1)/2)/COUNT(Risk_Rank_Keys!$D$2:$D$800))</f>
        <v/>
      </c>
      <c r="P27">
        <f>AVERAGE(M27:O27)</f>
        <v/>
      </c>
      <c r="Q27">
        <f>0.4*H27+0.4*I27+0.2*P27</f>
        <v/>
      </c>
      <c r="R27">
        <f>PERCENTILE($Q$2:$Q$800,0.75)</f>
        <v/>
      </c>
      <c r="S27">
        <f>OR(Q27&gt;=R27,AND(B27="CW",COUNT(J27:L27)&lt;3))</f>
        <v/>
      </c>
      <c r="T27" t="n">
        <v>0.3956118369332288</v>
      </c>
      <c r="U27" t="n">
        <v>13.9231906666968</v>
      </c>
      <c r="V27" t="n">
        <v>0.8619524405506883</v>
      </c>
      <c r="W27">
        <f>Q27-V27</f>
        <v/>
      </c>
    </row>
    <row r="28">
      <c r="A28" t="inlineStr">
        <is>
          <t>2021-02-11</t>
        </is>
      </c>
      <c r="B28" t="inlineStr">
        <is>
          <t>CW</t>
        </is>
      </c>
      <c r="C28" t="n">
        <v>73.87448194938891</v>
      </c>
      <c r="D28">
        <f>SUMPRODUCT(Risk_Inputs!B28:AJ28,Risk_Coefs!$B$2:$AJ$2)</f>
        <v/>
      </c>
      <c r="E28">
        <f>1/(1+EXP(-MAX(-25,MIN(25,D28))))</f>
        <v/>
      </c>
      <c r="F28">
        <f>SUMPRODUCT(Risk_Inputs!B28:AJ28,Risk_Coefs!$B$3:$AJ$3)</f>
        <v/>
      </c>
      <c r="G28">
        <f>MAX(0,F28)</f>
        <v/>
      </c>
      <c r="H28">
        <f>(SUMPRODUCT(--ISNUMBER($E$2:$E$800),--($E$2:$E$800&lt;E28))+(SUMPRODUCT(--ISNUMBER($E$2:$E$800),--($E$2:$E$800=E28))+1)/2)/COUNT($E$2:$E$800)</f>
        <v/>
      </c>
      <c r="I28">
        <f>(SUMPRODUCT(--ISNUMBER($G$2:$G$800),--($G$2:$G$800&lt;G28))+(SUMPRODUCT(--ISNUMBER($G$2:$G$800),--($G$2:$G$800=G28))+1)/2)/COUNT($G$2:$G$800)</f>
        <v/>
      </c>
      <c r="J28" t="n">
        <v>10.21477560658497</v>
      </c>
      <c r="K28" t="n">
        <v>4.788135593220344</v>
      </c>
      <c r="L28" t="n">
        <v>0.3813559322034043</v>
      </c>
      <c r="M28">
        <f>IF(OR(B28="NW",COUNT(Risk_Rank_Keys!B28)=0),0.5,(SUMPRODUCT(--ISNUMBER(Risk_Rank_Keys!$B$2:$B$800),--(Risk_Rank_Keys!$B$2:$B$800&lt;Risk_Rank_Keys!B28))+(SUMPRODUCT(--ISNUMBER(Risk_Rank_Keys!$B$2:$B$800),--(Risk_Rank_Keys!$B$2:$B$800=Risk_Rank_Keys!B28))+1)/2)/COUNT(Risk_Rank_Keys!$B$2:$B$800))</f>
        <v/>
      </c>
      <c r="N28">
        <f>IF(OR(B28="NW",COUNT(Risk_Rank_Keys!C28)=0),0.5,(SUMPRODUCT(--ISNUMBER(Risk_Rank_Keys!$C$2:$C$800),--(Risk_Rank_Keys!$C$2:$C$800&lt;Risk_Rank_Keys!C28))+(SUMPRODUCT(--ISNUMBER(Risk_Rank_Keys!$C$2:$C$800),--(Risk_Rank_Keys!$C$2:$C$800=Risk_Rank_Keys!C28))+1)/2)/COUNT(Risk_Rank_Keys!$C$2:$C$800))</f>
        <v/>
      </c>
      <c r="O28">
        <f>IF(OR(B28="NW",COUNT(Risk_Rank_Keys!D28)=0),0.5,(SUMPRODUCT(--ISNUMBER(Risk_Rank_Keys!$D$2:$D$800),--(Risk_Rank_Keys!$D$2:$D$800&lt;Risk_Rank_Keys!D28))+(SUMPRODUCT(--ISNUMBER(Risk_Rank_Keys!$D$2:$D$800),--(Risk_Rank_Keys!$D$2:$D$800=Risk_Rank_Keys!D28))+1)/2)/COUNT(Risk_Rank_Keys!$D$2:$D$800))</f>
        <v/>
      </c>
      <c r="P28">
        <f>AVERAGE(M28:O28)</f>
        <v/>
      </c>
      <c r="Q28">
        <f>0.4*H28+0.4*I28+0.2*P28</f>
        <v/>
      </c>
      <c r="R28">
        <f>PERCENTILE($Q$2:$Q$800,0.75)</f>
        <v/>
      </c>
      <c r="S28">
        <f>OR(Q28&gt;=R28,AND(B28="CW",COUNT(J28:L28)&lt;3))</f>
        <v/>
      </c>
      <c r="T28" t="n">
        <v>0.2706824031150039</v>
      </c>
      <c r="U28" t="n">
        <v>8.497148387438521</v>
      </c>
      <c r="V28" t="n">
        <v>0.5361442621500958</v>
      </c>
      <c r="W28">
        <f>Q28-V28</f>
        <v/>
      </c>
    </row>
    <row r="29">
      <c r="A29" t="inlineStr">
        <is>
          <t>2021-02-12</t>
        </is>
      </c>
      <c r="B29" t="inlineStr">
        <is>
          <t>CW</t>
        </is>
      </c>
      <c r="C29" t="n">
        <v>34.58724698997074</v>
      </c>
      <c r="D29">
        <f>SUMPRODUCT(Risk_Inputs!B29:AJ29,Risk_Coefs!$B$2:$AJ$2)</f>
        <v/>
      </c>
      <c r="E29">
        <f>1/(1+EXP(-MAX(-25,MIN(25,D29))))</f>
        <v/>
      </c>
      <c r="F29">
        <f>SUMPRODUCT(Risk_Inputs!B29:AJ29,Risk_Coefs!$B$3:$AJ$3)</f>
        <v/>
      </c>
      <c r="G29">
        <f>MAX(0,F29)</f>
        <v/>
      </c>
      <c r="H29">
        <f>(SUMPRODUCT(--ISNUMBER($E$2:$E$800),--($E$2:$E$800&lt;E29))+(SUMPRODUCT(--ISNUMBER($E$2:$E$800),--($E$2:$E$800=E29))+1)/2)/COUNT($E$2:$E$800)</f>
        <v/>
      </c>
      <c r="I29">
        <f>(SUMPRODUCT(--ISNUMBER($G$2:$G$800),--($G$2:$G$800&lt;G29))+(SUMPRODUCT(--ISNUMBER($G$2:$G$800),--($G$2:$G$800=G29))+1)/2)/COUNT($G$2:$G$800)</f>
        <v/>
      </c>
      <c r="J29" t="n">
        <v>5.886357134165476</v>
      </c>
      <c r="K29" t="n">
        <v>1.444825717897779</v>
      </c>
      <c r="L29" t="n">
        <v>0.5056890012642142</v>
      </c>
      <c r="M29">
        <f>IF(OR(B29="NW",COUNT(Risk_Rank_Keys!B29)=0),0.5,(SUMPRODUCT(--ISNUMBER(Risk_Rank_Keys!$B$2:$B$800),--(Risk_Rank_Keys!$B$2:$B$800&lt;Risk_Rank_Keys!B29))+(SUMPRODUCT(--ISNUMBER(Risk_Rank_Keys!$B$2:$B$800),--(Risk_Rank_Keys!$B$2:$B$800=Risk_Rank_Keys!B29))+1)/2)/COUNT(Risk_Rank_Keys!$B$2:$B$800))</f>
        <v/>
      </c>
      <c r="N29">
        <f>IF(OR(B29="NW",COUNT(Risk_Rank_Keys!C29)=0),0.5,(SUMPRODUCT(--ISNUMBER(Risk_Rank_Keys!$C$2:$C$800),--(Risk_Rank_Keys!$C$2:$C$800&lt;Risk_Rank_Keys!C29))+(SUMPRODUCT(--ISNUMBER(Risk_Rank_Keys!$C$2:$C$800),--(Risk_Rank_Keys!$C$2:$C$800=Risk_Rank_Keys!C29))+1)/2)/COUNT(Risk_Rank_Keys!$C$2:$C$800))</f>
        <v/>
      </c>
      <c r="O29">
        <f>IF(OR(B29="NW",COUNT(Risk_Rank_Keys!D29)=0),0.5,(SUMPRODUCT(--ISNUMBER(Risk_Rank_Keys!$D$2:$D$800),--(Risk_Rank_Keys!$D$2:$D$800&lt;Risk_Rank_Keys!D29))+(SUMPRODUCT(--ISNUMBER(Risk_Rank_Keys!$D$2:$D$800),--(Risk_Rank_Keys!$D$2:$D$800=Risk_Rank_Keys!D29))+1)/2)/COUNT(Risk_Rank_Keys!$D$2:$D$800))</f>
        <v/>
      </c>
      <c r="P29">
        <f>AVERAGE(M29:O29)</f>
        <v/>
      </c>
      <c r="Q29">
        <f>0.4*H29+0.4*I29+0.2*P29</f>
        <v/>
      </c>
      <c r="R29">
        <f>PERCENTILE($Q$2:$Q$800,0.75)</f>
        <v/>
      </c>
      <c r="S29">
        <f>OR(Q29&gt;=R29,AND(B29="CW",COUNT(J29:L29)&lt;3))</f>
        <v/>
      </c>
      <c r="T29" t="n">
        <v>0.208927060054258</v>
      </c>
      <c r="U29" t="n">
        <v>6.557641973092927</v>
      </c>
      <c r="V29" t="n">
        <v>0.2757436800649813</v>
      </c>
      <c r="W29">
        <f>Q29-V29</f>
        <v/>
      </c>
    </row>
    <row r="30">
      <c r="A30" t="inlineStr">
        <is>
          <t>2021-02-16</t>
        </is>
      </c>
      <c r="B30" t="inlineStr">
        <is>
          <t>CW</t>
        </is>
      </c>
      <c r="C30" t="n">
        <v>17.75922255565358</v>
      </c>
      <c r="D30">
        <f>SUMPRODUCT(Risk_Inputs!B30:AJ30,Risk_Coefs!$B$2:$AJ$2)</f>
        <v/>
      </c>
      <c r="E30">
        <f>1/(1+EXP(-MAX(-25,MIN(25,D30))))</f>
        <v/>
      </c>
      <c r="F30">
        <f>SUMPRODUCT(Risk_Inputs!B30:AJ30,Risk_Coefs!$B$3:$AJ$3)</f>
        <v/>
      </c>
      <c r="G30">
        <f>MAX(0,F30)</f>
        <v/>
      </c>
      <c r="H30">
        <f>(SUMPRODUCT(--ISNUMBER($E$2:$E$800),--($E$2:$E$800&lt;E30))+(SUMPRODUCT(--ISNUMBER($E$2:$E$800),--($E$2:$E$800=E30))+1)/2)/COUNT($E$2:$E$800)</f>
        <v/>
      </c>
      <c r="I30">
        <f>(SUMPRODUCT(--ISNUMBER($G$2:$G$800),--($G$2:$G$800&lt;G30))+(SUMPRODUCT(--ISNUMBER($G$2:$G$800),--($G$2:$G$800=G30))+1)/2)/COUNT($G$2:$G$800)</f>
        <v/>
      </c>
      <c r="J30" t="n">
        <v>7.277736623910437</v>
      </c>
      <c r="K30" t="n">
        <v>2.28384991843394</v>
      </c>
      <c r="L30" t="n">
        <v>0.2990755845568228</v>
      </c>
      <c r="M30">
        <f>IF(OR(B30="NW",COUNT(Risk_Rank_Keys!B30)=0),0.5,(SUMPRODUCT(--ISNUMBER(Risk_Rank_Keys!$B$2:$B$800),--(Risk_Rank_Keys!$B$2:$B$800&lt;Risk_Rank_Keys!B30))+(SUMPRODUCT(--ISNUMBER(Risk_Rank_Keys!$B$2:$B$800),--(Risk_Rank_Keys!$B$2:$B$800=Risk_Rank_Keys!B30))+1)/2)/COUNT(Risk_Rank_Keys!$B$2:$B$800))</f>
        <v/>
      </c>
      <c r="N30">
        <f>IF(OR(B30="NW",COUNT(Risk_Rank_Keys!C30)=0),0.5,(SUMPRODUCT(--ISNUMBER(Risk_Rank_Keys!$C$2:$C$800),--(Risk_Rank_Keys!$C$2:$C$800&lt;Risk_Rank_Keys!C30))+(SUMPRODUCT(--ISNUMBER(Risk_Rank_Keys!$C$2:$C$800),--(Risk_Rank_Keys!$C$2:$C$800=Risk_Rank_Keys!C30))+1)/2)/COUNT(Risk_Rank_Keys!$C$2:$C$800))</f>
        <v/>
      </c>
      <c r="O30">
        <f>IF(OR(B30="NW",COUNT(Risk_Rank_Keys!D30)=0),0.5,(SUMPRODUCT(--ISNUMBER(Risk_Rank_Keys!$D$2:$D$800),--(Risk_Rank_Keys!$D$2:$D$800&lt;Risk_Rank_Keys!D30))+(SUMPRODUCT(--ISNUMBER(Risk_Rank_Keys!$D$2:$D$800),--(Risk_Rank_Keys!$D$2:$D$800=Risk_Rank_Keys!D30))+1)/2)/COUNT(Risk_Rank_Keys!$D$2:$D$800))</f>
        <v/>
      </c>
      <c r="P30">
        <f>AVERAGE(M30:O30)</f>
        <v/>
      </c>
      <c r="Q30">
        <f>0.4*H30+0.4*I30+0.2*P30</f>
        <v/>
      </c>
      <c r="R30">
        <f>PERCENTILE($Q$2:$Q$800,0.75)</f>
        <v/>
      </c>
      <c r="S30">
        <f>OR(Q30&gt;=R30,AND(B30="CW",COUNT(J30:L30)&lt;3))</f>
        <v/>
      </c>
      <c r="T30" t="n">
        <v>0.2558561343641775</v>
      </c>
      <c r="U30" t="n">
        <v>5.047900932458786</v>
      </c>
      <c r="V30" t="n">
        <v>0.271095610563879</v>
      </c>
      <c r="W30">
        <f>Q30-V30</f>
        <v/>
      </c>
    </row>
    <row r="31">
      <c r="A31" t="inlineStr">
        <is>
          <t>2021-02-17</t>
        </is>
      </c>
      <c r="B31" t="inlineStr">
        <is>
          <t>CW</t>
        </is>
      </c>
      <c r="C31" t="n">
        <v>-40.83971444496503</v>
      </c>
      <c r="D31">
        <f>SUMPRODUCT(Risk_Inputs!B31:AJ31,Risk_Coefs!$B$2:$AJ$2)</f>
        <v/>
      </c>
      <c r="E31">
        <f>1/(1+EXP(-MAX(-25,MIN(25,D31))))</f>
        <v/>
      </c>
      <c r="F31">
        <f>SUMPRODUCT(Risk_Inputs!B31:AJ31,Risk_Coefs!$B$3:$AJ$3)</f>
        <v/>
      </c>
      <c r="G31">
        <f>MAX(0,F31)</f>
        <v/>
      </c>
      <c r="H31">
        <f>(SUMPRODUCT(--ISNUMBER($E$2:$E$800),--($E$2:$E$800&lt;E31))+(SUMPRODUCT(--ISNUMBER($E$2:$E$800),--($E$2:$E$800=E31))+1)/2)/COUNT($E$2:$E$800)</f>
        <v/>
      </c>
      <c r="I31">
        <f>(SUMPRODUCT(--ISNUMBER($G$2:$G$800),--($G$2:$G$800&lt;G31))+(SUMPRODUCT(--ISNUMBER($G$2:$G$800),--($G$2:$G$800=G31))+1)/2)/COUNT($G$2:$G$800)</f>
        <v/>
      </c>
      <c r="J31" t="n">
        <v>9.23225001718794</v>
      </c>
      <c r="K31" t="n">
        <v>2.349952365830452</v>
      </c>
      <c r="L31" t="n">
        <v>0.476341695776437</v>
      </c>
      <c r="M31">
        <f>IF(OR(B31="NW",COUNT(Risk_Rank_Keys!B31)=0),0.5,(SUMPRODUCT(--ISNUMBER(Risk_Rank_Keys!$B$2:$B$800),--(Risk_Rank_Keys!$B$2:$B$800&lt;Risk_Rank_Keys!B31))+(SUMPRODUCT(--ISNUMBER(Risk_Rank_Keys!$B$2:$B$800),--(Risk_Rank_Keys!$B$2:$B$800=Risk_Rank_Keys!B31))+1)/2)/COUNT(Risk_Rank_Keys!$B$2:$B$800))</f>
        <v/>
      </c>
      <c r="N31">
        <f>IF(OR(B31="NW",COUNT(Risk_Rank_Keys!C31)=0),0.5,(SUMPRODUCT(--ISNUMBER(Risk_Rank_Keys!$C$2:$C$800),--(Risk_Rank_Keys!$C$2:$C$800&lt;Risk_Rank_Keys!C31))+(SUMPRODUCT(--ISNUMBER(Risk_Rank_Keys!$C$2:$C$800),--(Risk_Rank_Keys!$C$2:$C$800=Risk_Rank_Keys!C31))+1)/2)/COUNT(Risk_Rank_Keys!$C$2:$C$800))</f>
        <v/>
      </c>
      <c r="O31">
        <f>IF(OR(B31="NW",COUNT(Risk_Rank_Keys!D31)=0),0.5,(SUMPRODUCT(--ISNUMBER(Risk_Rank_Keys!$D$2:$D$800),--(Risk_Rank_Keys!$D$2:$D$800&lt;Risk_Rank_Keys!D31))+(SUMPRODUCT(--ISNUMBER(Risk_Rank_Keys!$D$2:$D$800),--(Risk_Rank_Keys!$D$2:$D$800=Risk_Rank_Keys!D31))+1)/2)/COUNT(Risk_Rank_Keys!$D$2:$D$800))</f>
        <v/>
      </c>
      <c r="P31">
        <f>AVERAGE(M31:O31)</f>
        <v/>
      </c>
      <c r="Q31">
        <f>0.4*H31+0.4*I31+0.2*P31</f>
        <v/>
      </c>
      <c r="R31">
        <f>PERCENTILE($Q$2:$Q$800,0.75)</f>
        <v/>
      </c>
      <c r="S31">
        <f>OR(Q31&gt;=R31,AND(B31="CW",COUNT(J31:L31)&lt;3))</f>
        <v/>
      </c>
      <c r="T31" t="n">
        <v>0.2825249802730318</v>
      </c>
      <c r="U31" t="n">
        <v>6.77523544210287</v>
      </c>
      <c r="V31" t="n">
        <v>0.4624006414340566</v>
      </c>
      <c r="W31">
        <f>Q31-V31</f>
        <v/>
      </c>
    </row>
    <row r="32">
      <c r="A32" t="inlineStr">
        <is>
          <t>2021-02-18</t>
        </is>
      </c>
      <c r="B32" t="inlineStr">
        <is>
          <t>CW</t>
        </is>
      </c>
      <c r="C32" t="n">
        <v>31.68499250455251</v>
      </c>
      <c r="D32">
        <f>SUMPRODUCT(Risk_Inputs!B32:AJ32,Risk_Coefs!$B$2:$AJ$2)</f>
        <v/>
      </c>
      <c r="E32">
        <f>1/(1+EXP(-MAX(-25,MIN(25,D32))))</f>
        <v/>
      </c>
      <c r="F32">
        <f>SUMPRODUCT(Risk_Inputs!B32:AJ32,Risk_Coefs!$B$3:$AJ$3)</f>
        <v/>
      </c>
      <c r="G32">
        <f>MAX(0,F32)</f>
        <v/>
      </c>
      <c r="H32">
        <f>(SUMPRODUCT(--ISNUMBER($E$2:$E$800),--($E$2:$E$800&lt;E32))+(SUMPRODUCT(--ISNUMBER($E$2:$E$800),--($E$2:$E$800=E32))+1)/2)/COUNT($E$2:$E$800)</f>
        <v/>
      </c>
      <c r="I32">
        <f>(SUMPRODUCT(--ISNUMBER($G$2:$G$800),--($G$2:$G$800&lt;G32))+(SUMPRODUCT(--ISNUMBER($G$2:$G$800),--($G$2:$G$800=G32))+1)/2)/COUNT($G$2:$G$800)</f>
        <v/>
      </c>
      <c r="J32" t="n">
        <v>13.27776828322448</v>
      </c>
      <c r="K32" t="n">
        <v>4.678362573099413</v>
      </c>
      <c r="L32" t="n">
        <v>0.4385964912280661</v>
      </c>
      <c r="M32">
        <f>IF(OR(B32="NW",COUNT(Risk_Rank_Keys!B32)=0),0.5,(SUMPRODUCT(--ISNUMBER(Risk_Rank_Keys!$B$2:$B$800),--(Risk_Rank_Keys!$B$2:$B$800&lt;Risk_Rank_Keys!B32))+(SUMPRODUCT(--ISNUMBER(Risk_Rank_Keys!$B$2:$B$800),--(Risk_Rank_Keys!$B$2:$B$800=Risk_Rank_Keys!B32))+1)/2)/COUNT(Risk_Rank_Keys!$B$2:$B$800))</f>
        <v/>
      </c>
      <c r="N32">
        <f>IF(OR(B32="NW",COUNT(Risk_Rank_Keys!C32)=0),0.5,(SUMPRODUCT(--ISNUMBER(Risk_Rank_Keys!$C$2:$C$800),--(Risk_Rank_Keys!$C$2:$C$800&lt;Risk_Rank_Keys!C32))+(SUMPRODUCT(--ISNUMBER(Risk_Rank_Keys!$C$2:$C$800),--(Risk_Rank_Keys!$C$2:$C$800=Risk_Rank_Keys!C32))+1)/2)/COUNT(Risk_Rank_Keys!$C$2:$C$800))</f>
        <v/>
      </c>
      <c r="O32">
        <f>IF(OR(B32="NW",COUNT(Risk_Rank_Keys!D32)=0),0.5,(SUMPRODUCT(--ISNUMBER(Risk_Rank_Keys!$D$2:$D$800),--(Risk_Rank_Keys!$D$2:$D$800&lt;Risk_Rank_Keys!D32))+(SUMPRODUCT(--ISNUMBER(Risk_Rank_Keys!$D$2:$D$800),--(Risk_Rank_Keys!$D$2:$D$800=Risk_Rank_Keys!D32))+1)/2)/COUNT(Risk_Rank_Keys!$D$2:$D$800))</f>
        <v/>
      </c>
      <c r="P32">
        <f>AVERAGE(M32:O32)</f>
        <v/>
      </c>
      <c r="Q32">
        <f>0.4*H32+0.4*I32+0.2*P32</f>
        <v/>
      </c>
      <c r="R32">
        <f>PERCENTILE($Q$2:$Q$800,0.75)</f>
        <v/>
      </c>
      <c r="S32">
        <f>OR(Q32&gt;=R32,AND(B32="CW",COUNT(J32:L32)&lt;3))</f>
        <v/>
      </c>
      <c r="T32" t="n">
        <v>0.2752856066370376</v>
      </c>
      <c r="U32" t="n">
        <v>8.298916871158168</v>
      </c>
      <c r="V32" t="n">
        <v>0.5509922037600464</v>
      </c>
      <c r="W32">
        <f>Q32-V32</f>
        <v/>
      </c>
    </row>
    <row r="33">
      <c r="A33" t="inlineStr">
        <is>
          <t>2021-02-19</t>
        </is>
      </c>
      <c r="B33" t="inlineStr">
        <is>
          <t>CW</t>
        </is>
      </c>
      <c r="C33" t="n">
        <v>-43.15231447917672</v>
      </c>
      <c r="D33">
        <f>SUMPRODUCT(Risk_Inputs!B33:AJ33,Risk_Coefs!$B$2:$AJ$2)</f>
        <v/>
      </c>
      <c r="E33">
        <f>1/(1+EXP(-MAX(-25,MIN(25,D33))))</f>
        <v/>
      </c>
      <c r="F33">
        <f>SUMPRODUCT(Risk_Inputs!B33:AJ33,Risk_Coefs!$B$3:$AJ$3)</f>
        <v/>
      </c>
      <c r="G33">
        <f>MAX(0,F33)</f>
        <v/>
      </c>
      <c r="H33">
        <f>(SUMPRODUCT(--ISNUMBER($E$2:$E$800),--($E$2:$E$800&lt;E33))+(SUMPRODUCT(--ISNUMBER($E$2:$E$800),--($E$2:$E$800=E33))+1)/2)/COUNT($E$2:$E$800)</f>
        <v/>
      </c>
      <c r="I33">
        <f>(SUMPRODUCT(--ISNUMBER($G$2:$G$800),--($G$2:$G$800&lt;G33))+(SUMPRODUCT(--ISNUMBER($G$2:$G$800),--($G$2:$G$800=G33))+1)/2)/COUNT($G$2:$G$800)</f>
        <v/>
      </c>
      <c r="J33" t="n">
        <v>24.5916620972712</v>
      </c>
      <c r="K33" t="n">
        <v>3.942158719228779</v>
      </c>
      <c r="L33" t="n">
        <v>0.9123773454983666</v>
      </c>
      <c r="M33">
        <f>IF(OR(B33="NW",COUNT(Risk_Rank_Keys!B33)=0),0.5,(SUMPRODUCT(--ISNUMBER(Risk_Rank_Keys!$B$2:$B$800),--(Risk_Rank_Keys!$B$2:$B$800&lt;Risk_Rank_Keys!B33))+(SUMPRODUCT(--ISNUMBER(Risk_Rank_Keys!$B$2:$B$800),--(Risk_Rank_Keys!$B$2:$B$800=Risk_Rank_Keys!B33))+1)/2)/COUNT(Risk_Rank_Keys!$B$2:$B$800))</f>
        <v/>
      </c>
      <c r="N33">
        <f>IF(OR(B33="NW",COUNT(Risk_Rank_Keys!C33)=0),0.5,(SUMPRODUCT(--ISNUMBER(Risk_Rank_Keys!$C$2:$C$800),--(Risk_Rank_Keys!$C$2:$C$800&lt;Risk_Rank_Keys!C33))+(SUMPRODUCT(--ISNUMBER(Risk_Rank_Keys!$C$2:$C$800),--(Risk_Rank_Keys!$C$2:$C$800=Risk_Rank_Keys!C33))+1)/2)/COUNT(Risk_Rank_Keys!$C$2:$C$800))</f>
        <v/>
      </c>
      <c r="O33">
        <f>IF(OR(B33="NW",COUNT(Risk_Rank_Keys!D33)=0),0.5,(SUMPRODUCT(--ISNUMBER(Risk_Rank_Keys!$D$2:$D$800),--(Risk_Rank_Keys!$D$2:$D$800&lt;Risk_Rank_Keys!D33))+(SUMPRODUCT(--ISNUMBER(Risk_Rank_Keys!$D$2:$D$800),--(Risk_Rank_Keys!$D$2:$D$800=Risk_Rank_Keys!D33))+1)/2)/COUNT(Risk_Rank_Keys!$D$2:$D$800))</f>
        <v/>
      </c>
      <c r="P33">
        <f>AVERAGE(M33:O33)</f>
        <v/>
      </c>
      <c r="Q33">
        <f>0.4*H33+0.4*I33+0.2*P33</f>
        <v/>
      </c>
      <c r="R33">
        <f>PERCENTILE($Q$2:$Q$800,0.75)</f>
        <v/>
      </c>
      <c r="S33">
        <f>OR(Q33&gt;=R33,AND(B33="CW",COUNT(J33:L33)&lt;3))</f>
        <v/>
      </c>
      <c r="T33" t="n">
        <v>0.1912028273687675</v>
      </c>
      <c r="U33" t="n">
        <v>4.583310064443355</v>
      </c>
      <c r="V33" t="n">
        <v>0.2352127746852324</v>
      </c>
      <c r="W33">
        <f>Q33-V33</f>
        <v/>
      </c>
    </row>
    <row r="34">
      <c r="A34" t="inlineStr">
        <is>
          <t>2021-02-22</t>
        </is>
      </c>
      <c r="B34" t="inlineStr">
        <is>
          <t>CW</t>
        </is>
      </c>
      <c r="C34" t="n">
        <v>-26.68587289687141</v>
      </c>
      <c r="D34">
        <f>SUMPRODUCT(Risk_Inputs!B34:AJ34,Risk_Coefs!$B$2:$AJ$2)</f>
        <v/>
      </c>
      <c r="E34">
        <f>1/(1+EXP(-MAX(-25,MIN(25,D34))))</f>
        <v/>
      </c>
      <c r="F34">
        <f>SUMPRODUCT(Risk_Inputs!B34:AJ34,Risk_Coefs!$B$3:$AJ$3)</f>
        <v/>
      </c>
      <c r="G34">
        <f>MAX(0,F34)</f>
        <v/>
      </c>
      <c r="H34">
        <f>(SUMPRODUCT(--ISNUMBER($E$2:$E$800),--($E$2:$E$800&lt;E34))+(SUMPRODUCT(--ISNUMBER($E$2:$E$800),--($E$2:$E$800=E34))+1)/2)/COUNT($E$2:$E$800)</f>
        <v/>
      </c>
      <c r="I34">
        <f>(SUMPRODUCT(--ISNUMBER($G$2:$G$800),--($G$2:$G$800&lt;G34))+(SUMPRODUCT(--ISNUMBER($G$2:$G$800),--($G$2:$G$800=G34))+1)/2)/COUNT($G$2:$G$800)</f>
        <v/>
      </c>
      <c r="J34" t="n">
        <v>23.92800211208137</v>
      </c>
      <c r="K34" t="n">
        <v>4.452901998097046</v>
      </c>
      <c r="L34" t="n">
        <v>0.6089438629876341</v>
      </c>
      <c r="M34">
        <f>IF(OR(B34="NW",COUNT(Risk_Rank_Keys!B34)=0),0.5,(SUMPRODUCT(--ISNUMBER(Risk_Rank_Keys!$B$2:$B$800),--(Risk_Rank_Keys!$B$2:$B$800&lt;Risk_Rank_Keys!B34))+(SUMPRODUCT(--ISNUMBER(Risk_Rank_Keys!$B$2:$B$800),--(Risk_Rank_Keys!$B$2:$B$800=Risk_Rank_Keys!B34))+1)/2)/COUNT(Risk_Rank_Keys!$B$2:$B$800))</f>
        <v/>
      </c>
      <c r="N34">
        <f>IF(OR(B34="NW",COUNT(Risk_Rank_Keys!C34)=0),0.5,(SUMPRODUCT(--ISNUMBER(Risk_Rank_Keys!$C$2:$C$800),--(Risk_Rank_Keys!$C$2:$C$800&lt;Risk_Rank_Keys!C34))+(SUMPRODUCT(--ISNUMBER(Risk_Rank_Keys!$C$2:$C$800),--(Risk_Rank_Keys!$C$2:$C$800=Risk_Rank_Keys!C34))+1)/2)/COUNT(Risk_Rank_Keys!$C$2:$C$800))</f>
        <v/>
      </c>
      <c r="O34">
        <f>IF(OR(B34="NW",COUNT(Risk_Rank_Keys!D34)=0),0.5,(SUMPRODUCT(--ISNUMBER(Risk_Rank_Keys!$D$2:$D$800),--(Risk_Rank_Keys!$D$2:$D$800&lt;Risk_Rank_Keys!D34))+(SUMPRODUCT(--ISNUMBER(Risk_Rank_Keys!$D$2:$D$800),--(Risk_Rank_Keys!$D$2:$D$800=Risk_Rank_Keys!D34))+1)/2)/COUNT(Risk_Rank_Keys!$D$2:$D$800))</f>
        <v/>
      </c>
      <c r="P34">
        <f>AVERAGE(M34:O34)</f>
        <v/>
      </c>
      <c r="Q34">
        <f>0.4*H34+0.4*I34+0.2*P34</f>
        <v/>
      </c>
      <c r="R34">
        <f>PERCENTILE($Q$2:$Q$800,0.75)</f>
        <v/>
      </c>
      <c r="S34">
        <f>OR(Q34&gt;=R34,AND(B34="CW",COUNT(J34:L34)&lt;3))</f>
        <v/>
      </c>
      <c r="T34" t="n">
        <v>0.2293021529762277</v>
      </c>
      <c r="U34" t="n">
        <v>5.147726693267078</v>
      </c>
      <c r="V34" t="n">
        <v>0.2934571282443361</v>
      </c>
      <c r="W34">
        <f>Q34-V34</f>
        <v/>
      </c>
    </row>
    <row r="35">
      <c r="A35" t="inlineStr">
        <is>
          <t>2021-02-23</t>
        </is>
      </c>
      <c r="B35" t="inlineStr">
        <is>
          <t>CW</t>
        </is>
      </c>
      <c r="C35" t="n">
        <v>32.42168838689592</v>
      </c>
      <c r="D35">
        <f>SUMPRODUCT(Risk_Inputs!B35:AJ35,Risk_Coefs!$B$2:$AJ$2)</f>
        <v/>
      </c>
      <c r="E35">
        <f>1/(1+EXP(-MAX(-25,MIN(25,D35))))</f>
        <v/>
      </c>
      <c r="F35">
        <f>SUMPRODUCT(Risk_Inputs!B35:AJ35,Risk_Coefs!$B$3:$AJ$3)</f>
        <v/>
      </c>
      <c r="G35">
        <f>MAX(0,F35)</f>
        <v/>
      </c>
      <c r="H35">
        <f>(SUMPRODUCT(--ISNUMBER($E$2:$E$800),--($E$2:$E$800&lt;E35))+(SUMPRODUCT(--ISNUMBER($E$2:$E$800),--($E$2:$E$800=E35))+1)/2)/COUNT($E$2:$E$800)</f>
        <v/>
      </c>
      <c r="I35">
        <f>(SUMPRODUCT(--ISNUMBER($G$2:$G$800),--($G$2:$G$800&lt;G35))+(SUMPRODUCT(--ISNUMBER($G$2:$G$800),--($G$2:$G$800=G35))+1)/2)/COUNT($G$2:$G$800)</f>
        <v/>
      </c>
      <c r="J35" t="n">
        <v>9.407946988263433</v>
      </c>
      <c r="K35" t="n">
        <v>1.684565171615077</v>
      </c>
      <c r="L35" t="n">
        <v>0.4211412929037693</v>
      </c>
      <c r="M35">
        <f>IF(OR(B35="NW",COUNT(Risk_Rank_Keys!B35)=0),0.5,(SUMPRODUCT(--ISNUMBER(Risk_Rank_Keys!$B$2:$B$800),--(Risk_Rank_Keys!$B$2:$B$800&lt;Risk_Rank_Keys!B35))+(SUMPRODUCT(--ISNUMBER(Risk_Rank_Keys!$B$2:$B$800),--(Risk_Rank_Keys!$B$2:$B$800=Risk_Rank_Keys!B35))+1)/2)/COUNT(Risk_Rank_Keys!$B$2:$B$800))</f>
        <v/>
      </c>
      <c r="N35">
        <f>IF(OR(B35="NW",COUNT(Risk_Rank_Keys!C35)=0),0.5,(SUMPRODUCT(--ISNUMBER(Risk_Rank_Keys!$C$2:$C$800),--(Risk_Rank_Keys!$C$2:$C$800&lt;Risk_Rank_Keys!C35))+(SUMPRODUCT(--ISNUMBER(Risk_Rank_Keys!$C$2:$C$800),--(Risk_Rank_Keys!$C$2:$C$800=Risk_Rank_Keys!C35))+1)/2)/COUNT(Risk_Rank_Keys!$C$2:$C$800))</f>
        <v/>
      </c>
      <c r="O35">
        <f>IF(OR(B35="NW",COUNT(Risk_Rank_Keys!D35)=0),0.5,(SUMPRODUCT(--ISNUMBER(Risk_Rank_Keys!$D$2:$D$800),--(Risk_Rank_Keys!$D$2:$D$800&lt;Risk_Rank_Keys!D35))+(SUMPRODUCT(--ISNUMBER(Risk_Rank_Keys!$D$2:$D$800),--(Risk_Rank_Keys!$D$2:$D$800=Risk_Rank_Keys!D35))+1)/2)/COUNT(Risk_Rank_Keys!$D$2:$D$800))</f>
        <v/>
      </c>
      <c r="P35">
        <f>AVERAGE(M35:O35)</f>
        <v/>
      </c>
      <c r="Q35">
        <f>0.4*H35+0.4*I35+0.2*P35</f>
        <v/>
      </c>
      <c r="R35">
        <f>PERCENTILE($Q$2:$Q$800,0.75)</f>
        <v/>
      </c>
      <c r="S35">
        <f>OR(Q35&gt;=R35,AND(B35="CW",COUNT(J35:L35)&lt;3))</f>
        <v/>
      </c>
      <c r="T35" t="n">
        <v>0.3055962040534432</v>
      </c>
      <c r="U35" t="n">
        <v>9.071452474446914</v>
      </c>
      <c r="V35" t="n">
        <v>0.6167211571414525</v>
      </c>
      <c r="W35">
        <f>Q35-V35</f>
        <v/>
      </c>
    </row>
    <row r="36">
      <c r="A36" t="inlineStr">
        <is>
          <t>2021-02-24</t>
        </is>
      </c>
      <c r="B36" t="inlineStr">
        <is>
          <t>CW</t>
        </is>
      </c>
      <c r="C36" t="n">
        <v>279.4368369705755</v>
      </c>
      <c r="D36">
        <f>SUMPRODUCT(Risk_Inputs!B36:AJ36,Risk_Coefs!$B$2:$AJ$2)</f>
        <v/>
      </c>
      <c r="E36">
        <f>1/(1+EXP(-MAX(-25,MIN(25,D36))))</f>
        <v/>
      </c>
      <c r="F36">
        <f>SUMPRODUCT(Risk_Inputs!B36:AJ36,Risk_Coefs!$B$3:$AJ$3)</f>
        <v/>
      </c>
      <c r="G36">
        <f>MAX(0,F36)</f>
        <v/>
      </c>
      <c r="H36">
        <f>(SUMPRODUCT(--ISNUMBER($E$2:$E$800),--($E$2:$E$800&lt;E36))+(SUMPRODUCT(--ISNUMBER($E$2:$E$800),--($E$2:$E$800=E36))+1)/2)/COUNT($E$2:$E$800)</f>
        <v/>
      </c>
      <c r="I36">
        <f>(SUMPRODUCT(--ISNUMBER($G$2:$G$800),--($G$2:$G$800&lt;G36))+(SUMPRODUCT(--ISNUMBER($G$2:$G$800),--($G$2:$G$800=G36))+1)/2)/COUNT($G$2:$G$800)</f>
        <v/>
      </c>
      <c r="J36" t="n">
        <v>18.36375856240018</v>
      </c>
      <c r="K36" t="n">
        <v>10.0777345918934</v>
      </c>
      <c r="L36" t="n">
        <v>0.4441976679622494</v>
      </c>
      <c r="M36">
        <f>IF(OR(B36="NW",COUNT(Risk_Rank_Keys!B36)=0),0.5,(SUMPRODUCT(--ISNUMBER(Risk_Rank_Keys!$B$2:$B$800),--(Risk_Rank_Keys!$B$2:$B$800&lt;Risk_Rank_Keys!B36))+(SUMPRODUCT(--ISNUMBER(Risk_Rank_Keys!$B$2:$B$800),--(Risk_Rank_Keys!$B$2:$B$800=Risk_Rank_Keys!B36))+1)/2)/COUNT(Risk_Rank_Keys!$B$2:$B$800))</f>
        <v/>
      </c>
      <c r="N36">
        <f>IF(OR(B36="NW",COUNT(Risk_Rank_Keys!C36)=0),0.5,(SUMPRODUCT(--ISNUMBER(Risk_Rank_Keys!$C$2:$C$800),--(Risk_Rank_Keys!$C$2:$C$800&lt;Risk_Rank_Keys!C36))+(SUMPRODUCT(--ISNUMBER(Risk_Rank_Keys!$C$2:$C$800),--(Risk_Rank_Keys!$C$2:$C$800=Risk_Rank_Keys!C36))+1)/2)/COUNT(Risk_Rank_Keys!$C$2:$C$800))</f>
        <v/>
      </c>
      <c r="O36">
        <f>IF(OR(B36="NW",COUNT(Risk_Rank_Keys!D36)=0),0.5,(SUMPRODUCT(--ISNUMBER(Risk_Rank_Keys!$D$2:$D$800),--(Risk_Rank_Keys!$D$2:$D$800&lt;Risk_Rank_Keys!D36))+(SUMPRODUCT(--ISNUMBER(Risk_Rank_Keys!$D$2:$D$800),--(Risk_Rank_Keys!$D$2:$D$800=Risk_Rank_Keys!D36))+1)/2)/COUNT(Risk_Rank_Keys!$D$2:$D$800))</f>
        <v/>
      </c>
      <c r="P36">
        <f>AVERAGE(M36:O36)</f>
        <v/>
      </c>
      <c r="Q36">
        <f>0.4*H36+0.4*I36+0.2*P36</f>
        <v/>
      </c>
      <c r="R36">
        <f>PERCENTILE($Q$2:$Q$800,0.75)</f>
        <v/>
      </c>
      <c r="S36">
        <f>OR(Q36&gt;=R36,AND(B36="CW",COUNT(J36:L36)&lt;3))</f>
        <v/>
      </c>
      <c r="T36" t="n">
        <v>0.2029571143201022</v>
      </c>
      <c r="U36" t="n">
        <v>4.112101199851345</v>
      </c>
      <c r="V36" t="n">
        <v>0.2381313461911071</v>
      </c>
      <c r="W36">
        <f>Q36-V36</f>
        <v/>
      </c>
    </row>
    <row r="37">
      <c r="A37" t="inlineStr">
        <is>
          <t>2021-02-25</t>
        </is>
      </c>
      <c r="B37" t="inlineStr">
        <is>
          <t>CW</t>
        </is>
      </c>
      <c r="C37" t="n">
        <v>64.43832044303893</v>
      </c>
      <c r="D37">
        <f>SUMPRODUCT(Risk_Inputs!B37:AJ37,Risk_Coefs!$B$2:$AJ$2)</f>
        <v/>
      </c>
      <c r="E37">
        <f>1/(1+EXP(-MAX(-25,MIN(25,D37))))</f>
        <v/>
      </c>
      <c r="F37">
        <f>SUMPRODUCT(Risk_Inputs!B37:AJ37,Risk_Coefs!$B$3:$AJ$3)</f>
        <v/>
      </c>
      <c r="G37">
        <f>MAX(0,F37)</f>
        <v/>
      </c>
      <c r="H37">
        <f>(SUMPRODUCT(--ISNUMBER($E$2:$E$800),--($E$2:$E$800&lt;E37))+(SUMPRODUCT(--ISNUMBER($E$2:$E$800),--($E$2:$E$800=E37))+1)/2)/COUNT($E$2:$E$800)</f>
        <v/>
      </c>
      <c r="I37">
        <f>(SUMPRODUCT(--ISNUMBER($G$2:$G$800),--($G$2:$G$800&lt;G37))+(SUMPRODUCT(--ISNUMBER($G$2:$G$800),--($G$2:$G$800=G37))+1)/2)/COUNT($G$2:$G$800)</f>
        <v/>
      </c>
      <c r="J37" t="n">
        <v>30.73736591692688</v>
      </c>
      <c r="K37" t="n">
        <v>23.69158878504674</v>
      </c>
      <c r="L37" t="n">
        <v>0.4672897196261616</v>
      </c>
      <c r="M37">
        <f>IF(OR(B37="NW",COUNT(Risk_Rank_Keys!B37)=0),0.5,(SUMPRODUCT(--ISNUMBER(Risk_Rank_Keys!$B$2:$B$800),--(Risk_Rank_Keys!$B$2:$B$800&lt;Risk_Rank_Keys!B37))+(SUMPRODUCT(--ISNUMBER(Risk_Rank_Keys!$B$2:$B$800),--(Risk_Rank_Keys!$B$2:$B$800=Risk_Rank_Keys!B37))+1)/2)/COUNT(Risk_Rank_Keys!$B$2:$B$800))</f>
        <v/>
      </c>
      <c r="N37">
        <f>IF(OR(B37="NW",COUNT(Risk_Rank_Keys!C37)=0),0.5,(SUMPRODUCT(--ISNUMBER(Risk_Rank_Keys!$C$2:$C$800),--(Risk_Rank_Keys!$C$2:$C$800&lt;Risk_Rank_Keys!C37))+(SUMPRODUCT(--ISNUMBER(Risk_Rank_Keys!$C$2:$C$800),--(Risk_Rank_Keys!$C$2:$C$800=Risk_Rank_Keys!C37))+1)/2)/COUNT(Risk_Rank_Keys!$C$2:$C$800))</f>
        <v/>
      </c>
      <c r="O37">
        <f>IF(OR(B37="NW",COUNT(Risk_Rank_Keys!D37)=0),0.5,(SUMPRODUCT(--ISNUMBER(Risk_Rank_Keys!$D$2:$D$800),--(Risk_Rank_Keys!$D$2:$D$800&lt;Risk_Rank_Keys!D37))+(SUMPRODUCT(--ISNUMBER(Risk_Rank_Keys!$D$2:$D$800),--(Risk_Rank_Keys!$D$2:$D$800=Risk_Rank_Keys!D37))+1)/2)/COUNT(Risk_Rank_Keys!$D$2:$D$800))</f>
        <v/>
      </c>
      <c r="P37">
        <f>AVERAGE(M37:O37)</f>
        <v/>
      </c>
      <c r="Q37">
        <f>0.4*H37+0.4*I37+0.2*P37</f>
        <v/>
      </c>
      <c r="R37">
        <f>PERCENTILE($Q$2:$Q$800,0.75)</f>
        <v/>
      </c>
      <c r="S37">
        <f>OR(Q37&gt;=R37,AND(B37="CW",COUNT(J37:L37)&lt;3))</f>
        <v/>
      </c>
      <c r="T37" t="n">
        <v>0.196029942475563</v>
      </c>
      <c r="U37" t="n">
        <v>7.205145867509856</v>
      </c>
      <c r="V37" t="n">
        <v>0.4045905824865926</v>
      </c>
      <c r="W37">
        <f>Q37-V37</f>
        <v/>
      </c>
    </row>
    <row r="38">
      <c r="A38" t="inlineStr">
        <is>
          <t>2021-02-26</t>
        </is>
      </c>
      <c r="B38" t="inlineStr">
        <is>
          <t>CW</t>
        </is>
      </c>
      <c r="C38" t="n">
        <v>-37.30089613971111</v>
      </c>
      <c r="D38">
        <f>SUMPRODUCT(Risk_Inputs!B38:AJ38,Risk_Coefs!$B$2:$AJ$2)</f>
        <v/>
      </c>
      <c r="E38">
        <f>1/(1+EXP(-MAX(-25,MIN(25,D38))))</f>
        <v/>
      </c>
      <c r="F38">
        <f>SUMPRODUCT(Risk_Inputs!B38:AJ38,Risk_Coefs!$B$3:$AJ$3)</f>
        <v/>
      </c>
      <c r="G38">
        <f>MAX(0,F38)</f>
        <v/>
      </c>
      <c r="H38">
        <f>(SUMPRODUCT(--ISNUMBER($E$2:$E$800),--($E$2:$E$800&lt;E38))+(SUMPRODUCT(--ISNUMBER($E$2:$E$800),--($E$2:$E$800=E38))+1)/2)/COUNT($E$2:$E$800)</f>
        <v/>
      </c>
      <c r="I38">
        <f>(SUMPRODUCT(--ISNUMBER($G$2:$G$800),--($G$2:$G$800&lt;G38))+(SUMPRODUCT(--ISNUMBER($G$2:$G$800),--($G$2:$G$800=G38))+1)/2)/COUNT($G$2:$G$800)</f>
        <v/>
      </c>
      <c r="J38" t="n">
        <v>19.73824056360268</v>
      </c>
      <c r="K38" t="n">
        <v>3.490449361000424</v>
      </c>
      <c r="L38" t="n">
        <v>0.3985158719252485</v>
      </c>
      <c r="M38">
        <f>IF(OR(B38="NW",COUNT(Risk_Rank_Keys!B38)=0),0.5,(SUMPRODUCT(--ISNUMBER(Risk_Rank_Keys!$B$2:$B$800),--(Risk_Rank_Keys!$B$2:$B$800&lt;Risk_Rank_Keys!B38))+(SUMPRODUCT(--ISNUMBER(Risk_Rank_Keys!$B$2:$B$800),--(Risk_Rank_Keys!$B$2:$B$800=Risk_Rank_Keys!B38))+1)/2)/COUNT(Risk_Rank_Keys!$B$2:$B$800))</f>
        <v/>
      </c>
      <c r="N38">
        <f>IF(OR(B38="NW",COUNT(Risk_Rank_Keys!C38)=0),0.5,(SUMPRODUCT(--ISNUMBER(Risk_Rank_Keys!$C$2:$C$800),--(Risk_Rank_Keys!$C$2:$C$800&lt;Risk_Rank_Keys!C38))+(SUMPRODUCT(--ISNUMBER(Risk_Rank_Keys!$C$2:$C$800),--(Risk_Rank_Keys!$C$2:$C$800=Risk_Rank_Keys!C38))+1)/2)/COUNT(Risk_Rank_Keys!$C$2:$C$800))</f>
        <v/>
      </c>
      <c r="O38">
        <f>IF(OR(B38="NW",COUNT(Risk_Rank_Keys!D38)=0),0.5,(SUMPRODUCT(--ISNUMBER(Risk_Rank_Keys!$D$2:$D$800),--(Risk_Rank_Keys!$D$2:$D$800&lt;Risk_Rank_Keys!D38))+(SUMPRODUCT(--ISNUMBER(Risk_Rank_Keys!$D$2:$D$800),--(Risk_Rank_Keys!$D$2:$D$800=Risk_Rank_Keys!D38))+1)/2)/COUNT(Risk_Rank_Keys!$D$2:$D$800))</f>
        <v/>
      </c>
      <c r="P38">
        <f>AVERAGE(M38:O38)</f>
        <v/>
      </c>
      <c r="Q38">
        <f>0.4*H38+0.4*I38+0.2*P38</f>
        <v/>
      </c>
      <c r="R38">
        <f>PERCENTILE($Q$2:$Q$800,0.75)</f>
        <v/>
      </c>
      <c r="S38">
        <f>OR(Q38&gt;=R38,AND(B38="CW",COUNT(J38:L38)&lt;3))</f>
        <v/>
      </c>
      <c r="T38" t="n">
        <v>0.2321692487142288</v>
      </c>
      <c r="U38" t="n">
        <v>4.759022922284074</v>
      </c>
      <c r="V38" t="n">
        <v>0.2623097560933035</v>
      </c>
      <c r="W38">
        <f>Q38-V38</f>
        <v/>
      </c>
    </row>
    <row r="39">
      <c r="A39" t="inlineStr">
        <is>
          <t>2021-03-02</t>
        </is>
      </c>
      <c r="B39" t="inlineStr">
        <is>
          <t>CW</t>
        </is>
      </c>
      <c r="C39" t="n">
        <v>78.62410432826691</v>
      </c>
      <c r="D39">
        <f>SUMPRODUCT(Risk_Inputs!B39:AJ39,Risk_Coefs!$B$2:$AJ$2)</f>
        <v/>
      </c>
      <c r="E39">
        <f>1/(1+EXP(-MAX(-25,MIN(25,D39))))</f>
        <v/>
      </c>
      <c r="F39">
        <f>SUMPRODUCT(Risk_Inputs!B39:AJ39,Risk_Coefs!$B$3:$AJ$3)</f>
        <v/>
      </c>
      <c r="G39">
        <f>MAX(0,F39)</f>
        <v/>
      </c>
      <c r="H39">
        <f>(SUMPRODUCT(--ISNUMBER($E$2:$E$800),--($E$2:$E$800&lt;E39))+(SUMPRODUCT(--ISNUMBER($E$2:$E$800),--($E$2:$E$800=E39))+1)/2)/COUNT($E$2:$E$800)</f>
        <v/>
      </c>
      <c r="I39">
        <f>(SUMPRODUCT(--ISNUMBER($G$2:$G$800),--($G$2:$G$800&lt;G39))+(SUMPRODUCT(--ISNUMBER($G$2:$G$800),--($G$2:$G$800=G39))+1)/2)/COUNT($G$2:$G$800)</f>
        <v/>
      </c>
      <c r="J39" t="n">
        <v>20.56369511705148</v>
      </c>
      <c r="K39" t="n">
        <v>6.883468834688351</v>
      </c>
      <c r="L39" t="n">
        <v>0.4155374887082224</v>
      </c>
      <c r="M39">
        <f>IF(OR(B39="NW",COUNT(Risk_Rank_Keys!B39)=0),0.5,(SUMPRODUCT(--ISNUMBER(Risk_Rank_Keys!$B$2:$B$800),--(Risk_Rank_Keys!$B$2:$B$800&lt;Risk_Rank_Keys!B39))+(SUMPRODUCT(--ISNUMBER(Risk_Rank_Keys!$B$2:$B$800),--(Risk_Rank_Keys!$B$2:$B$800=Risk_Rank_Keys!B39))+1)/2)/COUNT(Risk_Rank_Keys!$B$2:$B$800))</f>
        <v/>
      </c>
      <c r="N39">
        <f>IF(OR(B39="NW",COUNT(Risk_Rank_Keys!C39)=0),0.5,(SUMPRODUCT(--ISNUMBER(Risk_Rank_Keys!$C$2:$C$800),--(Risk_Rank_Keys!$C$2:$C$800&lt;Risk_Rank_Keys!C39))+(SUMPRODUCT(--ISNUMBER(Risk_Rank_Keys!$C$2:$C$800),--(Risk_Rank_Keys!$C$2:$C$800=Risk_Rank_Keys!C39))+1)/2)/COUNT(Risk_Rank_Keys!$C$2:$C$800))</f>
        <v/>
      </c>
      <c r="O39">
        <f>IF(OR(B39="NW",COUNT(Risk_Rank_Keys!D39)=0),0.5,(SUMPRODUCT(--ISNUMBER(Risk_Rank_Keys!$D$2:$D$800),--(Risk_Rank_Keys!$D$2:$D$800&lt;Risk_Rank_Keys!D39))+(SUMPRODUCT(--ISNUMBER(Risk_Rank_Keys!$D$2:$D$800),--(Risk_Rank_Keys!$D$2:$D$800=Risk_Rank_Keys!D39))+1)/2)/COUNT(Risk_Rank_Keys!$D$2:$D$800))</f>
        <v/>
      </c>
      <c r="P39">
        <f>AVERAGE(M39:O39)</f>
        <v/>
      </c>
      <c r="Q39">
        <f>0.4*H39+0.4*I39+0.2*P39</f>
        <v/>
      </c>
      <c r="R39">
        <f>PERCENTILE($Q$2:$Q$800,0.75)</f>
        <v/>
      </c>
      <c r="S39">
        <f>OR(Q39&gt;=R39,AND(B39="CW",COUNT(J39:L39)&lt;3))</f>
        <v/>
      </c>
      <c r="T39" t="n">
        <v>0.237040728426975</v>
      </c>
      <c r="U39" t="n">
        <v>5.951100471234356</v>
      </c>
      <c r="V39" t="n">
        <v>0.352402264802179</v>
      </c>
      <c r="W39">
        <f>Q39-V39</f>
        <v/>
      </c>
    </row>
    <row r="40">
      <c r="A40" t="inlineStr">
        <is>
          <t>2021-03-03</t>
        </is>
      </c>
      <c r="B40" t="inlineStr">
        <is>
          <t>NW</t>
        </is>
      </c>
      <c r="C40" t="n">
        <v>-40.56616246258991</v>
      </c>
      <c r="D40">
        <f>SUMPRODUCT(Risk_Inputs!B40:AJ40,Risk_Coefs!$B$2:$AJ$2)</f>
        <v/>
      </c>
      <c r="E40">
        <f>1/(1+EXP(-MAX(-25,MIN(25,D40))))</f>
        <v/>
      </c>
      <c r="F40">
        <f>SUMPRODUCT(Risk_Inputs!B40:AJ40,Risk_Coefs!$B$3:$AJ$3)</f>
        <v/>
      </c>
      <c r="G40">
        <f>MAX(0,F40)</f>
        <v/>
      </c>
      <c r="H40">
        <f>(SUMPRODUCT(--ISNUMBER($E$2:$E$800),--($E$2:$E$800&lt;E40))+(SUMPRODUCT(--ISNUMBER($E$2:$E$800),--($E$2:$E$800=E40))+1)/2)/COUNT($E$2:$E$800)</f>
        <v/>
      </c>
      <c r="I40">
        <f>(SUMPRODUCT(--ISNUMBER($G$2:$G$800),--($G$2:$G$800&lt;G40))+(SUMPRODUCT(--ISNUMBER($G$2:$G$800),--($G$2:$G$800=G40))+1)/2)/COUNT($G$2:$G$800)</f>
        <v/>
      </c>
      <c r="M40">
        <f>IF(OR(B40="NW",COUNT(Risk_Rank_Keys!B40)=0),0.5,(SUMPRODUCT(--ISNUMBER(Risk_Rank_Keys!$B$2:$B$800),--(Risk_Rank_Keys!$B$2:$B$800&lt;Risk_Rank_Keys!B40))+(SUMPRODUCT(--ISNUMBER(Risk_Rank_Keys!$B$2:$B$800),--(Risk_Rank_Keys!$B$2:$B$800=Risk_Rank_Keys!B40))+1)/2)/COUNT(Risk_Rank_Keys!$B$2:$B$800))</f>
        <v/>
      </c>
      <c r="N40">
        <f>IF(OR(B40="NW",COUNT(Risk_Rank_Keys!C40)=0),0.5,(SUMPRODUCT(--ISNUMBER(Risk_Rank_Keys!$C$2:$C$800),--(Risk_Rank_Keys!$C$2:$C$800&lt;Risk_Rank_Keys!C40))+(SUMPRODUCT(--ISNUMBER(Risk_Rank_Keys!$C$2:$C$800),--(Risk_Rank_Keys!$C$2:$C$800=Risk_Rank_Keys!C40))+1)/2)/COUNT(Risk_Rank_Keys!$C$2:$C$800))</f>
        <v/>
      </c>
      <c r="O40">
        <f>IF(OR(B40="NW",COUNT(Risk_Rank_Keys!D40)=0),0.5,(SUMPRODUCT(--ISNUMBER(Risk_Rank_Keys!$D$2:$D$800),--(Risk_Rank_Keys!$D$2:$D$800&lt;Risk_Rank_Keys!D40))+(SUMPRODUCT(--ISNUMBER(Risk_Rank_Keys!$D$2:$D$800),--(Risk_Rank_Keys!$D$2:$D$800=Risk_Rank_Keys!D40))+1)/2)/COUNT(Risk_Rank_Keys!$D$2:$D$800))</f>
        <v/>
      </c>
      <c r="P40">
        <f>AVERAGE(M40:O40)</f>
        <v/>
      </c>
      <c r="Q40">
        <f>0.4*H40+0.4*I40+0.2*P40</f>
        <v/>
      </c>
      <c r="R40">
        <f>PERCENTILE($Q$2:$Q$800,0.75)</f>
        <v/>
      </c>
      <c r="S40">
        <f>OR(Q40&gt;=R40,AND(B40="CW",COUNT(J40:L40)&lt;3))</f>
        <v/>
      </c>
      <c r="T40" t="n">
        <v>0.4472763778987304</v>
      </c>
      <c r="U40" t="n">
        <v>14.94991931470549</v>
      </c>
      <c r="V40" t="n">
        <v>0.8854818523153943</v>
      </c>
      <c r="W40">
        <f>Q40-V40</f>
        <v/>
      </c>
    </row>
    <row r="41">
      <c r="A41" t="inlineStr">
        <is>
          <t>2021-03-04</t>
        </is>
      </c>
      <c r="B41" t="inlineStr">
        <is>
          <t>CW</t>
        </is>
      </c>
      <c r="C41" t="n">
        <v>44.09841637667048</v>
      </c>
      <c r="D41">
        <f>SUMPRODUCT(Risk_Inputs!B41:AJ41,Risk_Coefs!$B$2:$AJ$2)</f>
        <v/>
      </c>
      <c r="E41">
        <f>1/(1+EXP(-MAX(-25,MIN(25,D41))))</f>
        <v/>
      </c>
      <c r="F41">
        <f>SUMPRODUCT(Risk_Inputs!B41:AJ41,Risk_Coefs!$B$3:$AJ$3)</f>
        <v/>
      </c>
      <c r="G41">
        <f>MAX(0,F41)</f>
        <v/>
      </c>
      <c r="H41">
        <f>(SUMPRODUCT(--ISNUMBER($E$2:$E$800),--($E$2:$E$800&lt;E41))+(SUMPRODUCT(--ISNUMBER($E$2:$E$800),--($E$2:$E$800=E41))+1)/2)/COUNT($E$2:$E$800)</f>
        <v/>
      </c>
      <c r="I41">
        <f>(SUMPRODUCT(--ISNUMBER($G$2:$G$800),--($G$2:$G$800&lt;G41))+(SUMPRODUCT(--ISNUMBER($G$2:$G$800),--($G$2:$G$800=G41))+1)/2)/COUNT($G$2:$G$800)</f>
        <v/>
      </c>
      <c r="J41" t="n">
        <v>14.2490359480916</v>
      </c>
      <c r="K41" t="n">
        <v>5.544314042897607</v>
      </c>
      <c r="L41" t="n">
        <v>0.4856333468231496</v>
      </c>
      <c r="M41">
        <f>IF(OR(B41="NW",COUNT(Risk_Rank_Keys!B41)=0),0.5,(SUMPRODUCT(--ISNUMBER(Risk_Rank_Keys!$B$2:$B$800),--(Risk_Rank_Keys!$B$2:$B$800&lt;Risk_Rank_Keys!B41))+(SUMPRODUCT(--ISNUMBER(Risk_Rank_Keys!$B$2:$B$800),--(Risk_Rank_Keys!$B$2:$B$800=Risk_Rank_Keys!B41))+1)/2)/COUNT(Risk_Rank_Keys!$B$2:$B$800))</f>
        <v/>
      </c>
      <c r="N41">
        <f>IF(OR(B41="NW",COUNT(Risk_Rank_Keys!C41)=0),0.5,(SUMPRODUCT(--ISNUMBER(Risk_Rank_Keys!$C$2:$C$800),--(Risk_Rank_Keys!$C$2:$C$800&lt;Risk_Rank_Keys!C41))+(SUMPRODUCT(--ISNUMBER(Risk_Rank_Keys!$C$2:$C$800),--(Risk_Rank_Keys!$C$2:$C$800=Risk_Rank_Keys!C41))+1)/2)/COUNT(Risk_Rank_Keys!$C$2:$C$800))</f>
        <v/>
      </c>
      <c r="O41">
        <f>IF(OR(B41="NW",COUNT(Risk_Rank_Keys!D41)=0),0.5,(SUMPRODUCT(--ISNUMBER(Risk_Rank_Keys!$D$2:$D$800),--(Risk_Rank_Keys!$D$2:$D$800&lt;Risk_Rank_Keys!D41))+(SUMPRODUCT(--ISNUMBER(Risk_Rank_Keys!$D$2:$D$800),--(Risk_Rank_Keys!$D$2:$D$800=Risk_Rank_Keys!D41))+1)/2)/COUNT(Risk_Rank_Keys!$D$2:$D$800))</f>
        <v/>
      </c>
      <c r="P41">
        <f>AVERAGE(M41:O41)</f>
        <v/>
      </c>
      <c r="Q41">
        <f>0.4*H41+0.4*I41+0.2*P41</f>
        <v/>
      </c>
      <c r="R41">
        <f>PERCENTILE($Q$2:$Q$800,0.75)</f>
        <v/>
      </c>
      <c r="S41">
        <f>OR(Q41&gt;=R41,AND(B41="CW",COUNT(J41:L41)&lt;3))</f>
        <v/>
      </c>
      <c r="T41" t="n">
        <v>0.3042927084554218</v>
      </c>
      <c r="U41" t="n">
        <v>7.929359258253406</v>
      </c>
      <c r="V41" t="n">
        <v>0.6027288876320878</v>
      </c>
      <c r="W41">
        <f>Q41-V41</f>
        <v/>
      </c>
    </row>
    <row r="42">
      <c r="A42" t="inlineStr">
        <is>
          <t>2021-03-05</t>
        </is>
      </c>
      <c r="B42" t="inlineStr">
        <is>
          <t>CW</t>
        </is>
      </c>
      <c r="C42" t="n">
        <v>52.4966806645451</v>
      </c>
      <c r="D42">
        <f>SUMPRODUCT(Risk_Inputs!B42:AJ42,Risk_Coefs!$B$2:$AJ$2)</f>
        <v/>
      </c>
      <c r="E42">
        <f>1/(1+EXP(-MAX(-25,MIN(25,D42))))</f>
        <v/>
      </c>
      <c r="F42">
        <f>SUMPRODUCT(Risk_Inputs!B42:AJ42,Risk_Coefs!$B$3:$AJ$3)</f>
        <v/>
      </c>
      <c r="G42">
        <f>MAX(0,F42)</f>
        <v/>
      </c>
      <c r="H42">
        <f>(SUMPRODUCT(--ISNUMBER($E$2:$E$800),--($E$2:$E$800&lt;E42))+(SUMPRODUCT(--ISNUMBER($E$2:$E$800),--($E$2:$E$800=E42))+1)/2)/COUNT($E$2:$E$800)</f>
        <v/>
      </c>
      <c r="I42">
        <f>(SUMPRODUCT(--ISNUMBER($G$2:$G$800),--($G$2:$G$800&lt;G42))+(SUMPRODUCT(--ISNUMBER($G$2:$G$800),--($G$2:$G$800=G42))+1)/2)/COUNT($G$2:$G$800)</f>
        <v/>
      </c>
      <c r="J42" t="n">
        <v>52.15202415462146</v>
      </c>
      <c r="K42" t="n">
        <v>9.974920200638394</v>
      </c>
      <c r="L42" t="n">
        <v>0.7523939808481493</v>
      </c>
      <c r="M42">
        <f>IF(OR(B42="NW",COUNT(Risk_Rank_Keys!B42)=0),0.5,(SUMPRODUCT(--ISNUMBER(Risk_Rank_Keys!$B$2:$B$800),--(Risk_Rank_Keys!$B$2:$B$800&lt;Risk_Rank_Keys!B42))+(SUMPRODUCT(--ISNUMBER(Risk_Rank_Keys!$B$2:$B$800),--(Risk_Rank_Keys!$B$2:$B$800=Risk_Rank_Keys!B42))+1)/2)/COUNT(Risk_Rank_Keys!$B$2:$B$800))</f>
        <v/>
      </c>
      <c r="N42">
        <f>IF(OR(B42="NW",COUNT(Risk_Rank_Keys!C42)=0),0.5,(SUMPRODUCT(--ISNUMBER(Risk_Rank_Keys!$C$2:$C$800),--(Risk_Rank_Keys!$C$2:$C$800&lt;Risk_Rank_Keys!C42))+(SUMPRODUCT(--ISNUMBER(Risk_Rank_Keys!$C$2:$C$800),--(Risk_Rank_Keys!$C$2:$C$800=Risk_Rank_Keys!C42))+1)/2)/COUNT(Risk_Rank_Keys!$C$2:$C$800))</f>
        <v/>
      </c>
      <c r="O42">
        <f>IF(OR(B42="NW",COUNT(Risk_Rank_Keys!D42)=0),0.5,(SUMPRODUCT(--ISNUMBER(Risk_Rank_Keys!$D$2:$D$800),--(Risk_Rank_Keys!$D$2:$D$800&lt;Risk_Rank_Keys!D42))+(SUMPRODUCT(--ISNUMBER(Risk_Rank_Keys!$D$2:$D$800),--(Risk_Rank_Keys!$D$2:$D$800=Risk_Rank_Keys!D42))+1)/2)/COUNT(Risk_Rank_Keys!$D$2:$D$800))</f>
        <v/>
      </c>
      <c r="P42">
        <f>AVERAGE(M42:O42)</f>
        <v/>
      </c>
      <c r="Q42">
        <f>0.4*H42+0.4*I42+0.2*P42</f>
        <v/>
      </c>
      <c r="R42">
        <f>PERCENTILE($Q$2:$Q$800,0.75)</f>
        <v/>
      </c>
      <c r="S42">
        <f>OR(Q42&gt;=R42,AND(B42="CW",COUNT(J42:L42)&lt;3))</f>
        <v/>
      </c>
      <c r="T42" t="n">
        <v>0.1515079252585551</v>
      </c>
      <c r="U42" t="n">
        <v>7.241366122259401</v>
      </c>
      <c r="V42" t="n">
        <v>0.3786010988863927</v>
      </c>
      <c r="W42">
        <f>Q42-V42</f>
        <v/>
      </c>
    </row>
    <row r="43">
      <c r="A43" t="inlineStr">
        <is>
          <t>2021-03-08</t>
        </is>
      </c>
      <c r="B43" t="inlineStr">
        <is>
          <t>CW</t>
        </is>
      </c>
      <c r="C43" t="n">
        <v>49.87771748656094</v>
      </c>
      <c r="D43">
        <f>SUMPRODUCT(Risk_Inputs!B43:AJ43,Risk_Coefs!$B$2:$AJ$2)</f>
        <v/>
      </c>
      <c r="E43">
        <f>1/(1+EXP(-MAX(-25,MIN(25,D43))))</f>
        <v/>
      </c>
      <c r="F43">
        <f>SUMPRODUCT(Risk_Inputs!B43:AJ43,Risk_Coefs!$B$3:$AJ$3)</f>
        <v/>
      </c>
      <c r="G43">
        <f>MAX(0,F43)</f>
        <v/>
      </c>
      <c r="H43">
        <f>(SUMPRODUCT(--ISNUMBER($E$2:$E$800),--($E$2:$E$800&lt;E43))+(SUMPRODUCT(--ISNUMBER($E$2:$E$800),--($E$2:$E$800=E43))+1)/2)/COUNT($E$2:$E$800)</f>
        <v/>
      </c>
      <c r="I43">
        <f>(SUMPRODUCT(--ISNUMBER($G$2:$G$800),--($G$2:$G$800&lt;G43))+(SUMPRODUCT(--ISNUMBER($G$2:$G$800),--($G$2:$G$800=G43))+1)/2)/COUNT($G$2:$G$800)</f>
        <v/>
      </c>
      <c r="J43" t="n">
        <v>34.62557764785788</v>
      </c>
      <c r="K43" t="n">
        <v>3.305785123966963</v>
      </c>
      <c r="L43" t="n">
        <v>0.2601775329048039</v>
      </c>
      <c r="M43">
        <f>IF(OR(B43="NW",COUNT(Risk_Rank_Keys!B43)=0),0.5,(SUMPRODUCT(--ISNUMBER(Risk_Rank_Keys!$B$2:$B$800),--(Risk_Rank_Keys!$B$2:$B$800&lt;Risk_Rank_Keys!B43))+(SUMPRODUCT(--ISNUMBER(Risk_Rank_Keys!$B$2:$B$800),--(Risk_Rank_Keys!$B$2:$B$800=Risk_Rank_Keys!B43))+1)/2)/COUNT(Risk_Rank_Keys!$B$2:$B$800))</f>
        <v/>
      </c>
      <c r="N43">
        <f>IF(OR(B43="NW",COUNT(Risk_Rank_Keys!C43)=0),0.5,(SUMPRODUCT(--ISNUMBER(Risk_Rank_Keys!$C$2:$C$800),--(Risk_Rank_Keys!$C$2:$C$800&lt;Risk_Rank_Keys!C43))+(SUMPRODUCT(--ISNUMBER(Risk_Rank_Keys!$C$2:$C$800),--(Risk_Rank_Keys!$C$2:$C$800=Risk_Rank_Keys!C43))+1)/2)/COUNT(Risk_Rank_Keys!$C$2:$C$800))</f>
        <v/>
      </c>
      <c r="O43">
        <f>IF(OR(B43="NW",COUNT(Risk_Rank_Keys!D43)=0),0.5,(SUMPRODUCT(--ISNUMBER(Risk_Rank_Keys!$D$2:$D$800),--(Risk_Rank_Keys!$D$2:$D$800&lt;Risk_Rank_Keys!D43))+(SUMPRODUCT(--ISNUMBER(Risk_Rank_Keys!$D$2:$D$800),--(Risk_Rank_Keys!$D$2:$D$800=Risk_Rank_Keys!D43))+1)/2)/COUNT(Risk_Rank_Keys!$D$2:$D$800))</f>
        <v/>
      </c>
      <c r="P43">
        <f>AVERAGE(M43:O43)</f>
        <v/>
      </c>
      <c r="Q43">
        <f>0.4*H43+0.4*I43+0.2*P43</f>
        <v/>
      </c>
      <c r="R43">
        <f>PERCENTILE($Q$2:$Q$800,0.75)</f>
        <v/>
      </c>
      <c r="S43">
        <f>OR(Q43&gt;=R43,AND(B43="CW",COUNT(J43:L43)&lt;3))</f>
        <v/>
      </c>
      <c r="T43" t="n">
        <v>0.2846071642866472</v>
      </c>
      <c r="U43" t="n">
        <v>10.57848396151778</v>
      </c>
      <c r="V43" t="n">
        <v>0.6723717291896134</v>
      </c>
      <c r="W43">
        <f>Q43-V43</f>
        <v/>
      </c>
    </row>
    <row r="44">
      <c r="A44" t="inlineStr">
        <is>
          <t>2021-03-09</t>
        </is>
      </c>
      <c r="B44" t="inlineStr">
        <is>
          <t>CW</t>
        </is>
      </c>
      <c r="C44" t="n">
        <v>50.94682034198642</v>
      </c>
      <c r="D44">
        <f>SUMPRODUCT(Risk_Inputs!B44:AJ44,Risk_Coefs!$B$2:$AJ$2)</f>
        <v/>
      </c>
      <c r="E44">
        <f>1/(1+EXP(-MAX(-25,MIN(25,D44))))</f>
        <v/>
      </c>
      <c r="F44">
        <f>SUMPRODUCT(Risk_Inputs!B44:AJ44,Risk_Coefs!$B$3:$AJ$3)</f>
        <v/>
      </c>
      <c r="G44">
        <f>MAX(0,F44)</f>
        <v/>
      </c>
      <c r="H44">
        <f>(SUMPRODUCT(--ISNUMBER($E$2:$E$800),--($E$2:$E$800&lt;E44))+(SUMPRODUCT(--ISNUMBER($E$2:$E$800),--($E$2:$E$800=E44))+1)/2)/COUNT($E$2:$E$800)</f>
        <v/>
      </c>
      <c r="I44">
        <f>(SUMPRODUCT(--ISNUMBER($G$2:$G$800),--($G$2:$G$800&lt;G44))+(SUMPRODUCT(--ISNUMBER($G$2:$G$800),--($G$2:$G$800=G44))+1)/2)/COUNT($G$2:$G$800)</f>
        <v/>
      </c>
      <c r="J44" t="n">
        <v>11.663082698546</v>
      </c>
      <c r="K44" t="n">
        <v>2.758286958625704</v>
      </c>
      <c r="L44" t="n">
        <v>0.2903459956448141</v>
      </c>
      <c r="M44">
        <f>IF(OR(B44="NW",COUNT(Risk_Rank_Keys!B44)=0),0.5,(SUMPRODUCT(--ISNUMBER(Risk_Rank_Keys!$B$2:$B$800),--(Risk_Rank_Keys!$B$2:$B$800&lt;Risk_Rank_Keys!B44))+(SUMPRODUCT(--ISNUMBER(Risk_Rank_Keys!$B$2:$B$800),--(Risk_Rank_Keys!$B$2:$B$800=Risk_Rank_Keys!B44))+1)/2)/COUNT(Risk_Rank_Keys!$B$2:$B$800))</f>
        <v/>
      </c>
      <c r="N44">
        <f>IF(OR(B44="NW",COUNT(Risk_Rank_Keys!C44)=0),0.5,(SUMPRODUCT(--ISNUMBER(Risk_Rank_Keys!$C$2:$C$800),--(Risk_Rank_Keys!$C$2:$C$800&lt;Risk_Rank_Keys!C44))+(SUMPRODUCT(--ISNUMBER(Risk_Rank_Keys!$C$2:$C$800),--(Risk_Rank_Keys!$C$2:$C$800=Risk_Rank_Keys!C44))+1)/2)/COUNT(Risk_Rank_Keys!$C$2:$C$800))</f>
        <v/>
      </c>
      <c r="O44">
        <f>IF(OR(B44="NW",COUNT(Risk_Rank_Keys!D44)=0),0.5,(SUMPRODUCT(--ISNUMBER(Risk_Rank_Keys!$D$2:$D$800),--(Risk_Rank_Keys!$D$2:$D$800&lt;Risk_Rank_Keys!D44))+(SUMPRODUCT(--ISNUMBER(Risk_Rank_Keys!$D$2:$D$800),--(Risk_Rank_Keys!$D$2:$D$800=Risk_Rank_Keys!D44))+1)/2)/COUNT(Risk_Rank_Keys!$D$2:$D$800))</f>
        <v/>
      </c>
      <c r="P44">
        <f>AVERAGE(M44:O44)</f>
        <v/>
      </c>
      <c r="Q44">
        <f>0.4*H44+0.4*I44+0.2*P44</f>
        <v/>
      </c>
      <c r="R44">
        <f>PERCENTILE($Q$2:$Q$800,0.75)</f>
        <v/>
      </c>
      <c r="S44">
        <f>OR(Q44&gt;=R44,AND(B44="CW",COUNT(J44:L44)&lt;3))</f>
        <v/>
      </c>
      <c r="T44" t="n">
        <v>0.2864334068623639</v>
      </c>
      <c r="U44" t="n">
        <v>8.979521066958998</v>
      </c>
      <c r="V44" t="n">
        <v>0.589094690073424</v>
      </c>
      <c r="W44">
        <f>Q44-V44</f>
        <v/>
      </c>
    </row>
    <row r="45">
      <c r="A45" t="inlineStr">
        <is>
          <t>2021-03-10</t>
        </is>
      </c>
      <c r="B45" t="inlineStr">
        <is>
          <t>CW</t>
        </is>
      </c>
      <c r="C45" t="n">
        <v>49.75441466304878</v>
      </c>
      <c r="D45">
        <f>SUMPRODUCT(Risk_Inputs!B45:AJ45,Risk_Coefs!$B$2:$AJ$2)</f>
        <v/>
      </c>
      <c r="E45">
        <f>1/(1+EXP(-MAX(-25,MIN(25,D45))))</f>
        <v/>
      </c>
      <c r="F45">
        <f>SUMPRODUCT(Risk_Inputs!B45:AJ45,Risk_Coefs!$B$3:$AJ$3)</f>
        <v/>
      </c>
      <c r="G45">
        <f>MAX(0,F45)</f>
        <v/>
      </c>
      <c r="H45">
        <f>(SUMPRODUCT(--ISNUMBER($E$2:$E$800),--($E$2:$E$800&lt;E45))+(SUMPRODUCT(--ISNUMBER($E$2:$E$800),--($E$2:$E$800=E45))+1)/2)/COUNT($E$2:$E$800)</f>
        <v/>
      </c>
      <c r="I45">
        <f>(SUMPRODUCT(--ISNUMBER($G$2:$G$800),--($G$2:$G$800&lt;G45))+(SUMPRODUCT(--ISNUMBER($G$2:$G$800),--($G$2:$G$800=G45))+1)/2)/COUNT($G$2:$G$800)</f>
        <v/>
      </c>
      <c r="J45" t="n">
        <v>4.473640062763256</v>
      </c>
      <c r="K45" t="n">
        <v>3.218997361477569</v>
      </c>
      <c r="L45" t="n">
        <v>0.3693931398416826</v>
      </c>
      <c r="M45">
        <f>IF(OR(B45="NW",COUNT(Risk_Rank_Keys!B45)=0),0.5,(SUMPRODUCT(--ISNUMBER(Risk_Rank_Keys!$B$2:$B$800),--(Risk_Rank_Keys!$B$2:$B$800&lt;Risk_Rank_Keys!B45))+(SUMPRODUCT(--ISNUMBER(Risk_Rank_Keys!$B$2:$B$800),--(Risk_Rank_Keys!$B$2:$B$800=Risk_Rank_Keys!B45))+1)/2)/COUNT(Risk_Rank_Keys!$B$2:$B$800))</f>
        <v/>
      </c>
      <c r="N45">
        <f>IF(OR(B45="NW",COUNT(Risk_Rank_Keys!C45)=0),0.5,(SUMPRODUCT(--ISNUMBER(Risk_Rank_Keys!$C$2:$C$800),--(Risk_Rank_Keys!$C$2:$C$800&lt;Risk_Rank_Keys!C45))+(SUMPRODUCT(--ISNUMBER(Risk_Rank_Keys!$C$2:$C$800),--(Risk_Rank_Keys!$C$2:$C$800=Risk_Rank_Keys!C45))+1)/2)/COUNT(Risk_Rank_Keys!$C$2:$C$800))</f>
        <v/>
      </c>
      <c r="O45">
        <f>IF(OR(B45="NW",COUNT(Risk_Rank_Keys!D45)=0),0.5,(SUMPRODUCT(--ISNUMBER(Risk_Rank_Keys!$D$2:$D$800),--(Risk_Rank_Keys!$D$2:$D$800&lt;Risk_Rank_Keys!D45))+(SUMPRODUCT(--ISNUMBER(Risk_Rank_Keys!$D$2:$D$800),--(Risk_Rank_Keys!$D$2:$D$800=Risk_Rank_Keys!D45))+1)/2)/COUNT(Risk_Rank_Keys!$D$2:$D$800))</f>
        <v/>
      </c>
      <c r="P45">
        <f>AVERAGE(M45:O45)</f>
        <v/>
      </c>
      <c r="Q45">
        <f>0.4*H45+0.4*I45+0.2*P45</f>
        <v/>
      </c>
      <c r="R45">
        <f>PERCENTILE($Q$2:$Q$800,0.75)</f>
        <v/>
      </c>
      <c r="S45">
        <f>OR(Q45&gt;=R45,AND(B45="CW",COUNT(J45:L45)&lt;3))</f>
        <v/>
      </c>
      <c r="T45" t="n">
        <v>0.2737850289978586</v>
      </c>
      <c r="U45" t="n">
        <v>6.326124081434884</v>
      </c>
      <c r="V45" t="n">
        <v>0.3885640407087195</v>
      </c>
      <c r="W45">
        <f>Q45-V45</f>
        <v/>
      </c>
    </row>
    <row r="46">
      <c r="A46" t="inlineStr">
        <is>
          <t>2021-03-16</t>
        </is>
      </c>
      <c r="B46" t="inlineStr">
        <is>
          <t>CW</t>
        </is>
      </c>
      <c r="C46" t="n">
        <v>27.18814877156771</v>
      </c>
      <c r="D46">
        <f>SUMPRODUCT(Risk_Inputs!B46:AJ46,Risk_Coefs!$B$2:$AJ$2)</f>
        <v/>
      </c>
      <c r="E46">
        <f>1/(1+EXP(-MAX(-25,MIN(25,D46))))</f>
        <v/>
      </c>
      <c r="F46">
        <f>SUMPRODUCT(Risk_Inputs!B46:AJ46,Risk_Coefs!$B$3:$AJ$3)</f>
        <v/>
      </c>
      <c r="G46">
        <f>MAX(0,F46)</f>
        <v/>
      </c>
      <c r="H46">
        <f>(SUMPRODUCT(--ISNUMBER($E$2:$E$800),--($E$2:$E$800&lt;E46))+(SUMPRODUCT(--ISNUMBER($E$2:$E$800),--($E$2:$E$800=E46))+1)/2)/COUNT($E$2:$E$800)</f>
        <v/>
      </c>
      <c r="I46">
        <f>(SUMPRODUCT(--ISNUMBER($G$2:$G$800),--($G$2:$G$800&lt;G46))+(SUMPRODUCT(--ISNUMBER($G$2:$G$800),--($G$2:$G$800=G46))+1)/2)/COUNT($G$2:$G$800)</f>
        <v/>
      </c>
      <c r="J46" t="n">
        <v>12.80409731114005</v>
      </c>
      <c r="K46" t="n">
        <v>2.460711331679069</v>
      </c>
      <c r="L46" t="n">
        <v>0.3722084367245622</v>
      </c>
      <c r="M46">
        <f>IF(OR(B46="NW",COUNT(Risk_Rank_Keys!B46)=0),0.5,(SUMPRODUCT(--ISNUMBER(Risk_Rank_Keys!$B$2:$B$800),--(Risk_Rank_Keys!$B$2:$B$800&lt;Risk_Rank_Keys!B46))+(SUMPRODUCT(--ISNUMBER(Risk_Rank_Keys!$B$2:$B$800),--(Risk_Rank_Keys!$B$2:$B$800=Risk_Rank_Keys!B46))+1)/2)/COUNT(Risk_Rank_Keys!$B$2:$B$800))</f>
        <v/>
      </c>
      <c r="N46">
        <f>IF(OR(B46="NW",COUNT(Risk_Rank_Keys!C46)=0),0.5,(SUMPRODUCT(--ISNUMBER(Risk_Rank_Keys!$C$2:$C$800),--(Risk_Rank_Keys!$C$2:$C$800&lt;Risk_Rank_Keys!C46))+(SUMPRODUCT(--ISNUMBER(Risk_Rank_Keys!$C$2:$C$800),--(Risk_Rank_Keys!$C$2:$C$800=Risk_Rank_Keys!C46))+1)/2)/COUNT(Risk_Rank_Keys!$C$2:$C$800))</f>
        <v/>
      </c>
      <c r="O46">
        <f>IF(OR(B46="NW",COUNT(Risk_Rank_Keys!D46)=0),0.5,(SUMPRODUCT(--ISNUMBER(Risk_Rank_Keys!$D$2:$D$800),--(Risk_Rank_Keys!$D$2:$D$800&lt;Risk_Rank_Keys!D46))+(SUMPRODUCT(--ISNUMBER(Risk_Rank_Keys!$D$2:$D$800),--(Risk_Rank_Keys!$D$2:$D$800=Risk_Rank_Keys!D46))+1)/2)/COUNT(Risk_Rank_Keys!$D$2:$D$800))</f>
        <v/>
      </c>
      <c r="P46">
        <f>AVERAGE(M46:O46)</f>
        <v/>
      </c>
      <c r="Q46">
        <f>0.4*H46+0.4*I46+0.2*P46</f>
        <v/>
      </c>
      <c r="R46">
        <f>PERCENTILE($Q$2:$Q$800,0.75)</f>
        <v/>
      </c>
      <c r="S46">
        <f>OR(Q46&gt;=R46,AND(B46="CW",COUNT(J46:L46)&lt;3))</f>
        <v/>
      </c>
      <c r="T46" t="n">
        <v>0.2354848800911002</v>
      </c>
      <c r="U46" t="n">
        <v>5.297123945305684</v>
      </c>
      <c r="V46" t="n">
        <v>0.2736867155539031</v>
      </c>
      <c r="W46">
        <f>Q46-V46</f>
        <v/>
      </c>
    </row>
    <row r="47">
      <c r="A47" t="inlineStr">
        <is>
          <t>2021-03-17</t>
        </is>
      </c>
      <c r="B47" t="inlineStr">
        <is>
          <t>CW</t>
        </is>
      </c>
      <c r="C47" t="n">
        <v>33.45399803025244</v>
      </c>
      <c r="D47">
        <f>SUMPRODUCT(Risk_Inputs!B47:AJ47,Risk_Coefs!$B$2:$AJ$2)</f>
        <v/>
      </c>
      <c r="E47">
        <f>1/(1+EXP(-MAX(-25,MIN(25,D47))))</f>
        <v/>
      </c>
      <c r="F47">
        <f>SUMPRODUCT(Risk_Inputs!B47:AJ47,Risk_Coefs!$B$3:$AJ$3)</f>
        <v/>
      </c>
      <c r="G47">
        <f>MAX(0,F47)</f>
        <v/>
      </c>
      <c r="H47">
        <f>(SUMPRODUCT(--ISNUMBER($E$2:$E$800),--($E$2:$E$800&lt;E47))+(SUMPRODUCT(--ISNUMBER($E$2:$E$800),--($E$2:$E$800=E47))+1)/2)/COUNT($E$2:$E$800)</f>
        <v/>
      </c>
      <c r="I47">
        <f>(SUMPRODUCT(--ISNUMBER($G$2:$G$800),--($G$2:$G$800&lt;G47))+(SUMPRODUCT(--ISNUMBER($G$2:$G$800),--($G$2:$G$800=G47))+1)/2)/COUNT($G$2:$G$800)</f>
        <v/>
      </c>
      <c r="J47" t="n">
        <v>53.07132235205729</v>
      </c>
      <c r="K47" t="n">
        <v>9.826589595375729</v>
      </c>
      <c r="L47" t="n">
        <v>0.4523749685850673</v>
      </c>
      <c r="M47">
        <f>IF(OR(B47="NW",COUNT(Risk_Rank_Keys!B47)=0),0.5,(SUMPRODUCT(--ISNUMBER(Risk_Rank_Keys!$B$2:$B$800),--(Risk_Rank_Keys!$B$2:$B$800&lt;Risk_Rank_Keys!B47))+(SUMPRODUCT(--ISNUMBER(Risk_Rank_Keys!$B$2:$B$800),--(Risk_Rank_Keys!$B$2:$B$800=Risk_Rank_Keys!B47))+1)/2)/COUNT(Risk_Rank_Keys!$B$2:$B$800))</f>
        <v/>
      </c>
      <c r="N47">
        <f>IF(OR(B47="NW",COUNT(Risk_Rank_Keys!C47)=0),0.5,(SUMPRODUCT(--ISNUMBER(Risk_Rank_Keys!$C$2:$C$800),--(Risk_Rank_Keys!$C$2:$C$800&lt;Risk_Rank_Keys!C47))+(SUMPRODUCT(--ISNUMBER(Risk_Rank_Keys!$C$2:$C$800),--(Risk_Rank_Keys!$C$2:$C$800=Risk_Rank_Keys!C47))+1)/2)/COUNT(Risk_Rank_Keys!$C$2:$C$800))</f>
        <v/>
      </c>
      <c r="O47">
        <f>IF(OR(B47="NW",COUNT(Risk_Rank_Keys!D47)=0),0.5,(SUMPRODUCT(--ISNUMBER(Risk_Rank_Keys!$D$2:$D$800),--(Risk_Rank_Keys!$D$2:$D$800&lt;Risk_Rank_Keys!D47))+(SUMPRODUCT(--ISNUMBER(Risk_Rank_Keys!$D$2:$D$800),--(Risk_Rank_Keys!$D$2:$D$800=Risk_Rank_Keys!D47))+1)/2)/COUNT(Risk_Rank_Keys!$D$2:$D$800))</f>
        <v/>
      </c>
      <c r="P47">
        <f>AVERAGE(M47:O47)</f>
        <v/>
      </c>
      <c r="Q47">
        <f>0.4*H47+0.4*I47+0.2*P47</f>
        <v/>
      </c>
      <c r="R47">
        <f>PERCENTILE($Q$2:$Q$800,0.75)</f>
        <v/>
      </c>
      <c r="S47">
        <f>OR(Q47&gt;=R47,AND(B47="CW",COUNT(J47:L47)&lt;3))</f>
        <v/>
      </c>
      <c r="T47" t="n">
        <v>0.1727538175429712</v>
      </c>
      <c r="U47" t="n">
        <v>5.092349924221272</v>
      </c>
      <c r="V47" t="n">
        <v>0.2629061547762225</v>
      </c>
      <c r="W47">
        <f>Q47-V47</f>
        <v/>
      </c>
    </row>
    <row r="48">
      <c r="A48" t="inlineStr">
        <is>
          <t>2021-03-18</t>
        </is>
      </c>
      <c r="B48" t="inlineStr">
        <is>
          <t>CW</t>
        </is>
      </c>
      <c r="C48" t="n">
        <v>66.85815497683522</v>
      </c>
      <c r="D48">
        <f>SUMPRODUCT(Risk_Inputs!B48:AJ48,Risk_Coefs!$B$2:$AJ$2)</f>
        <v/>
      </c>
      <c r="E48">
        <f>1/(1+EXP(-MAX(-25,MIN(25,D48))))</f>
        <v/>
      </c>
      <c r="F48">
        <f>SUMPRODUCT(Risk_Inputs!B48:AJ48,Risk_Coefs!$B$3:$AJ$3)</f>
        <v/>
      </c>
      <c r="G48">
        <f>MAX(0,F48)</f>
        <v/>
      </c>
      <c r="H48">
        <f>(SUMPRODUCT(--ISNUMBER($E$2:$E$800),--($E$2:$E$800&lt;E48))+(SUMPRODUCT(--ISNUMBER($E$2:$E$800),--($E$2:$E$800=E48))+1)/2)/COUNT($E$2:$E$800)</f>
        <v/>
      </c>
      <c r="I48">
        <f>(SUMPRODUCT(--ISNUMBER($G$2:$G$800),--($G$2:$G$800&lt;G48))+(SUMPRODUCT(--ISNUMBER($G$2:$G$800),--($G$2:$G$800=G48))+1)/2)/COUNT($G$2:$G$800)</f>
        <v/>
      </c>
      <c r="J48" t="n">
        <v>40.4472434580536</v>
      </c>
      <c r="K48" t="n">
        <v>19.06103286384976</v>
      </c>
      <c r="L48" t="n">
        <v>0.3755868544600992</v>
      </c>
      <c r="M48">
        <f>IF(OR(B48="NW",COUNT(Risk_Rank_Keys!B48)=0),0.5,(SUMPRODUCT(--ISNUMBER(Risk_Rank_Keys!$B$2:$B$800),--(Risk_Rank_Keys!$B$2:$B$800&lt;Risk_Rank_Keys!B48))+(SUMPRODUCT(--ISNUMBER(Risk_Rank_Keys!$B$2:$B$800),--(Risk_Rank_Keys!$B$2:$B$800=Risk_Rank_Keys!B48))+1)/2)/COUNT(Risk_Rank_Keys!$B$2:$B$800))</f>
        <v/>
      </c>
      <c r="N48">
        <f>IF(OR(B48="NW",COUNT(Risk_Rank_Keys!C48)=0),0.5,(SUMPRODUCT(--ISNUMBER(Risk_Rank_Keys!$C$2:$C$800),--(Risk_Rank_Keys!$C$2:$C$800&lt;Risk_Rank_Keys!C48))+(SUMPRODUCT(--ISNUMBER(Risk_Rank_Keys!$C$2:$C$800),--(Risk_Rank_Keys!$C$2:$C$800=Risk_Rank_Keys!C48))+1)/2)/COUNT(Risk_Rank_Keys!$C$2:$C$800))</f>
        <v/>
      </c>
      <c r="O48">
        <f>IF(OR(B48="NW",COUNT(Risk_Rank_Keys!D48)=0),0.5,(SUMPRODUCT(--ISNUMBER(Risk_Rank_Keys!$D$2:$D$800),--(Risk_Rank_Keys!$D$2:$D$800&lt;Risk_Rank_Keys!D48))+(SUMPRODUCT(--ISNUMBER(Risk_Rank_Keys!$D$2:$D$800),--(Risk_Rank_Keys!$D$2:$D$800=Risk_Rank_Keys!D48))+1)/2)/COUNT(Risk_Rank_Keys!$D$2:$D$800))</f>
        <v/>
      </c>
      <c r="P48">
        <f>AVERAGE(M48:O48)</f>
        <v/>
      </c>
      <c r="Q48">
        <f>0.4*H48+0.4*I48+0.2*P48</f>
        <v/>
      </c>
      <c r="R48">
        <f>PERCENTILE($Q$2:$Q$800,0.75)</f>
        <v/>
      </c>
      <c r="S48">
        <f>OR(Q48&gt;=R48,AND(B48="CW",COUNT(J48:L48)&lt;3))</f>
        <v/>
      </c>
      <c r="T48" t="n">
        <v>0.1428442533739087</v>
      </c>
      <c r="U48" t="n">
        <v>4.906802480541968</v>
      </c>
      <c r="V48" t="n">
        <v>0.2415079518854635</v>
      </c>
      <c r="W48">
        <f>Q48-V48</f>
        <v/>
      </c>
    </row>
    <row r="49">
      <c r="A49" t="inlineStr">
        <is>
          <t>2021-03-19</t>
        </is>
      </c>
      <c r="B49" t="inlineStr">
        <is>
          <t>CW</t>
        </is>
      </c>
      <c r="C49" t="n">
        <v>-33.84589568937523</v>
      </c>
      <c r="D49">
        <f>SUMPRODUCT(Risk_Inputs!B49:AJ49,Risk_Coefs!$B$2:$AJ$2)</f>
        <v/>
      </c>
      <c r="E49">
        <f>1/(1+EXP(-MAX(-25,MIN(25,D49))))</f>
        <v/>
      </c>
      <c r="F49">
        <f>SUMPRODUCT(Risk_Inputs!B49:AJ49,Risk_Coefs!$B$3:$AJ$3)</f>
        <v/>
      </c>
      <c r="G49">
        <f>MAX(0,F49)</f>
        <v/>
      </c>
      <c r="H49">
        <f>(SUMPRODUCT(--ISNUMBER($E$2:$E$800),--($E$2:$E$800&lt;E49))+(SUMPRODUCT(--ISNUMBER($E$2:$E$800),--($E$2:$E$800=E49))+1)/2)/COUNT($E$2:$E$800)</f>
        <v/>
      </c>
      <c r="I49">
        <f>(SUMPRODUCT(--ISNUMBER($G$2:$G$800),--($G$2:$G$800&lt;G49))+(SUMPRODUCT(--ISNUMBER($G$2:$G$800),--($G$2:$G$800=G49))+1)/2)/COUNT($G$2:$G$800)</f>
        <v/>
      </c>
      <c r="J49" t="n">
        <v>21.08103259107012</v>
      </c>
      <c r="K49" t="n">
        <v>5.374968006142821</v>
      </c>
      <c r="L49" t="n">
        <v>0.2687484003071367</v>
      </c>
      <c r="M49">
        <f>IF(OR(B49="NW",COUNT(Risk_Rank_Keys!B49)=0),0.5,(SUMPRODUCT(--ISNUMBER(Risk_Rank_Keys!$B$2:$B$800),--(Risk_Rank_Keys!$B$2:$B$800&lt;Risk_Rank_Keys!B49))+(SUMPRODUCT(--ISNUMBER(Risk_Rank_Keys!$B$2:$B$800),--(Risk_Rank_Keys!$B$2:$B$800=Risk_Rank_Keys!B49))+1)/2)/COUNT(Risk_Rank_Keys!$B$2:$B$800))</f>
        <v/>
      </c>
      <c r="N49">
        <f>IF(OR(B49="NW",COUNT(Risk_Rank_Keys!C49)=0),0.5,(SUMPRODUCT(--ISNUMBER(Risk_Rank_Keys!$C$2:$C$800),--(Risk_Rank_Keys!$C$2:$C$800&lt;Risk_Rank_Keys!C49))+(SUMPRODUCT(--ISNUMBER(Risk_Rank_Keys!$C$2:$C$800),--(Risk_Rank_Keys!$C$2:$C$800=Risk_Rank_Keys!C49))+1)/2)/COUNT(Risk_Rank_Keys!$C$2:$C$800))</f>
        <v/>
      </c>
      <c r="O49">
        <f>IF(OR(B49="NW",COUNT(Risk_Rank_Keys!D49)=0),0.5,(SUMPRODUCT(--ISNUMBER(Risk_Rank_Keys!$D$2:$D$800),--(Risk_Rank_Keys!$D$2:$D$800&lt;Risk_Rank_Keys!D49))+(SUMPRODUCT(--ISNUMBER(Risk_Rank_Keys!$D$2:$D$800),--(Risk_Rank_Keys!$D$2:$D$800=Risk_Rank_Keys!D49))+1)/2)/COUNT(Risk_Rank_Keys!$D$2:$D$800))</f>
        <v/>
      </c>
      <c r="P49">
        <f>AVERAGE(M49:O49)</f>
        <v/>
      </c>
      <c r="Q49">
        <f>0.4*H49+0.4*I49+0.2*P49</f>
        <v/>
      </c>
      <c r="R49">
        <f>PERCENTILE($Q$2:$Q$800,0.75)</f>
        <v/>
      </c>
      <c r="S49">
        <f>OR(Q49&gt;=R49,AND(B49="CW",COUNT(J49:L49)&lt;3))</f>
        <v/>
      </c>
      <c r="T49" t="n">
        <v>0.2713827637418036</v>
      </c>
      <c r="U49" t="n">
        <v>7.943727299871008</v>
      </c>
      <c r="V49" t="n">
        <v>0.5173499650015798</v>
      </c>
      <c r="W49">
        <f>Q49-V49</f>
        <v/>
      </c>
    </row>
    <row r="50">
      <c r="A50" t="inlineStr">
        <is>
          <t>2021-03-22</t>
        </is>
      </c>
      <c r="B50" t="inlineStr">
        <is>
          <t>CW</t>
        </is>
      </c>
      <c r="C50" t="n">
        <v>57.52154360229104</v>
      </c>
      <c r="D50">
        <f>SUMPRODUCT(Risk_Inputs!B50:AJ50,Risk_Coefs!$B$2:$AJ$2)</f>
        <v/>
      </c>
      <c r="E50">
        <f>1/(1+EXP(-MAX(-25,MIN(25,D50))))</f>
        <v/>
      </c>
      <c r="F50">
        <f>SUMPRODUCT(Risk_Inputs!B50:AJ50,Risk_Coefs!$B$3:$AJ$3)</f>
        <v/>
      </c>
      <c r="G50">
        <f>MAX(0,F50)</f>
        <v/>
      </c>
      <c r="H50">
        <f>(SUMPRODUCT(--ISNUMBER($E$2:$E$800),--($E$2:$E$800&lt;E50))+(SUMPRODUCT(--ISNUMBER($E$2:$E$800),--($E$2:$E$800=E50))+1)/2)/COUNT($E$2:$E$800)</f>
        <v/>
      </c>
      <c r="I50">
        <f>(SUMPRODUCT(--ISNUMBER($G$2:$G$800),--($G$2:$G$800&lt;G50))+(SUMPRODUCT(--ISNUMBER($G$2:$G$800),--($G$2:$G$800=G50))+1)/2)/COUNT($G$2:$G$800)</f>
        <v/>
      </c>
      <c r="J50" t="n">
        <v>48.01263096287347</v>
      </c>
      <c r="K50" t="n">
        <v>7.397683397683394</v>
      </c>
      <c r="L50" t="n">
        <v>0.4324324324324342</v>
      </c>
      <c r="M50">
        <f>IF(OR(B50="NW",COUNT(Risk_Rank_Keys!B50)=0),0.5,(SUMPRODUCT(--ISNUMBER(Risk_Rank_Keys!$B$2:$B$800),--(Risk_Rank_Keys!$B$2:$B$800&lt;Risk_Rank_Keys!B50))+(SUMPRODUCT(--ISNUMBER(Risk_Rank_Keys!$B$2:$B$800),--(Risk_Rank_Keys!$B$2:$B$800=Risk_Rank_Keys!B50))+1)/2)/COUNT(Risk_Rank_Keys!$B$2:$B$800))</f>
        <v/>
      </c>
      <c r="N50">
        <f>IF(OR(B50="NW",COUNT(Risk_Rank_Keys!C50)=0),0.5,(SUMPRODUCT(--ISNUMBER(Risk_Rank_Keys!$C$2:$C$800),--(Risk_Rank_Keys!$C$2:$C$800&lt;Risk_Rank_Keys!C50))+(SUMPRODUCT(--ISNUMBER(Risk_Rank_Keys!$C$2:$C$800),--(Risk_Rank_Keys!$C$2:$C$800=Risk_Rank_Keys!C50))+1)/2)/COUNT(Risk_Rank_Keys!$C$2:$C$800))</f>
        <v/>
      </c>
      <c r="O50">
        <f>IF(OR(B50="NW",COUNT(Risk_Rank_Keys!D50)=0),0.5,(SUMPRODUCT(--ISNUMBER(Risk_Rank_Keys!$D$2:$D$800),--(Risk_Rank_Keys!$D$2:$D$800&lt;Risk_Rank_Keys!D50))+(SUMPRODUCT(--ISNUMBER(Risk_Rank_Keys!$D$2:$D$800),--(Risk_Rank_Keys!$D$2:$D$800=Risk_Rank_Keys!D50))+1)/2)/COUNT(Risk_Rank_Keys!$D$2:$D$800))</f>
        <v/>
      </c>
      <c r="P50">
        <f>AVERAGE(M50:O50)</f>
        <v/>
      </c>
      <c r="Q50">
        <f>0.4*H50+0.4*I50+0.2*P50</f>
        <v/>
      </c>
      <c r="R50">
        <f>PERCENTILE($Q$2:$Q$800,0.75)</f>
        <v/>
      </c>
      <c r="S50">
        <f>OR(Q50&gt;=R50,AND(B50="CW",COUNT(J50:L50)&lt;3))</f>
        <v/>
      </c>
      <c r="T50" t="n">
        <v>0.190892633885303</v>
      </c>
      <c r="U50" t="n">
        <v>4.010386325911726</v>
      </c>
      <c r="V50" t="n">
        <v>0.2358718970540232</v>
      </c>
      <c r="W50">
        <f>Q50-V50</f>
        <v/>
      </c>
    </row>
    <row r="51">
      <c r="A51" t="inlineStr">
        <is>
          <t>2021-03-23</t>
        </is>
      </c>
      <c r="B51" t="inlineStr">
        <is>
          <t>CW</t>
        </is>
      </c>
      <c r="C51" t="n">
        <v>50.16032218620659</v>
      </c>
      <c r="D51">
        <f>SUMPRODUCT(Risk_Inputs!B51:AJ51,Risk_Coefs!$B$2:$AJ$2)</f>
        <v/>
      </c>
      <c r="E51">
        <f>1/(1+EXP(-MAX(-25,MIN(25,D51))))</f>
        <v/>
      </c>
      <c r="F51">
        <f>SUMPRODUCT(Risk_Inputs!B51:AJ51,Risk_Coefs!$B$3:$AJ$3)</f>
        <v/>
      </c>
      <c r="G51">
        <f>MAX(0,F51)</f>
        <v/>
      </c>
      <c r="H51">
        <f>(SUMPRODUCT(--ISNUMBER($E$2:$E$800),--($E$2:$E$800&lt;E51))+(SUMPRODUCT(--ISNUMBER($E$2:$E$800),--($E$2:$E$800=E51))+1)/2)/COUNT($E$2:$E$800)</f>
        <v/>
      </c>
      <c r="I51">
        <f>(SUMPRODUCT(--ISNUMBER($G$2:$G$800),--($G$2:$G$800&lt;G51))+(SUMPRODUCT(--ISNUMBER($G$2:$G$800),--($G$2:$G$800=G51))+1)/2)/COUNT($G$2:$G$800)</f>
        <v/>
      </c>
      <c r="J51" t="n">
        <v>34.46781423947442</v>
      </c>
      <c r="K51" t="n">
        <v>14.92075763432546</v>
      </c>
      <c r="L51" t="n">
        <v>0.3478933127174299</v>
      </c>
      <c r="M51">
        <f>IF(OR(B51="NW",COUNT(Risk_Rank_Keys!B51)=0),0.5,(SUMPRODUCT(--ISNUMBER(Risk_Rank_Keys!$B$2:$B$800),--(Risk_Rank_Keys!$B$2:$B$800&lt;Risk_Rank_Keys!B51))+(SUMPRODUCT(--ISNUMBER(Risk_Rank_Keys!$B$2:$B$800),--(Risk_Rank_Keys!$B$2:$B$800=Risk_Rank_Keys!B51))+1)/2)/COUNT(Risk_Rank_Keys!$B$2:$B$800))</f>
        <v/>
      </c>
      <c r="N51">
        <f>IF(OR(B51="NW",COUNT(Risk_Rank_Keys!C51)=0),0.5,(SUMPRODUCT(--ISNUMBER(Risk_Rank_Keys!$C$2:$C$800),--(Risk_Rank_Keys!$C$2:$C$800&lt;Risk_Rank_Keys!C51))+(SUMPRODUCT(--ISNUMBER(Risk_Rank_Keys!$C$2:$C$800),--(Risk_Rank_Keys!$C$2:$C$800=Risk_Rank_Keys!C51))+1)/2)/COUNT(Risk_Rank_Keys!$C$2:$C$800))</f>
        <v/>
      </c>
      <c r="O51">
        <f>IF(OR(B51="NW",COUNT(Risk_Rank_Keys!D51)=0),0.5,(SUMPRODUCT(--ISNUMBER(Risk_Rank_Keys!$D$2:$D$800),--(Risk_Rank_Keys!$D$2:$D$800&lt;Risk_Rank_Keys!D51))+(SUMPRODUCT(--ISNUMBER(Risk_Rank_Keys!$D$2:$D$800),--(Risk_Rank_Keys!$D$2:$D$800=Risk_Rank_Keys!D51))+1)/2)/COUNT(Risk_Rank_Keys!$D$2:$D$800))</f>
        <v/>
      </c>
      <c r="P51">
        <f>AVERAGE(M51:O51)</f>
        <v/>
      </c>
      <c r="Q51">
        <f>0.4*H51+0.4*I51+0.2*P51</f>
        <v/>
      </c>
      <c r="R51">
        <f>PERCENTILE($Q$2:$Q$800,0.75)</f>
        <v/>
      </c>
      <c r="S51">
        <f>OR(Q51&gt;=R51,AND(B51="CW",COUNT(J51:L51)&lt;3))</f>
        <v/>
      </c>
      <c r="T51" t="n">
        <v>0.1773872399754077</v>
      </c>
      <c r="U51" t="n">
        <v>3.402030494401828</v>
      </c>
      <c r="V51" t="n">
        <v>0.2162545115378417</v>
      </c>
      <c r="W51">
        <f>Q51-V51</f>
        <v/>
      </c>
    </row>
    <row r="52">
      <c r="A52" t="inlineStr">
        <is>
          <t>2021-03-24</t>
        </is>
      </c>
      <c r="B52" t="inlineStr">
        <is>
          <t>CW</t>
        </is>
      </c>
      <c r="C52" t="n">
        <v>-37.22039303088042</v>
      </c>
      <c r="D52">
        <f>SUMPRODUCT(Risk_Inputs!B52:AJ52,Risk_Coefs!$B$2:$AJ$2)</f>
        <v/>
      </c>
      <c r="E52">
        <f>1/(1+EXP(-MAX(-25,MIN(25,D52))))</f>
        <v/>
      </c>
      <c r="F52">
        <f>SUMPRODUCT(Risk_Inputs!B52:AJ52,Risk_Coefs!$B$3:$AJ$3)</f>
        <v/>
      </c>
      <c r="G52">
        <f>MAX(0,F52)</f>
        <v/>
      </c>
      <c r="H52">
        <f>(SUMPRODUCT(--ISNUMBER($E$2:$E$800),--($E$2:$E$800&lt;E52))+(SUMPRODUCT(--ISNUMBER($E$2:$E$800),--($E$2:$E$800=E52))+1)/2)/COUNT($E$2:$E$800)</f>
        <v/>
      </c>
      <c r="I52">
        <f>(SUMPRODUCT(--ISNUMBER($G$2:$G$800),--($G$2:$G$800&lt;G52))+(SUMPRODUCT(--ISNUMBER($G$2:$G$800),--($G$2:$G$800=G52))+1)/2)/COUNT($G$2:$G$800)</f>
        <v/>
      </c>
      <c r="J52" t="n">
        <v>24.05532046091349</v>
      </c>
      <c r="K52" t="n">
        <v>17.18238993710692</v>
      </c>
      <c r="L52" t="n">
        <v>0.3018867924528344</v>
      </c>
      <c r="M52">
        <f>IF(OR(B52="NW",COUNT(Risk_Rank_Keys!B52)=0),0.5,(SUMPRODUCT(--ISNUMBER(Risk_Rank_Keys!$B$2:$B$800),--(Risk_Rank_Keys!$B$2:$B$800&lt;Risk_Rank_Keys!B52))+(SUMPRODUCT(--ISNUMBER(Risk_Rank_Keys!$B$2:$B$800),--(Risk_Rank_Keys!$B$2:$B$800=Risk_Rank_Keys!B52))+1)/2)/COUNT(Risk_Rank_Keys!$B$2:$B$800))</f>
        <v/>
      </c>
      <c r="N52">
        <f>IF(OR(B52="NW",COUNT(Risk_Rank_Keys!C52)=0),0.5,(SUMPRODUCT(--ISNUMBER(Risk_Rank_Keys!$C$2:$C$800),--(Risk_Rank_Keys!$C$2:$C$800&lt;Risk_Rank_Keys!C52))+(SUMPRODUCT(--ISNUMBER(Risk_Rank_Keys!$C$2:$C$800),--(Risk_Rank_Keys!$C$2:$C$800=Risk_Rank_Keys!C52))+1)/2)/COUNT(Risk_Rank_Keys!$C$2:$C$800))</f>
        <v/>
      </c>
      <c r="O52">
        <f>IF(OR(B52="NW",COUNT(Risk_Rank_Keys!D52)=0),0.5,(SUMPRODUCT(--ISNUMBER(Risk_Rank_Keys!$D$2:$D$800),--(Risk_Rank_Keys!$D$2:$D$800&lt;Risk_Rank_Keys!D52))+(SUMPRODUCT(--ISNUMBER(Risk_Rank_Keys!$D$2:$D$800),--(Risk_Rank_Keys!$D$2:$D$800=Risk_Rank_Keys!D52))+1)/2)/COUNT(Risk_Rank_Keys!$D$2:$D$800))</f>
        <v/>
      </c>
      <c r="P52">
        <f>AVERAGE(M52:O52)</f>
        <v/>
      </c>
      <c r="Q52">
        <f>0.4*H52+0.4*I52+0.2*P52</f>
        <v/>
      </c>
      <c r="R52">
        <f>PERCENTILE($Q$2:$Q$800,0.75)</f>
        <v/>
      </c>
      <c r="S52">
        <f>OR(Q52&gt;=R52,AND(B52="CW",COUNT(J52:L52)&lt;3))</f>
        <v/>
      </c>
      <c r="T52" t="n">
        <v>0.2404290043168122</v>
      </c>
      <c r="U52" t="n">
        <v>5.447035690063629</v>
      </c>
      <c r="V52" t="n">
        <v>0.3363039224414061</v>
      </c>
      <c r="W52">
        <f>Q52-V52</f>
        <v/>
      </c>
    </row>
    <row r="53">
      <c r="A53" t="inlineStr">
        <is>
          <t>2021-03-25</t>
        </is>
      </c>
      <c r="B53" t="inlineStr">
        <is>
          <t>CW</t>
        </is>
      </c>
      <c r="C53" t="n">
        <v>-56.25284647219738</v>
      </c>
      <c r="D53">
        <f>SUMPRODUCT(Risk_Inputs!B53:AJ53,Risk_Coefs!$B$2:$AJ$2)</f>
        <v/>
      </c>
      <c r="E53">
        <f>1/(1+EXP(-MAX(-25,MIN(25,D53))))</f>
        <v/>
      </c>
      <c r="F53">
        <f>SUMPRODUCT(Risk_Inputs!B53:AJ53,Risk_Coefs!$B$3:$AJ$3)</f>
        <v/>
      </c>
      <c r="G53">
        <f>MAX(0,F53)</f>
        <v/>
      </c>
      <c r="H53">
        <f>(SUMPRODUCT(--ISNUMBER($E$2:$E$800),--($E$2:$E$800&lt;E53))+(SUMPRODUCT(--ISNUMBER($E$2:$E$800),--($E$2:$E$800=E53))+1)/2)/COUNT($E$2:$E$800)</f>
        <v/>
      </c>
      <c r="I53">
        <f>(SUMPRODUCT(--ISNUMBER($G$2:$G$800),--($G$2:$G$800&lt;G53))+(SUMPRODUCT(--ISNUMBER($G$2:$G$800),--($G$2:$G$800=G53))+1)/2)/COUNT($G$2:$G$800)</f>
        <v/>
      </c>
      <c r="J53" t="n">
        <v>39.38052335096187</v>
      </c>
      <c r="K53" t="n">
        <v>9.074540871444</v>
      </c>
      <c r="L53" t="n">
        <v>0.4321209938782818</v>
      </c>
      <c r="M53">
        <f>IF(OR(B53="NW",COUNT(Risk_Rank_Keys!B53)=0),0.5,(SUMPRODUCT(--ISNUMBER(Risk_Rank_Keys!$B$2:$B$800),--(Risk_Rank_Keys!$B$2:$B$800&lt;Risk_Rank_Keys!B53))+(SUMPRODUCT(--ISNUMBER(Risk_Rank_Keys!$B$2:$B$800),--(Risk_Rank_Keys!$B$2:$B$800=Risk_Rank_Keys!B53))+1)/2)/COUNT(Risk_Rank_Keys!$B$2:$B$800))</f>
        <v/>
      </c>
      <c r="N53">
        <f>IF(OR(B53="NW",COUNT(Risk_Rank_Keys!C53)=0),0.5,(SUMPRODUCT(--ISNUMBER(Risk_Rank_Keys!$C$2:$C$800),--(Risk_Rank_Keys!$C$2:$C$800&lt;Risk_Rank_Keys!C53))+(SUMPRODUCT(--ISNUMBER(Risk_Rank_Keys!$C$2:$C$800),--(Risk_Rank_Keys!$C$2:$C$800=Risk_Rank_Keys!C53))+1)/2)/COUNT(Risk_Rank_Keys!$C$2:$C$800))</f>
        <v/>
      </c>
      <c r="O53">
        <f>IF(OR(B53="NW",COUNT(Risk_Rank_Keys!D53)=0),0.5,(SUMPRODUCT(--ISNUMBER(Risk_Rank_Keys!$D$2:$D$800),--(Risk_Rank_Keys!$D$2:$D$800&lt;Risk_Rank_Keys!D53))+(SUMPRODUCT(--ISNUMBER(Risk_Rank_Keys!$D$2:$D$800),--(Risk_Rank_Keys!$D$2:$D$800=Risk_Rank_Keys!D53))+1)/2)/COUNT(Risk_Rank_Keys!$D$2:$D$800))</f>
        <v/>
      </c>
      <c r="P53">
        <f>AVERAGE(M53:O53)</f>
        <v/>
      </c>
      <c r="Q53">
        <f>0.4*H53+0.4*I53+0.2*P53</f>
        <v/>
      </c>
      <c r="R53">
        <f>PERCENTILE($Q$2:$Q$800,0.75)</f>
        <v/>
      </c>
      <c r="S53">
        <f>OR(Q53&gt;=R53,AND(B53="CW",COUNT(J53:L53)&lt;3))</f>
        <v/>
      </c>
      <c r="T53" t="n">
        <v>0.2487202825314986</v>
      </c>
      <c r="U53" t="n">
        <v>9.053286431464061</v>
      </c>
      <c r="V53" t="n">
        <v>0.5580390178564676</v>
      </c>
      <c r="W53">
        <f>Q53-V53</f>
        <v/>
      </c>
    </row>
    <row r="54">
      <c r="A54" t="inlineStr">
        <is>
          <t>2021-03-26</t>
        </is>
      </c>
      <c r="B54" t="inlineStr">
        <is>
          <t>CW</t>
        </is>
      </c>
      <c r="C54" t="n">
        <v>41.68810014735715</v>
      </c>
      <c r="D54">
        <f>SUMPRODUCT(Risk_Inputs!B54:AJ54,Risk_Coefs!$B$2:$AJ$2)</f>
        <v/>
      </c>
      <c r="E54">
        <f>1/(1+EXP(-MAX(-25,MIN(25,D54))))</f>
        <v/>
      </c>
      <c r="F54">
        <f>SUMPRODUCT(Risk_Inputs!B54:AJ54,Risk_Coefs!$B$3:$AJ$3)</f>
        <v/>
      </c>
      <c r="G54">
        <f>MAX(0,F54)</f>
        <v/>
      </c>
      <c r="H54">
        <f>(SUMPRODUCT(--ISNUMBER($E$2:$E$800),--($E$2:$E$800&lt;E54))+(SUMPRODUCT(--ISNUMBER($E$2:$E$800),--($E$2:$E$800=E54))+1)/2)/COUNT($E$2:$E$800)</f>
        <v/>
      </c>
      <c r="I54">
        <f>(SUMPRODUCT(--ISNUMBER($G$2:$G$800),--($G$2:$G$800&lt;G54))+(SUMPRODUCT(--ISNUMBER($G$2:$G$800),--($G$2:$G$800=G54))+1)/2)/COUNT($G$2:$G$800)</f>
        <v/>
      </c>
      <c r="J54" t="n">
        <v>31.7778719854956</v>
      </c>
      <c r="K54" t="n">
        <v>9.613519878099472</v>
      </c>
      <c r="L54" t="n">
        <v>0.4709793600221606</v>
      </c>
      <c r="M54">
        <f>IF(OR(B54="NW",COUNT(Risk_Rank_Keys!B54)=0),0.5,(SUMPRODUCT(--ISNUMBER(Risk_Rank_Keys!$B$2:$B$800),--(Risk_Rank_Keys!$B$2:$B$800&lt;Risk_Rank_Keys!B54))+(SUMPRODUCT(--ISNUMBER(Risk_Rank_Keys!$B$2:$B$800),--(Risk_Rank_Keys!$B$2:$B$800=Risk_Rank_Keys!B54))+1)/2)/COUNT(Risk_Rank_Keys!$B$2:$B$800))</f>
        <v/>
      </c>
      <c r="N54">
        <f>IF(OR(B54="NW",COUNT(Risk_Rank_Keys!C54)=0),0.5,(SUMPRODUCT(--ISNUMBER(Risk_Rank_Keys!$C$2:$C$800),--(Risk_Rank_Keys!$C$2:$C$800&lt;Risk_Rank_Keys!C54))+(SUMPRODUCT(--ISNUMBER(Risk_Rank_Keys!$C$2:$C$800),--(Risk_Rank_Keys!$C$2:$C$800=Risk_Rank_Keys!C54))+1)/2)/COUNT(Risk_Rank_Keys!$C$2:$C$800))</f>
        <v/>
      </c>
      <c r="O54">
        <f>IF(OR(B54="NW",COUNT(Risk_Rank_Keys!D54)=0),0.5,(SUMPRODUCT(--ISNUMBER(Risk_Rank_Keys!$D$2:$D$800),--(Risk_Rank_Keys!$D$2:$D$800&lt;Risk_Rank_Keys!D54))+(SUMPRODUCT(--ISNUMBER(Risk_Rank_Keys!$D$2:$D$800),--(Risk_Rank_Keys!$D$2:$D$800=Risk_Rank_Keys!D54))+1)/2)/COUNT(Risk_Rank_Keys!$D$2:$D$800))</f>
        <v/>
      </c>
      <c r="P54">
        <f>AVERAGE(M54:O54)</f>
        <v/>
      </c>
      <c r="Q54">
        <f>0.4*H54+0.4*I54+0.2*P54</f>
        <v/>
      </c>
      <c r="R54">
        <f>PERCENTILE($Q$2:$Q$800,0.75)</f>
        <v/>
      </c>
      <c r="S54">
        <f>OR(Q54&gt;=R54,AND(B54="CW",COUNT(J54:L54)&lt;3))</f>
        <v/>
      </c>
      <c r="T54" t="n">
        <v>0.1489372536870305</v>
      </c>
      <c r="U54" t="n">
        <v>5.531398186983019</v>
      </c>
      <c r="V54" t="n">
        <v>0.2722962047515229</v>
      </c>
      <c r="W54">
        <f>Q54-V54</f>
        <v/>
      </c>
    </row>
    <row r="55">
      <c r="A55" t="inlineStr">
        <is>
          <t>2021-03-31</t>
        </is>
      </c>
      <c r="B55" t="inlineStr">
        <is>
          <t>CW</t>
        </is>
      </c>
      <c r="C55" t="n">
        <v>44.78493916045089</v>
      </c>
      <c r="D55">
        <f>SUMPRODUCT(Risk_Inputs!B55:AJ55,Risk_Coefs!$B$2:$AJ$2)</f>
        <v/>
      </c>
      <c r="E55">
        <f>1/(1+EXP(-MAX(-25,MIN(25,D55))))</f>
        <v/>
      </c>
      <c r="F55">
        <f>SUMPRODUCT(Risk_Inputs!B55:AJ55,Risk_Coefs!$B$3:$AJ$3)</f>
        <v/>
      </c>
      <c r="G55">
        <f>MAX(0,F55)</f>
        <v/>
      </c>
      <c r="H55">
        <f>(SUMPRODUCT(--ISNUMBER($E$2:$E$800),--($E$2:$E$800&lt;E55))+(SUMPRODUCT(--ISNUMBER($E$2:$E$800),--($E$2:$E$800=E55))+1)/2)/COUNT($E$2:$E$800)</f>
        <v/>
      </c>
      <c r="I55">
        <f>(SUMPRODUCT(--ISNUMBER($G$2:$G$800),--($G$2:$G$800&lt;G55))+(SUMPRODUCT(--ISNUMBER($G$2:$G$800),--($G$2:$G$800=G55))+1)/2)/COUNT($G$2:$G$800)</f>
        <v/>
      </c>
      <c r="J55" t="n">
        <v>27.89263532999524</v>
      </c>
      <c r="K55" t="n">
        <v>5.149459934689776</v>
      </c>
      <c r="L55" t="n">
        <v>0.2763124843004327</v>
      </c>
      <c r="M55">
        <f>IF(OR(B55="NW",COUNT(Risk_Rank_Keys!B55)=0),0.5,(SUMPRODUCT(--ISNUMBER(Risk_Rank_Keys!$B$2:$B$800),--(Risk_Rank_Keys!$B$2:$B$800&lt;Risk_Rank_Keys!B55))+(SUMPRODUCT(--ISNUMBER(Risk_Rank_Keys!$B$2:$B$800),--(Risk_Rank_Keys!$B$2:$B$800=Risk_Rank_Keys!B55))+1)/2)/COUNT(Risk_Rank_Keys!$B$2:$B$800))</f>
        <v/>
      </c>
      <c r="N55">
        <f>IF(OR(B55="NW",COUNT(Risk_Rank_Keys!C55)=0),0.5,(SUMPRODUCT(--ISNUMBER(Risk_Rank_Keys!$C$2:$C$800),--(Risk_Rank_Keys!$C$2:$C$800&lt;Risk_Rank_Keys!C55))+(SUMPRODUCT(--ISNUMBER(Risk_Rank_Keys!$C$2:$C$800),--(Risk_Rank_Keys!$C$2:$C$800=Risk_Rank_Keys!C55))+1)/2)/COUNT(Risk_Rank_Keys!$C$2:$C$800))</f>
        <v/>
      </c>
      <c r="O55">
        <f>IF(OR(B55="NW",COUNT(Risk_Rank_Keys!D55)=0),0.5,(SUMPRODUCT(--ISNUMBER(Risk_Rank_Keys!$D$2:$D$800),--(Risk_Rank_Keys!$D$2:$D$800&lt;Risk_Rank_Keys!D55))+(SUMPRODUCT(--ISNUMBER(Risk_Rank_Keys!$D$2:$D$800),--(Risk_Rank_Keys!$D$2:$D$800=Risk_Rank_Keys!D55))+1)/2)/COUNT(Risk_Rank_Keys!$D$2:$D$800))</f>
        <v/>
      </c>
      <c r="P55">
        <f>AVERAGE(M55:O55)</f>
        <v/>
      </c>
      <c r="Q55">
        <f>0.4*H55+0.4*I55+0.2*P55</f>
        <v/>
      </c>
      <c r="R55">
        <f>PERCENTILE($Q$2:$Q$800,0.75)</f>
        <v/>
      </c>
      <c r="S55">
        <f>OR(Q55&gt;=R55,AND(B55="CW",COUNT(J55:L55)&lt;3))</f>
        <v/>
      </c>
      <c r="T55" t="n">
        <v>0.2847712238074233</v>
      </c>
      <c r="U55" t="n">
        <v>7.683945192723181</v>
      </c>
      <c r="V55" t="n">
        <v>0.5537458783032487</v>
      </c>
      <c r="W55">
        <f>Q55-V55</f>
        <v/>
      </c>
    </row>
    <row r="56">
      <c r="A56" t="inlineStr">
        <is>
          <t>2021-04-01</t>
        </is>
      </c>
      <c r="B56" t="inlineStr">
        <is>
          <t>CW</t>
        </is>
      </c>
      <c r="C56" t="n">
        <v>63.5476490007597</v>
      </c>
      <c r="D56">
        <f>SUMPRODUCT(Risk_Inputs!B56:AJ56,Risk_Coefs!$B$2:$AJ$2)</f>
        <v/>
      </c>
      <c r="E56">
        <f>1/(1+EXP(-MAX(-25,MIN(25,D56))))</f>
        <v/>
      </c>
      <c r="F56">
        <f>SUMPRODUCT(Risk_Inputs!B56:AJ56,Risk_Coefs!$B$3:$AJ$3)</f>
        <v/>
      </c>
      <c r="G56">
        <f>MAX(0,F56)</f>
        <v/>
      </c>
      <c r="H56">
        <f>(SUMPRODUCT(--ISNUMBER($E$2:$E$800),--($E$2:$E$800&lt;E56))+(SUMPRODUCT(--ISNUMBER($E$2:$E$800),--($E$2:$E$800=E56))+1)/2)/COUNT($E$2:$E$800)</f>
        <v/>
      </c>
      <c r="I56">
        <f>(SUMPRODUCT(--ISNUMBER($G$2:$G$800),--($G$2:$G$800&lt;G56))+(SUMPRODUCT(--ISNUMBER($G$2:$G$800),--($G$2:$G$800=G56))+1)/2)/COUNT($G$2:$G$800)</f>
        <v/>
      </c>
      <c r="J56" t="n">
        <v>12.04391291845059</v>
      </c>
      <c r="K56" t="n">
        <v>10.55786076532966</v>
      </c>
      <c r="L56" t="n">
        <v>0.5071461502996616</v>
      </c>
      <c r="M56">
        <f>IF(OR(B56="NW",COUNT(Risk_Rank_Keys!B56)=0),0.5,(SUMPRODUCT(--ISNUMBER(Risk_Rank_Keys!$B$2:$B$800),--(Risk_Rank_Keys!$B$2:$B$800&lt;Risk_Rank_Keys!B56))+(SUMPRODUCT(--ISNUMBER(Risk_Rank_Keys!$B$2:$B$800),--(Risk_Rank_Keys!$B$2:$B$800=Risk_Rank_Keys!B56))+1)/2)/COUNT(Risk_Rank_Keys!$B$2:$B$800))</f>
        <v/>
      </c>
      <c r="N56">
        <f>IF(OR(B56="NW",COUNT(Risk_Rank_Keys!C56)=0),0.5,(SUMPRODUCT(--ISNUMBER(Risk_Rank_Keys!$C$2:$C$800),--(Risk_Rank_Keys!$C$2:$C$800&lt;Risk_Rank_Keys!C56))+(SUMPRODUCT(--ISNUMBER(Risk_Rank_Keys!$C$2:$C$800),--(Risk_Rank_Keys!$C$2:$C$800=Risk_Rank_Keys!C56))+1)/2)/COUNT(Risk_Rank_Keys!$C$2:$C$800))</f>
        <v/>
      </c>
      <c r="O56">
        <f>IF(OR(B56="NW",COUNT(Risk_Rank_Keys!D56)=0),0.5,(SUMPRODUCT(--ISNUMBER(Risk_Rank_Keys!$D$2:$D$800),--(Risk_Rank_Keys!$D$2:$D$800&lt;Risk_Rank_Keys!D56))+(SUMPRODUCT(--ISNUMBER(Risk_Rank_Keys!$D$2:$D$800),--(Risk_Rank_Keys!$D$2:$D$800=Risk_Rank_Keys!D56))+1)/2)/COUNT(Risk_Rank_Keys!$D$2:$D$800))</f>
        <v/>
      </c>
      <c r="P56">
        <f>AVERAGE(M56:O56)</f>
        <v/>
      </c>
      <c r="Q56">
        <f>0.4*H56+0.4*I56+0.2*P56</f>
        <v/>
      </c>
      <c r="R56">
        <f>PERCENTILE($Q$2:$Q$800,0.75)</f>
        <v/>
      </c>
      <c r="S56">
        <f>OR(Q56&gt;=R56,AND(B56="CW",COUNT(J56:L56)&lt;3))</f>
        <v/>
      </c>
      <c r="T56" t="n">
        <v>0.257283031043114</v>
      </c>
      <c r="U56" t="n">
        <v>9.127168799682488</v>
      </c>
      <c r="V56" t="n">
        <v>0.5666842967935861</v>
      </c>
      <c r="W56">
        <f>Q56-V56</f>
        <v/>
      </c>
    </row>
    <row r="57">
      <c r="A57" t="inlineStr">
        <is>
          <t>2021-04-05</t>
        </is>
      </c>
      <c r="B57" t="inlineStr">
        <is>
          <t>CW</t>
        </is>
      </c>
      <c r="C57" t="n">
        <v>-33.91412644035</v>
      </c>
      <c r="D57">
        <f>SUMPRODUCT(Risk_Inputs!B57:AJ57,Risk_Coefs!$B$2:$AJ$2)</f>
        <v/>
      </c>
      <c r="E57">
        <f>1/(1+EXP(-MAX(-25,MIN(25,D57))))</f>
        <v/>
      </c>
      <c r="F57">
        <f>SUMPRODUCT(Risk_Inputs!B57:AJ57,Risk_Coefs!$B$3:$AJ$3)</f>
        <v/>
      </c>
      <c r="G57">
        <f>MAX(0,F57)</f>
        <v/>
      </c>
      <c r="H57">
        <f>(SUMPRODUCT(--ISNUMBER($E$2:$E$800),--($E$2:$E$800&lt;E57))+(SUMPRODUCT(--ISNUMBER($E$2:$E$800),--($E$2:$E$800=E57))+1)/2)/COUNT($E$2:$E$800)</f>
        <v/>
      </c>
      <c r="I57">
        <f>(SUMPRODUCT(--ISNUMBER($G$2:$G$800),--($G$2:$G$800&lt;G57))+(SUMPRODUCT(--ISNUMBER($G$2:$G$800),--($G$2:$G$800=G57))+1)/2)/COUNT($G$2:$G$800)</f>
        <v/>
      </c>
      <c r="J57" t="n">
        <v>61.79784771847949</v>
      </c>
      <c r="K57" t="n">
        <v>14.21678442185077</v>
      </c>
      <c r="L57" t="n">
        <v>0.2412545235223121</v>
      </c>
      <c r="M57">
        <f>IF(OR(B57="NW",COUNT(Risk_Rank_Keys!B57)=0),0.5,(SUMPRODUCT(--ISNUMBER(Risk_Rank_Keys!$B$2:$B$800),--(Risk_Rank_Keys!$B$2:$B$800&lt;Risk_Rank_Keys!B57))+(SUMPRODUCT(--ISNUMBER(Risk_Rank_Keys!$B$2:$B$800),--(Risk_Rank_Keys!$B$2:$B$800=Risk_Rank_Keys!B57))+1)/2)/COUNT(Risk_Rank_Keys!$B$2:$B$800))</f>
        <v/>
      </c>
      <c r="N57">
        <f>IF(OR(B57="NW",COUNT(Risk_Rank_Keys!C57)=0),0.5,(SUMPRODUCT(--ISNUMBER(Risk_Rank_Keys!$C$2:$C$800),--(Risk_Rank_Keys!$C$2:$C$800&lt;Risk_Rank_Keys!C57))+(SUMPRODUCT(--ISNUMBER(Risk_Rank_Keys!$C$2:$C$800),--(Risk_Rank_Keys!$C$2:$C$800=Risk_Rank_Keys!C57))+1)/2)/COUNT(Risk_Rank_Keys!$C$2:$C$800))</f>
        <v/>
      </c>
      <c r="O57">
        <f>IF(OR(B57="NW",COUNT(Risk_Rank_Keys!D57)=0),0.5,(SUMPRODUCT(--ISNUMBER(Risk_Rank_Keys!$D$2:$D$800),--(Risk_Rank_Keys!$D$2:$D$800&lt;Risk_Rank_Keys!D57))+(SUMPRODUCT(--ISNUMBER(Risk_Rank_Keys!$D$2:$D$800),--(Risk_Rank_Keys!$D$2:$D$800=Risk_Rank_Keys!D57))+1)/2)/COUNT(Risk_Rank_Keys!$D$2:$D$800))</f>
        <v/>
      </c>
      <c r="P57">
        <f>AVERAGE(M57:O57)</f>
        <v/>
      </c>
      <c r="Q57">
        <f>0.4*H57+0.4*I57+0.2*P57</f>
        <v/>
      </c>
      <c r="R57">
        <f>PERCENTILE($Q$2:$Q$800,0.75)</f>
        <v/>
      </c>
      <c r="S57">
        <f>OR(Q57&gt;=R57,AND(B57="CW",COUNT(J57:L57)&lt;3))</f>
        <v/>
      </c>
      <c r="T57" t="n">
        <v>0.1808627167954635</v>
      </c>
      <c r="U57" t="n">
        <v>3.725551820952139</v>
      </c>
      <c r="V57" t="n">
        <v>0.2059405963637718</v>
      </c>
      <c r="W57">
        <f>Q57-V57</f>
        <v/>
      </c>
    </row>
    <row r="58">
      <c r="A58" t="inlineStr">
        <is>
          <t>2021-04-06</t>
        </is>
      </c>
      <c r="B58" t="inlineStr">
        <is>
          <t>CW</t>
        </is>
      </c>
      <c r="C58" t="n">
        <v>18.14973836034928</v>
      </c>
      <c r="D58">
        <f>SUMPRODUCT(Risk_Inputs!B58:AJ58,Risk_Coefs!$B$2:$AJ$2)</f>
        <v/>
      </c>
      <c r="E58">
        <f>1/(1+EXP(-MAX(-25,MIN(25,D58))))</f>
        <v/>
      </c>
      <c r="F58">
        <f>SUMPRODUCT(Risk_Inputs!B58:AJ58,Risk_Coefs!$B$3:$AJ$3)</f>
        <v/>
      </c>
      <c r="G58">
        <f>MAX(0,F58)</f>
        <v/>
      </c>
      <c r="H58">
        <f>(SUMPRODUCT(--ISNUMBER($E$2:$E$800),--($E$2:$E$800&lt;E58))+(SUMPRODUCT(--ISNUMBER($E$2:$E$800),--($E$2:$E$800=E58))+1)/2)/COUNT($E$2:$E$800)</f>
        <v/>
      </c>
      <c r="I58">
        <f>(SUMPRODUCT(--ISNUMBER($G$2:$G$800),--($G$2:$G$800&lt;G58))+(SUMPRODUCT(--ISNUMBER($G$2:$G$800),--($G$2:$G$800=G58))+1)/2)/COUNT($G$2:$G$800)</f>
        <v/>
      </c>
      <c r="J58" t="n">
        <v>18.18343393466169</v>
      </c>
      <c r="K58" t="n">
        <v>2.135922330097088</v>
      </c>
      <c r="L58" t="n">
        <v>0.446601941747575</v>
      </c>
      <c r="M58">
        <f>IF(OR(B58="NW",COUNT(Risk_Rank_Keys!B58)=0),0.5,(SUMPRODUCT(--ISNUMBER(Risk_Rank_Keys!$B$2:$B$800),--(Risk_Rank_Keys!$B$2:$B$800&lt;Risk_Rank_Keys!B58))+(SUMPRODUCT(--ISNUMBER(Risk_Rank_Keys!$B$2:$B$800),--(Risk_Rank_Keys!$B$2:$B$800=Risk_Rank_Keys!B58))+1)/2)/COUNT(Risk_Rank_Keys!$B$2:$B$800))</f>
        <v/>
      </c>
      <c r="N58">
        <f>IF(OR(B58="NW",COUNT(Risk_Rank_Keys!C58)=0),0.5,(SUMPRODUCT(--ISNUMBER(Risk_Rank_Keys!$C$2:$C$800),--(Risk_Rank_Keys!$C$2:$C$800&lt;Risk_Rank_Keys!C58))+(SUMPRODUCT(--ISNUMBER(Risk_Rank_Keys!$C$2:$C$800),--(Risk_Rank_Keys!$C$2:$C$800=Risk_Rank_Keys!C58))+1)/2)/COUNT(Risk_Rank_Keys!$C$2:$C$800))</f>
        <v/>
      </c>
      <c r="O58">
        <f>IF(OR(B58="NW",COUNT(Risk_Rank_Keys!D58)=0),0.5,(SUMPRODUCT(--ISNUMBER(Risk_Rank_Keys!$D$2:$D$800),--(Risk_Rank_Keys!$D$2:$D$800&lt;Risk_Rank_Keys!D58))+(SUMPRODUCT(--ISNUMBER(Risk_Rank_Keys!$D$2:$D$800),--(Risk_Rank_Keys!$D$2:$D$800=Risk_Rank_Keys!D58))+1)/2)/COUNT(Risk_Rank_Keys!$D$2:$D$800))</f>
        <v/>
      </c>
      <c r="P58">
        <f>AVERAGE(M58:O58)</f>
        <v/>
      </c>
      <c r="Q58">
        <f>0.4*H58+0.4*I58+0.2*P58</f>
        <v/>
      </c>
      <c r="R58">
        <f>PERCENTILE($Q$2:$Q$800,0.75)</f>
        <v/>
      </c>
      <c r="S58">
        <f>OR(Q58&gt;=R58,AND(B58="CW",COUNT(J58:L58)&lt;3))</f>
        <v/>
      </c>
      <c r="T58" t="n">
        <v>0.2531182251230261</v>
      </c>
      <c r="U58" t="n">
        <v>6.07643697197774</v>
      </c>
      <c r="V58" t="n">
        <v>0.3571845094606287</v>
      </c>
      <c r="W58">
        <f>Q58-V58</f>
        <v/>
      </c>
    </row>
    <row r="59">
      <c r="A59" t="inlineStr">
        <is>
          <t>2021-04-07</t>
        </is>
      </c>
      <c r="B59" t="inlineStr">
        <is>
          <t>CW</t>
        </is>
      </c>
      <c r="C59" t="n">
        <v>63.23625100705834</v>
      </c>
      <c r="D59">
        <f>SUMPRODUCT(Risk_Inputs!B59:AJ59,Risk_Coefs!$B$2:$AJ$2)</f>
        <v/>
      </c>
      <c r="E59">
        <f>1/(1+EXP(-MAX(-25,MIN(25,D59))))</f>
        <v/>
      </c>
      <c r="F59">
        <f>SUMPRODUCT(Risk_Inputs!B59:AJ59,Risk_Coefs!$B$3:$AJ$3)</f>
        <v/>
      </c>
      <c r="G59">
        <f>MAX(0,F59)</f>
        <v/>
      </c>
      <c r="H59">
        <f>(SUMPRODUCT(--ISNUMBER($E$2:$E$800),--($E$2:$E$800&lt;E59))+(SUMPRODUCT(--ISNUMBER($E$2:$E$800),--($E$2:$E$800=E59))+1)/2)/COUNT($E$2:$E$800)</f>
        <v/>
      </c>
      <c r="I59">
        <f>(SUMPRODUCT(--ISNUMBER($G$2:$G$800),--($G$2:$G$800&lt;G59))+(SUMPRODUCT(--ISNUMBER($G$2:$G$800),--($G$2:$G$800=G59))+1)/2)/COUNT($G$2:$G$800)</f>
        <v/>
      </c>
      <c r="J59" t="n">
        <v>45.60304927851892</v>
      </c>
      <c r="K59" t="n">
        <v>9.093090211132433</v>
      </c>
      <c r="L59" t="n">
        <v>0.8877159309021153</v>
      </c>
      <c r="M59">
        <f>IF(OR(B59="NW",COUNT(Risk_Rank_Keys!B59)=0),0.5,(SUMPRODUCT(--ISNUMBER(Risk_Rank_Keys!$B$2:$B$800),--(Risk_Rank_Keys!$B$2:$B$800&lt;Risk_Rank_Keys!B59))+(SUMPRODUCT(--ISNUMBER(Risk_Rank_Keys!$B$2:$B$800),--(Risk_Rank_Keys!$B$2:$B$800=Risk_Rank_Keys!B59))+1)/2)/COUNT(Risk_Rank_Keys!$B$2:$B$800))</f>
        <v/>
      </c>
      <c r="N59">
        <f>IF(OR(B59="NW",COUNT(Risk_Rank_Keys!C59)=0),0.5,(SUMPRODUCT(--ISNUMBER(Risk_Rank_Keys!$C$2:$C$800),--(Risk_Rank_Keys!$C$2:$C$800&lt;Risk_Rank_Keys!C59))+(SUMPRODUCT(--ISNUMBER(Risk_Rank_Keys!$C$2:$C$800),--(Risk_Rank_Keys!$C$2:$C$800=Risk_Rank_Keys!C59))+1)/2)/COUNT(Risk_Rank_Keys!$C$2:$C$800))</f>
        <v/>
      </c>
      <c r="O59">
        <f>IF(OR(B59="NW",COUNT(Risk_Rank_Keys!D59)=0),0.5,(SUMPRODUCT(--ISNUMBER(Risk_Rank_Keys!$D$2:$D$800),--(Risk_Rank_Keys!$D$2:$D$800&lt;Risk_Rank_Keys!D59))+(SUMPRODUCT(--ISNUMBER(Risk_Rank_Keys!$D$2:$D$800),--(Risk_Rank_Keys!$D$2:$D$800=Risk_Rank_Keys!D59))+1)/2)/COUNT(Risk_Rank_Keys!$D$2:$D$800))</f>
        <v/>
      </c>
      <c r="P59">
        <f>AVERAGE(M59:O59)</f>
        <v/>
      </c>
      <c r="Q59">
        <f>0.4*H59+0.4*I59+0.2*P59</f>
        <v/>
      </c>
      <c r="R59">
        <f>PERCENTILE($Q$2:$Q$800,0.75)</f>
        <v/>
      </c>
      <c r="S59">
        <f>OR(Q59&gt;=R59,AND(B59="CW",COUNT(J59:L59)&lt;3))</f>
        <v/>
      </c>
      <c r="T59" t="n">
        <v>0.1714705193374949</v>
      </c>
      <c r="U59" t="n">
        <v>6.292622983931005</v>
      </c>
      <c r="V59" t="n">
        <v>0.3298113809160568</v>
      </c>
      <c r="W59">
        <f>Q59-V59</f>
        <v/>
      </c>
    </row>
    <row r="60">
      <c r="A60" t="inlineStr">
        <is>
          <t>2021-04-08</t>
        </is>
      </c>
      <c r="B60" t="inlineStr">
        <is>
          <t>CW</t>
        </is>
      </c>
      <c r="C60" t="n">
        <v>12.37410282778888</v>
      </c>
      <c r="D60">
        <f>SUMPRODUCT(Risk_Inputs!B60:AJ60,Risk_Coefs!$B$2:$AJ$2)</f>
        <v/>
      </c>
      <c r="E60">
        <f>1/(1+EXP(-MAX(-25,MIN(25,D60))))</f>
        <v/>
      </c>
      <c r="F60">
        <f>SUMPRODUCT(Risk_Inputs!B60:AJ60,Risk_Coefs!$B$3:$AJ$3)</f>
        <v/>
      </c>
      <c r="G60">
        <f>MAX(0,F60)</f>
        <v/>
      </c>
      <c r="H60">
        <f>(SUMPRODUCT(--ISNUMBER($E$2:$E$800),--($E$2:$E$800&lt;E60))+(SUMPRODUCT(--ISNUMBER($E$2:$E$800),--($E$2:$E$800=E60))+1)/2)/COUNT($E$2:$E$800)</f>
        <v/>
      </c>
      <c r="I60">
        <f>(SUMPRODUCT(--ISNUMBER($G$2:$G$800),--($G$2:$G$800&lt;G60))+(SUMPRODUCT(--ISNUMBER($G$2:$G$800),--($G$2:$G$800=G60))+1)/2)/COUNT($G$2:$G$800)</f>
        <v/>
      </c>
      <c r="J60" t="n">
        <v>42.89180726207395</v>
      </c>
      <c r="K60" t="n">
        <v>7.949200376293499</v>
      </c>
      <c r="L60" t="n">
        <v>0.5644402634054509</v>
      </c>
      <c r="M60">
        <f>IF(OR(B60="NW",COUNT(Risk_Rank_Keys!B60)=0),0.5,(SUMPRODUCT(--ISNUMBER(Risk_Rank_Keys!$B$2:$B$800),--(Risk_Rank_Keys!$B$2:$B$800&lt;Risk_Rank_Keys!B60))+(SUMPRODUCT(--ISNUMBER(Risk_Rank_Keys!$B$2:$B$800),--(Risk_Rank_Keys!$B$2:$B$800=Risk_Rank_Keys!B60))+1)/2)/COUNT(Risk_Rank_Keys!$B$2:$B$800))</f>
        <v/>
      </c>
      <c r="N60">
        <f>IF(OR(B60="NW",COUNT(Risk_Rank_Keys!C60)=0),0.5,(SUMPRODUCT(--ISNUMBER(Risk_Rank_Keys!$C$2:$C$800),--(Risk_Rank_Keys!$C$2:$C$800&lt;Risk_Rank_Keys!C60))+(SUMPRODUCT(--ISNUMBER(Risk_Rank_Keys!$C$2:$C$800),--(Risk_Rank_Keys!$C$2:$C$800=Risk_Rank_Keys!C60))+1)/2)/COUNT(Risk_Rank_Keys!$C$2:$C$800))</f>
        <v/>
      </c>
      <c r="O60">
        <f>IF(OR(B60="NW",COUNT(Risk_Rank_Keys!D60)=0),0.5,(SUMPRODUCT(--ISNUMBER(Risk_Rank_Keys!$D$2:$D$800),--(Risk_Rank_Keys!$D$2:$D$800&lt;Risk_Rank_Keys!D60))+(SUMPRODUCT(--ISNUMBER(Risk_Rank_Keys!$D$2:$D$800),--(Risk_Rank_Keys!$D$2:$D$800=Risk_Rank_Keys!D60))+1)/2)/COUNT(Risk_Rank_Keys!$D$2:$D$800))</f>
        <v/>
      </c>
      <c r="P60">
        <f>AVERAGE(M60:O60)</f>
        <v/>
      </c>
      <c r="Q60">
        <f>0.4*H60+0.4*I60+0.2*P60</f>
        <v/>
      </c>
      <c r="R60">
        <f>PERCENTILE($Q$2:$Q$800,0.75)</f>
        <v/>
      </c>
      <c r="S60">
        <f>OR(Q60&gt;=R60,AND(B60="CW",COUNT(J60:L60)&lt;3))</f>
        <v/>
      </c>
      <c r="T60" t="n">
        <v>0.1945107336274679</v>
      </c>
      <c r="U60" t="n">
        <v>8.262173801002046</v>
      </c>
      <c r="V60" t="n">
        <v>0.4506907460452949</v>
      </c>
      <c r="W60">
        <f>Q60-V60</f>
        <v/>
      </c>
    </row>
    <row r="61">
      <c r="A61" t="inlineStr">
        <is>
          <t>2021-04-09</t>
        </is>
      </c>
      <c r="B61" t="inlineStr">
        <is>
          <t>CW</t>
        </is>
      </c>
      <c r="C61" t="n">
        <v>40.25598289717514</v>
      </c>
      <c r="D61">
        <f>SUMPRODUCT(Risk_Inputs!B61:AJ61,Risk_Coefs!$B$2:$AJ$2)</f>
        <v/>
      </c>
      <c r="E61">
        <f>1/(1+EXP(-MAX(-25,MIN(25,D61))))</f>
        <v/>
      </c>
      <c r="F61">
        <f>SUMPRODUCT(Risk_Inputs!B61:AJ61,Risk_Coefs!$B$3:$AJ$3)</f>
        <v/>
      </c>
      <c r="G61">
        <f>MAX(0,F61)</f>
        <v/>
      </c>
      <c r="H61">
        <f>(SUMPRODUCT(--ISNUMBER($E$2:$E$800),--($E$2:$E$800&lt;E61))+(SUMPRODUCT(--ISNUMBER($E$2:$E$800),--($E$2:$E$800=E61))+1)/2)/COUNT($E$2:$E$800)</f>
        <v/>
      </c>
      <c r="I61">
        <f>(SUMPRODUCT(--ISNUMBER($G$2:$G$800),--($G$2:$G$800&lt;G61))+(SUMPRODUCT(--ISNUMBER($G$2:$G$800),--($G$2:$G$800=G61))+1)/2)/COUNT($G$2:$G$800)</f>
        <v/>
      </c>
      <c r="J61" t="n">
        <v>35.04156759582396</v>
      </c>
      <c r="K61" t="n">
        <v>4.997016706443914</v>
      </c>
      <c r="L61" t="n">
        <v>0.5220763723150358</v>
      </c>
      <c r="M61">
        <f>IF(OR(B61="NW",COUNT(Risk_Rank_Keys!B61)=0),0.5,(SUMPRODUCT(--ISNUMBER(Risk_Rank_Keys!$B$2:$B$800),--(Risk_Rank_Keys!$B$2:$B$800&lt;Risk_Rank_Keys!B61))+(SUMPRODUCT(--ISNUMBER(Risk_Rank_Keys!$B$2:$B$800),--(Risk_Rank_Keys!$B$2:$B$800=Risk_Rank_Keys!B61))+1)/2)/COUNT(Risk_Rank_Keys!$B$2:$B$800))</f>
        <v/>
      </c>
      <c r="N61">
        <f>IF(OR(B61="NW",COUNT(Risk_Rank_Keys!C61)=0),0.5,(SUMPRODUCT(--ISNUMBER(Risk_Rank_Keys!$C$2:$C$800),--(Risk_Rank_Keys!$C$2:$C$800&lt;Risk_Rank_Keys!C61))+(SUMPRODUCT(--ISNUMBER(Risk_Rank_Keys!$C$2:$C$800),--(Risk_Rank_Keys!$C$2:$C$800=Risk_Rank_Keys!C61))+1)/2)/COUNT(Risk_Rank_Keys!$C$2:$C$800))</f>
        <v/>
      </c>
      <c r="O61">
        <f>IF(OR(B61="NW",COUNT(Risk_Rank_Keys!D61)=0),0.5,(SUMPRODUCT(--ISNUMBER(Risk_Rank_Keys!$D$2:$D$800),--(Risk_Rank_Keys!$D$2:$D$800&lt;Risk_Rank_Keys!D61))+(SUMPRODUCT(--ISNUMBER(Risk_Rank_Keys!$D$2:$D$800),--(Risk_Rank_Keys!$D$2:$D$800=Risk_Rank_Keys!D61))+1)/2)/COUNT(Risk_Rank_Keys!$D$2:$D$800))</f>
        <v/>
      </c>
      <c r="P61">
        <f>AVERAGE(M61:O61)</f>
        <v/>
      </c>
      <c r="Q61">
        <f>0.4*H61+0.4*I61+0.2*P61</f>
        <v/>
      </c>
      <c r="R61">
        <f>PERCENTILE($Q$2:$Q$800,0.75)</f>
        <v/>
      </c>
      <c r="S61">
        <f>OR(Q61&gt;=R61,AND(B61="CW",COUNT(J61:L61)&lt;3))</f>
        <v/>
      </c>
      <c r="T61" t="n">
        <v>0.1743349101982634</v>
      </c>
      <c r="U61" t="n">
        <v>6.242566939487585</v>
      </c>
      <c r="V61" t="n">
        <v>0.3119092961971874</v>
      </c>
      <c r="W61">
        <f>Q61-V61</f>
        <v/>
      </c>
    </row>
    <row r="62">
      <c r="A62" t="inlineStr">
        <is>
          <t>2021-04-12</t>
        </is>
      </c>
      <c r="B62" t="inlineStr">
        <is>
          <t>CW</t>
        </is>
      </c>
      <c r="C62" t="n">
        <v>-31.26908144971185</v>
      </c>
      <c r="D62">
        <f>SUMPRODUCT(Risk_Inputs!B62:AJ62,Risk_Coefs!$B$2:$AJ$2)</f>
        <v/>
      </c>
      <c r="E62">
        <f>1/(1+EXP(-MAX(-25,MIN(25,D62))))</f>
        <v/>
      </c>
      <c r="F62">
        <f>SUMPRODUCT(Risk_Inputs!B62:AJ62,Risk_Coefs!$B$3:$AJ$3)</f>
        <v/>
      </c>
      <c r="G62">
        <f>MAX(0,F62)</f>
        <v/>
      </c>
      <c r="H62">
        <f>(SUMPRODUCT(--ISNUMBER($E$2:$E$800),--($E$2:$E$800&lt;E62))+(SUMPRODUCT(--ISNUMBER($E$2:$E$800),--($E$2:$E$800=E62))+1)/2)/COUNT($E$2:$E$800)</f>
        <v/>
      </c>
      <c r="I62">
        <f>(SUMPRODUCT(--ISNUMBER($G$2:$G$800),--($G$2:$G$800&lt;G62))+(SUMPRODUCT(--ISNUMBER($G$2:$G$800),--($G$2:$G$800=G62))+1)/2)/COUNT($G$2:$G$800)</f>
        <v/>
      </c>
      <c r="J62" t="n">
        <v>3.461381605326602</v>
      </c>
      <c r="K62" t="n">
        <v>3.392568659127621</v>
      </c>
      <c r="L62" t="n">
        <v>0.2692514808831448</v>
      </c>
      <c r="M62">
        <f>IF(OR(B62="NW",COUNT(Risk_Rank_Keys!B62)=0),0.5,(SUMPRODUCT(--ISNUMBER(Risk_Rank_Keys!$B$2:$B$800),--(Risk_Rank_Keys!$B$2:$B$800&lt;Risk_Rank_Keys!B62))+(SUMPRODUCT(--ISNUMBER(Risk_Rank_Keys!$B$2:$B$800),--(Risk_Rank_Keys!$B$2:$B$800=Risk_Rank_Keys!B62))+1)/2)/COUNT(Risk_Rank_Keys!$B$2:$B$800))</f>
        <v/>
      </c>
      <c r="N62">
        <f>IF(OR(B62="NW",COUNT(Risk_Rank_Keys!C62)=0),0.5,(SUMPRODUCT(--ISNUMBER(Risk_Rank_Keys!$C$2:$C$800),--(Risk_Rank_Keys!$C$2:$C$800&lt;Risk_Rank_Keys!C62))+(SUMPRODUCT(--ISNUMBER(Risk_Rank_Keys!$C$2:$C$800),--(Risk_Rank_Keys!$C$2:$C$800=Risk_Rank_Keys!C62))+1)/2)/COUNT(Risk_Rank_Keys!$C$2:$C$800))</f>
        <v/>
      </c>
      <c r="O62">
        <f>IF(OR(B62="NW",COUNT(Risk_Rank_Keys!D62)=0),0.5,(SUMPRODUCT(--ISNUMBER(Risk_Rank_Keys!$D$2:$D$800),--(Risk_Rank_Keys!$D$2:$D$800&lt;Risk_Rank_Keys!D62))+(SUMPRODUCT(--ISNUMBER(Risk_Rank_Keys!$D$2:$D$800),--(Risk_Rank_Keys!$D$2:$D$800=Risk_Rank_Keys!D62))+1)/2)/COUNT(Risk_Rank_Keys!$D$2:$D$800))</f>
        <v/>
      </c>
      <c r="P62">
        <f>AVERAGE(M62:O62)</f>
        <v/>
      </c>
      <c r="Q62">
        <f>0.4*H62+0.4*I62+0.2*P62</f>
        <v/>
      </c>
      <c r="R62">
        <f>PERCENTILE($Q$2:$Q$800,0.75)</f>
        <v/>
      </c>
      <c r="S62">
        <f>OR(Q62&gt;=R62,AND(B62="CW",COUNT(J62:L62)&lt;3))</f>
        <v/>
      </c>
      <c r="T62" t="n">
        <v>0.3308157473532721</v>
      </c>
      <c r="U62" t="n">
        <v>6.197827523978056</v>
      </c>
      <c r="V62" t="n">
        <v>0.4954680100474268</v>
      </c>
      <c r="W62">
        <f>Q62-V62</f>
        <v/>
      </c>
    </row>
    <row r="63">
      <c r="A63" t="inlineStr">
        <is>
          <t>2021-04-15</t>
        </is>
      </c>
      <c r="B63" t="inlineStr">
        <is>
          <t>CW</t>
        </is>
      </c>
      <c r="C63" t="n">
        <v>53.04545949748105</v>
      </c>
      <c r="D63">
        <f>SUMPRODUCT(Risk_Inputs!B63:AJ63,Risk_Coefs!$B$2:$AJ$2)</f>
        <v/>
      </c>
      <c r="E63">
        <f>1/(1+EXP(-MAX(-25,MIN(25,D63))))</f>
        <v/>
      </c>
      <c r="F63">
        <f>SUMPRODUCT(Risk_Inputs!B63:AJ63,Risk_Coefs!$B$3:$AJ$3)</f>
        <v/>
      </c>
      <c r="G63">
        <f>MAX(0,F63)</f>
        <v/>
      </c>
      <c r="H63">
        <f>(SUMPRODUCT(--ISNUMBER($E$2:$E$800),--($E$2:$E$800&lt;E63))+(SUMPRODUCT(--ISNUMBER($E$2:$E$800),--($E$2:$E$800=E63))+1)/2)/COUNT($E$2:$E$800)</f>
        <v/>
      </c>
      <c r="I63">
        <f>(SUMPRODUCT(--ISNUMBER($G$2:$G$800),--($G$2:$G$800&lt;G63))+(SUMPRODUCT(--ISNUMBER($G$2:$G$800),--($G$2:$G$800=G63))+1)/2)/COUNT($G$2:$G$800)</f>
        <v/>
      </c>
      <c r="J63" t="n">
        <v>25.70047576886058</v>
      </c>
      <c r="K63" t="n">
        <v>26.57672849915681</v>
      </c>
      <c r="L63" t="n">
        <v>0.4384485666104591</v>
      </c>
      <c r="M63">
        <f>IF(OR(B63="NW",COUNT(Risk_Rank_Keys!B63)=0),0.5,(SUMPRODUCT(--ISNUMBER(Risk_Rank_Keys!$B$2:$B$800),--(Risk_Rank_Keys!$B$2:$B$800&lt;Risk_Rank_Keys!B63))+(SUMPRODUCT(--ISNUMBER(Risk_Rank_Keys!$B$2:$B$800),--(Risk_Rank_Keys!$B$2:$B$800=Risk_Rank_Keys!B63))+1)/2)/COUNT(Risk_Rank_Keys!$B$2:$B$800))</f>
        <v/>
      </c>
      <c r="N63">
        <f>IF(OR(B63="NW",COUNT(Risk_Rank_Keys!C63)=0),0.5,(SUMPRODUCT(--ISNUMBER(Risk_Rank_Keys!$C$2:$C$800),--(Risk_Rank_Keys!$C$2:$C$800&lt;Risk_Rank_Keys!C63))+(SUMPRODUCT(--ISNUMBER(Risk_Rank_Keys!$C$2:$C$800),--(Risk_Rank_Keys!$C$2:$C$800=Risk_Rank_Keys!C63))+1)/2)/COUNT(Risk_Rank_Keys!$C$2:$C$800))</f>
        <v/>
      </c>
      <c r="O63">
        <f>IF(OR(B63="NW",COUNT(Risk_Rank_Keys!D63)=0),0.5,(SUMPRODUCT(--ISNUMBER(Risk_Rank_Keys!$D$2:$D$800),--(Risk_Rank_Keys!$D$2:$D$800&lt;Risk_Rank_Keys!D63))+(SUMPRODUCT(--ISNUMBER(Risk_Rank_Keys!$D$2:$D$800),--(Risk_Rank_Keys!$D$2:$D$800=Risk_Rank_Keys!D63))+1)/2)/COUNT(Risk_Rank_Keys!$D$2:$D$800))</f>
        <v/>
      </c>
      <c r="P63">
        <f>AVERAGE(M63:O63)</f>
        <v/>
      </c>
      <c r="Q63">
        <f>0.4*H63+0.4*I63+0.2*P63</f>
        <v/>
      </c>
      <c r="R63">
        <f>PERCENTILE($Q$2:$Q$800,0.75)</f>
        <v/>
      </c>
      <c r="S63">
        <f>OR(Q63&gt;=R63,AND(B63="CW",COUNT(J63:L63)&lt;3))</f>
        <v/>
      </c>
      <c r="T63" t="n">
        <v>0.1977243263776141</v>
      </c>
      <c r="U63" t="n">
        <v>6.339160661020887</v>
      </c>
      <c r="V63" t="n">
        <v>0.3514381354191577</v>
      </c>
      <c r="W63">
        <f>Q63-V63</f>
        <v/>
      </c>
    </row>
    <row r="64">
      <c r="A64" t="inlineStr">
        <is>
          <t>2021-04-16</t>
        </is>
      </c>
      <c r="B64" t="inlineStr">
        <is>
          <t>CW</t>
        </is>
      </c>
      <c r="C64" t="n">
        <v>39.720532399371</v>
      </c>
      <c r="D64">
        <f>SUMPRODUCT(Risk_Inputs!B64:AJ64,Risk_Coefs!$B$2:$AJ$2)</f>
        <v/>
      </c>
      <c r="E64">
        <f>1/(1+EXP(-MAX(-25,MIN(25,D64))))</f>
        <v/>
      </c>
      <c r="F64">
        <f>SUMPRODUCT(Risk_Inputs!B64:AJ64,Risk_Coefs!$B$3:$AJ$3)</f>
        <v/>
      </c>
      <c r="G64">
        <f>MAX(0,F64)</f>
        <v/>
      </c>
      <c r="H64">
        <f>(SUMPRODUCT(--ISNUMBER($E$2:$E$800),--($E$2:$E$800&lt;E64))+(SUMPRODUCT(--ISNUMBER($E$2:$E$800),--($E$2:$E$800=E64))+1)/2)/COUNT($E$2:$E$800)</f>
        <v/>
      </c>
      <c r="I64">
        <f>(SUMPRODUCT(--ISNUMBER($G$2:$G$800),--($G$2:$G$800&lt;G64))+(SUMPRODUCT(--ISNUMBER($G$2:$G$800),--($G$2:$G$800=G64))+1)/2)/COUNT($G$2:$G$800)</f>
        <v/>
      </c>
      <c r="J64" t="n">
        <v>43.26901698950255</v>
      </c>
      <c r="K64" t="n">
        <v>3.605580812039504</v>
      </c>
      <c r="L64" t="n">
        <v>0.4232638344568096</v>
      </c>
      <c r="M64">
        <f>IF(OR(B64="NW",COUNT(Risk_Rank_Keys!B64)=0),0.5,(SUMPRODUCT(--ISNUMBER(Risk_Rank_Keys!$B$2:$B$800),--(Risk_Rank_Keys!$B$2:$B$800&lt;Risk_Rank_Keys!B64))+(SUMPRODUCT(--ISNUMBER(Risk_Rank_Keys!$B$2:$B$800),--(Risk_Rank_Keys!$B$2:$B$800=Risk_Rank_Keys!B64))+1)/2)/COUNT(Risk_Rank_Keys!$B$2:$B$800))</f>
        <v/>
      </c>
      <c r="N64">
        <f>IF(OR(B64="NW",COUNT(Risk_Rank_Keys!C64)=0),0.5,(SUMPRODUCT(--ISNUMBER(Risk_Rank_Keys!$C$2:$C$800),--(Risk_Rank_Keys!$C$2:$C$800&lt;Risk_Rank_Keys!C64))+(SUMPRODUCT(--ISNUMBER(Risk_Rank_Keys!$C$2:$C$800),--(Risk_Rank_Keys!$C$2:$C$800=Risk_Rank_Keys!C64))+1)/2)/COUNT(Risk_Rank_Keys!$C$2:$C$800))</f>
        <v/>
      </c>
      <c r="O64">
        <f>IF(OR(B64="NW",COUNT(Risk_Rank_Keys!D64)=0),0.5,(SUMPRODUCT(--ISNUMBER(Risk_Rank_Keys!$D$2:$D$800),--(Risk_Rank_Keys!$D$2:$D$800&lt;Risk_Rank_Keys!D64))+(SUMPRODUCT(--ISNUMBER(Risk_Rank_Keys!$D$2:$D$800),--(Risk_Rank_Keys!$D$2:$D$800=Risk_Rank_Keys!D64))+1)/2)/COUNT(Risk_Rank_Keys!$D$2:$D$800))</f>
        <v/>
      </c>
      <c r="P64">
        <f>AVERAGE(M64:O64)</f>
        <v/>
      </c>
      <c r="Q64">
        <f>0.4*H64+0.4*I64+0.2*P64</f>
        <v/>
      </c>
      <c r="R64">
        <f>PERCENTILE($Q$2:$Q$800,0.75)</f>
        <v/>
      </c>
      <c r="S64">
        <f>OR(Q64&gt;=R64,AND(B64="CW",COUNT(J64:L64)&lt;3))</f>
        <v/>
      </c>
      <c r="T64" t="n">
        <v>0.1845782661754249</v>
      </c>
      <c r="U64" t="n">
        <v>7.42773600724032</v>
      </c>
      <c r="V64" t="n">
        <v>0.3762532081885248</v>
      </c>
      <c r="W64">
        <f>Q64-V64</f>
        <v/>
      </c>
    </row>
    <row r="65">
      <c r="A65" t="inlineStr">
        <is>
          <t>2021-04-19</t>
        </is>
      </c>
      <c r="B65" t="inlineStr">
        <is>
          <t>CW</t>
        </is>
      </c>
      <c r="C65" t="n">
        <v>58.9782833223342</v>
      </c>
      <c r="D65">
        <f>SUMPRODUCT(Risk_Inputs!B65:AJ65,Risk_Coefs!$B$2:$AJ$2)</f>
        <v/>
      </c>
      <c r="E65">
        <f>1/(1+EXP(-MAX(-25,MIN(25,D65))))</f>
        <v/>
      </c>
      <c r="F65">
        <f>SUMPRODUCT(Risk_Inputs!B65:AJ65,Risk_Coefs!$B$3:$AJ$3)</f>
        <v/>
      </c>
      <c r="G65">
        <f>MAX(0,F65)</f>
        <v/>
      </c>
      <c r="H65">
        <f>(SUMPRODUCT(--ISNUMBER($E$2:$E$800),--($E$2:$E$800&lt;E65))+(SUMPRODUCT(--ISNUMBER($E$2:$E$800),--($E$2:$E$800=E65))+1)/2)/COUNT($E$2:$E$800)</f>
        <v/>
      </c>
      <c r="I65">
        <f>(SUMPRODUCT(--ISNUMBER($G$2:$G$800),--($G$2:$G$800&lt;G65))+(SUMPRODUCT(--ISNUMBER($G$2:$G$800),--($G$2:$G$800=G65))+1)/2)/COUNT($G$2:$G$800)</f>
        <v/>
      </c>
      <c r="J65" t="n">
        <v>37.32488697884563</v>
      </c>
      <c r="K65" t="n">
        <v>9.149223497636738</v>
      </c>
      <c r="L65" t="n">
        <v>0.8946657663740732</v>
      </c>
      <c r="M65">
        <f>IF(OR(B65="NW",COUNT(Risk_Rank_Keys!B65)=0),0.5,(SUMPRODUCT(--ISNUMBER(Risk_Rank_Keys!$B$2:$B$800),--(Risk_Rank_Keys!$B$2:$B$800&lt;Risk_Rank_Keys!B65))+(SUMPRODUCT(--ISNUMBER(Risk_Rank_Keys!$B$2:$B$800),--(Risk_Rank_Keys!$B$2:$B$800=Risk_Rank_Keys!B65))+1)/2)/COUNT(Risk_Rank_Keys!$B$2:$B$800))</f>
        <v/>
      </c>
      <c r="N65">
        <f>IF(OR(B65="NW",COUNT(Risk_Rank_Keys!C65)=0),0.5,(SUMPRODUCT(--ISNUMBER(Risk_Rank_Keys!$C$2:$C$800),--(Risk_Rank_Keys!$C$2:$C$800&lt;Risk_Rank_Keys!C65))+(SUMPRODUCT(--ISNUMBER(Risk_Rank_Keys!$C$2:$C$800),--(Risk_Rank_Keys!$C$2:$C$800=Risk_Rank_Keys!C65))+1)/2)/COUNT(Risk_Rank_Keys!$C$2:$C$800))</f>
        <v/>
      </c>
      <c r="O65">
        <f>IF(OR(B65="NW",COUNT(Risk_Rank_Keys!D65)=0),0.5,(SUMPRODUCT(--ISNUMBER(Risk_Rank_Keys!$D$2:$D$800),--(Risk_Rank_Keys!$D$2:$D$800&lt;Risk_Rank_Keys!D65))+(SUMPRODUCT(--ISNUMBER(Risk_Rank_Keys!$D$2:$D$800),--(Risk_Rank_Keys!$D$2:$D$800=Risk_Rank_Keys!D65))+1)/2)/COUNT(Risk_Rank_Keys!$D$2:$D$800))</f>
        <v/>
      </c>
      <c r="P65">
        <f>AVERAGE(M65:O65)</f>
        <v/>
      </c>
      <c r="Q65">
        <f>0.4*H65+0.4*I65+0.2*P65</f>
        <v/>
      </c>
      <c r="R65">
        <f>PERCENTILE($Q$2:$Q$800,0.75)</f>
        <v/>
      </c>
      <c r="S65">
        <f>OR(Q65&gt;=R65,AND(B65="CW",COUNT(J65:L65)&lt;3))</f>
        <v/>
      </c>
      <c r="T65" t="n">
        <v>0.1776005195351607</v>
      </c>
      <c r="U65" t="n">
        <v>2.518385161018816</v>
      </c>
      <c r="V65" t="n">
        <v>0.2170917971034226</v>
      </c>
      <c r="W65">
        <f>Q65-V65</f>
        <v/>
      </c>
    </row>
    <row r="66">
      <c r="A66" t="inlineStr">
        <is>
          <t>2021-04-22</t>
        </is>
      </c>
      <c r="B66" t="inlineStr">
        <is>
          <t>CW</t>
        </is>
      </c>
      <c r="C66" t="n">
        <v>-8.272505688925667</v>
      </c>
      <c r="D66">
        <f>SUMPRODUCT(Risk_Inputs!B66:AJ66,Risk_Coefs!$B$2:$AJ$2)</f>
        <v/>
      </c>
      <c r="E66">
        <f>1/(1+EXP(-MAX(-25,MIN(25,D66))))</f>
        <v/>
      </c>
      <c r="F66">
        <f>SUMPRODUCT(Risk_Inputs!B66:AJ66,Risk_Coefs!$B$3:$AJ$3)</f>
        <v/>
      </c>
      <c r="G66">
        <f>MAX(0,F66)</f>
        <v/>
      </c>
      <c r="H66">
        <f>(SUMPRODUCT(--ISNUMBER($E$2:$E$800),--($E$2:$E$800&lt;E66))+(SUMPRODUCT(--ISNUMBER($E$2:$E$800),--($E$2:$E$800=E66))+1)/2)/COUNT($E$2:$E$800)</f>
        <v/>
      </c>
      <c r="I66">
        <f>(SUMPRODUCT(--ISNUMBER($G$2:$G$800),--($G$2:$G$800&lt;G66))+(SUMPRODUCT(--ISNUMBER($G$2:$G$800),--($G$2:$G$800=G66))+1)/2)/COUNT($G$2:$G$800)</f>
        <v/>
      </c>
      <c r="J66" t="n">
        <v>31.42355778227487</v>
      </c>
      <c r="K66" t="n">
        <v>15.84589614740371</v>
      </c>
      <c r="L66" t="n">
        <v>0.7370184254606232</v>
      </c>
      <c r="M66">
        <f>IF(OR(B66="NW",COUNT(Risk_Rank_Keys!B66)=0),0.5,(SUMPRODUCT(--ISNUMBER(Risk_Rank_Keys!$B$2:$B$800),--(Risk_Rank_Keys!$B$2:$B$800&lt;Risk_Rank_Keys!B66))+(SUMPRODUCT(--ISNUMBER(Risk_Rank_Keys!$B$2:$B$800),--(Risk_Rank_Keys!$B$2:$B$800=Risk_Rank_Keys!B66))+1)/2)/COUNT(Risk_Rank_Keys!$B$2:$B$800))</f>
        <v/>
      </c>
      <c r="N66">
        <f>IF(OR(B66="NW",COUNT(Risk_Rank_Keys!C66)=0),0.5,(SUMPRODUCT(--ISNUMBER(Risk_Rank_Keys!$C$2:$C$800),--(Risk_Rank_Keys!$C$2:$C$800&lt;Risk_Rank_Keys!C66))+(SUMPRODUCT(--ISNUMBER(Risk_Rank_Keys!$C$2:$C$800),--(Risk_Rank_Keys!$C$2:$C$800=Risk_Rank_Keys!C66))+1)/2)/COUNT(Risk_Rank_Keys!$C$2:$C$800))</f>
        <v/>
      </c>
      <c r="O66">
        <f>IF(OR(B66="NW",COUNT(Risk_Rank_Keys!D66)=0),0.5,(SUMPRODUCT(--ISNUMBER(Risk_Rank_Keys!$D$2:$D$800),--(Risk_Rank_Keys!$D$2:$D$800&lt;Risk_Rank_Keys!D66))+(SUMPRODUCT(--ISNUMBER(Risk_Rank_Keys!$D$2:$D$800),--(Risk_Rank_Keys!$D$2:$D$800=Risk_Rank_Keys!D66))+1)/2)/COUNT(Risk_Rank_Keys!$D$2:$D$800))</f>
        <v/>
      </c>
      <c r="P66">
        <f>AVERAGE(M66:O66)</f>
        <v/>
      </c>
      <c r="Q66">
        <f>0.4*H66+0.4*I66+0.2*P66</f>
        <v/>
      </c>
      <c r="R66">
        <f>PERCENTILE($Q$2:$Q$800,0.75)</f>
        <v/>
      </c>
      <c r="S66">
        <f>OR(Q66&gt;=R66,AND(B66="CW",COUNT(J66:L66)&lt;3))</f>
        <v/>
      </c>
      <c r="T66" t="n">
        <v>0.1759079641761617</v>
      </c>
      <c r="U66" t="n">
        <v>5.24947383155723</v>
      </c>
      <c r="V66" t="n">
        <v>0.27741743660282</v>
      </c>
      <c r="W66">
        <f>Q66-V66</f>
        <v/>
      </c>
    </row>
    <row r="67">
      <c r="A67" t="inlineStr">
        <is>
          <t>2021-04-23</t>
        </is>
      </c>
      <c r="B67" t="inlineStr">
        <is>
          <t>CW</t>
        </is>
      </c>
      <c r="C67" t="n">
        <v>47.72217250532616</v>
      </c>
      <c r="D67">
        <f>SUMPRODUCT(Risk_Inputs!B67:AJ67,Risk_Coefs!$B$2:$AJ$2)</f>
        <v/>
      </c>
      <c r="E67">
        <f>1/(1+EXP(-MAX(-25,MIN(25,D67))))</f>
        <v/>
      </c>
      <c r="F67">
        <f>SUMPRODUCT(Risk_Inputs!B67:AJ67,Risk_Coefs!$B$3:$AJ$3)</f>
        <v/>
      </c>
      <c r="G67">
        <f>MAX(0,F67)</f>
        <v/>
      </c>
      <c r="H67">
        <f>(SUMPRODUCT(--ISNUMBER($E$2:$E$800),--($E$2:$E$800&lt;E67))+(SUMPRODUCT(--ISNUMBER($E$2:$E$800),--($E$2:$E$800=E67))+1)/2)/COUNT($E$2:$E$800)</f>
        <v/>
      </c>
      <c r="I67">
        <f>(SUMPRODUCT(--ISNUMBER($G$2:$G$800),--($G$2:$G$800&lt;G67))+(SUMPRODUCT(--ISNUMBER($G$2:$G$800),--($G$2:$G$800=G67))+1)/2)/COUNT($G$2:$G$800)</f>
        <v/>
      </c>
      <c r="J67" t="n">
        <v>35.50163920718737</v>
      </c>
      <c r="K67" t="n">
        <v>4.62372881355931</v>
      </c>
      <c r="L67" t="n">
        <v>0.3661016949152527</v>
      </c>
      <c r="M67">
        <f>IF(OR(B67="NW",COUNT(Risk_Rank_Keys!B67)=0),0.5,(SUMPRODUCT(--ISNUMBER(Risk_Rank_Keys!$B$2:$B$800),--(Risk_Rank_Keys!$B$2:$B$800&lt;Risk_Rank_Keys!B67))+(SUMPRODUCT(--ISNUMBER(Risk_Rank_Keys!$B$2:$B$800),--(Risk_Rank_Keys!$B$2:$B$800=Risk_Rank_Keys!B67))+1)/2)/COUNT(Risk_Rank_Keys!$B$2:$B$800))</f>
        <v/>
      </c>
      <c r="N67">
        <f>IF(OR(B67="NW",COUNT(Risk_Rank_Keys!C67)=0),0.5,(SUMPRODUCT(--ISNUMBER(Risk_Rank_Keys!$C$2:$C$800),--(Risk_Rank_Keys!$C$2:$C$800&lt;Risk_Rank_Keys!C67))+(SUMPRODUCT(--ISNUMBER(Risk_Rank_Keys!$C$2:$C$800),--(Risk_Rank_Keys!$C$2:$C$800=Risk_Rank_Keys!C67))+1)/2)/COUNT(Risk_Rank_Keys!$C$2:$C$800))</f>
        <v/>
      </c>
      <c r="O67">
        <f>IF(OR(B67="NW",COUNT(Risk_Rank_Keys!D67)=0),0.5,(SUMPRODUCT(--ISNUMBER(Risk_Rank_Keys!$D$2:$D$800),--(Risk_Rank_Keys!$D$2:$D$800&lt;Risk_Rank_Keys!D67))+(SUMPRODUCT(--ISNUMBER(Risk_Rank_Keys!$D$2:$D$800),--(Risk_Rank_Keys!$D$2:$D$800=Risk_Rank_Keys!D67))+1)/2)/COUNT(Risk_Rank_Keys!$D$2:$D$800))</f>
        <v/>
      </c>
      <c r="P67">
        <f>AVERAGE(M67:O67)</f>
        <v/>
      </c>
      <c r="Q67">
        <f>0.4*H67+0.4*I67+0.2*P67</f>
        <v/>
      </c>
      <c r="R67">
        <f>PERCENTILE($Q$2:$Q$800,0.75)</f>
        <v/>
      </c>
      <c r="S67">
        <f>OR(Q67&gt;=R67,AND(B67="CW",COUNT(J67:L67)&lt;3))</f>
        <v/>
      </c>
      <c r="T67" t="n">
        <v>0.1883754251022627</v>
      </c>
      <c r="U67" t="n">
        <v>6.61172183528365</v>
      </c>
      <c r="V67" t="n">
        <v>0.3415314005361189</v>
      </c>
      <c r="W67">
        <f>Q67-V67</f>
        <v/>
      </c>
    </row>
    <row r="68">
      <c r="A68" t="inlineStr">
        <is>
          <t>2021-04-26</t>
        </is>
      </c>
      <c r="B68" t="inlineStr">
        <is>
          <t>CW</t>
        </is>
      </c>
      <c r="C68" t="n">
        <v>-38.09927879033212</v>
      </c>
      <c r="D68">
        <f>SUMPRODUCT(Risk_Inputs!B68:AJ68,Risk_Coefs!$B$2:$AJ$2)</f>
        <v/>
      </c>
      <c r="E68">
        <f>1/(1+EXP(-MAX(-25,MIN(25,D68))))</f>
        <v/>
      </c>
      <c r="F68">
        <f>SUMPRODUCT(Risk_Inputs!B68:AJ68,Risk_Coefs!$B$3:$AJ$3)</f>
        <v/>
      </c>
      <c r="G68">
        <f>MAX(0,F68)</f>
        <v/>
      </c>
      <c r="H68">
        <f>(SUMPRODUCT(--ISNUMBER($E$2:$E$800),--($E$2:$E$800&lt;E68))+(SUMPRODUCT(--ISNUMBER($E$2:$E$800),--($E$2:$E$800=E68))+1)/2)/COUNT($E$2:$E$800)</f>
        <v/>
      </c>
      <c r="I68">
        <f>(SUMPRODUCT(--ISNUMBER($G$2:$G$800),--($G$2:$G$800&lt;G68))+(SUMPRODUCT(--ISNUMBER($G$2:$G$800),--($G$2:$G$800=G68))+1)/2)/COUNT($G$2:$G$800)</f>
        <v/>
      </c>
      <c r="J68" t="n">
        <v>13.08646762310948</v>
      </c>
      <c r="K68" t="n">
        <v>2.742324939634353</v>
      </c>
      <c r="L68" t="n">
        <v>0.3966885132804337</v>
      </c>
      <c r="M68">
        <f>IF(OR(B68="NW",COUNT(Risk_Rank_Keys!B68)=0),0.5,(SUMPRODUCT(--ISNUMBER(Risk_Rank_Keys!$B$2:$B$800),--(Risk_Rank_Keys!$B$2:$B$800&lt;Risk_Rank_Keys!B68))+(SUMPRODUCT(--ISNUMBER(Risk_Rank_Keys!$B$2:$B$800),--(Risk_Rank_Keys!$B$2:$B$800=Risk_Rank_Keys!B68))+1)/2)/COUNT(Risk_Rank_Keys!$B$2:$B$800))</f>
        <v/>
      </c>
      <c r="N68">
        <f>IF(OR(B68="NW",COUNT(Risk_Rank_Keys!C68)=0),0.5,(SUMPRODUCT(--ISNUMBER(Risk_Rank_Keys!$C$2:$C$800),--(Risk_Rank_Keys!$C$2:$C$800&lt;Risk_Rank_Keys!C68))+(SUMPRODUCT(--ISNUMBER(Risk_Rank_Keys!$C$2:$C$800),--(Risk_Rank_Keys!$C$2:$C$800=Risk_Rank_Keys!C68))+1)/2)/COUNT(Risk_Rank_Keys!$C$2:$C$800))</f>
        <v/>
      </c>
      <c r="O68">
        <f>IF(OR(B68="NW",COUNT(Risk_Rank_Keys!D68)=0),0.5,(SUMPRODUCT(--ISNUMBER(Risk_Rank_Keys!$D$2:$D$800),--(Risk_Rank_Keys!$D$2:$D$800&lt;Risk_Rank_Keys!D68))+(SUMPRODUCT(--ISNUMBER(Risk_Rank_Keys!$D$2:$D$800),--(Risk_Rank_Keys!$D$2:$D$800=Risk_Rank_Keys!D68))+1)/2)/COUNT(Risk_Rank_Keys!$D$2:$D$800))</f>
        <v/>
      </c>
      <c r="P68">
        <f>AVERAGE(M68:O68)</f>
        <v/>
      </c>
      <c r="Q68">
        <f>0.4*H68+0.4*I68+0.2*P68</f>
        <v/>
      </c>
      <c r="R68">
        <f>PERCENTILE($Q$2:$Q$800,0.75)</f>
        <v/>
      </c>
      <c r="S68">
        <f>OR(Q68&gt;=R68,AND(B68="CW",COUNT(J68:L68)&lt;3))</f>
        <v/>
      </c>
      <c r="T68" t="n">
        <v>0.3162093986127857</v>
      </c>
      <c r="U68" t="n">
        <v>8.481828700172402</v>
      </c>
      <c r="V68" t="n">
        <v>0.6286665863710392</v>
      </c>
      <c r="W68">
        <f>Q68-V68</f>
        <v/>
      </c>
    </row>
    <row r="69">
      <c r="A69" t="inlineStr">
        <is>
          <t>2021-04-27</t>
        </is>
      </c>
      <c r="B69" t="inlineStr">
        <is>
          <t>CW</t>
        </is>
      </c>
      <c r="C69" t="n">
        <v>32.96119563351855</v>
      </c>
      <c r="D69">
        <f>SUMPRODUCT(Risk_Inputs!B69:AJ69,Risk_Coefs!$B$2:$AJ$2)</f>
        <v/>
      </c>
      <c r="E69">
        <f>1/(1+EXP(-MAX(-25,MIN(25,D69))))</f>
        <v/>
      </c>
      <c r="F69">
        <f>SUMPRODUCT(Risk_Inputs!B69:AJ69,Risk_Coefs!$B$3:$AJ$3)</f>
        <v/>
      </c>
      <c r="G69">
        <f>MAX(0,F69)</f>
        <v/>
      </c>
      <c r="H69">
        <f>(SUMPRODUCT(--ISNUMBER($E$2:$E$800),--($E$2:$E$800&lt;E69))+(SUMPRODUCT(--ISNUMBER($E$2:$E$800),--($E$2:$E$800=E69))+1)/2)/COUNT($E$2:$E$800)</f>
        <v/>
      </c>
      <c r="I69">
        <f>(SUMPRODUCT(--ISNUMBER($G$2:$G$800),--($G$2:$G$800&lt;G69))+(SUMPRODUCT(--ISNUMBER($G$2:$G$800),--($G$2:$G$800=G69))+1)/2)/COUNT($G$2:$G$800)</f>
        <v/>
      </c>
      <c r="J69" t="n">
        <v>39.30774314351827</v>
      </c>
      <c r="K69" t="n">
        <v>5.815423514538564</v>
      </c>
      <c r="L69" t="n">
        <v>0.4424778761061995</v>
      </c>
      <c r="M69">
        <f>IF(OR(B69="NW",COUNT(Risk_Rank_Keys!B69)=0),0.5,(SUMPRODUCT(--ISNUMBER(Risk_Rank_Keys!$B$2:$B$800),--(Risk_Rank_Keys!$B$2:$B$800&lt;Risk_Rank_Keys!B69))+(SUMPRODUCT(--ISNUMBER(Risk_Rank_Keys!$B$2:$B$800),--(Risk_Rank_Keys!$B$2:$B$800=Risk_Rank_Keys!B69))+1)/2)/COUNT(Risk_Rank_Keys!$B$2:$B$800))</f>
        <v/>
      </c>
      <c r="N69">
        <f>IF(OR(B69="NW",COUNT(Risk_Rank_Keys!C69)=0),0.5,(SUMPRODUCT(--ISNUMBER(Risk_Rank_Keys!$C$2:$C$800),--(Risk_Rank_Keys!$C$2:$C$800&lt;Risk_Rank_Keys!C69))+(SUMPRODUCT(--ISNUMBER(Risk_Rank_Keys!$C$2:$C$800),--(Risk_Rank_Keys!$C$2:$C$800=Risk_Rank_Keys!C69))+1)/2)/COUNT(Risk_Rank_Keys!$C$2:$C$800))</f>
        <v/>
      </c>
      <c r="O69">
        <f>IF(OR(B69="NW",COUNT(Risk_Rank_Keys!D69)=0),0.5,(SUMPRODUCT(--ISNUMBER(Risk_Rank_Keys!$D$2:$D$800),--(Risk_Rank_Keys!$D$2:$D$800&lt;Risk_Rank_Keys!D69))+(SUMPRODUCT(--ISNUMBER(Risk_Rank_Keys!$D$2:$D$800),--(Risk_Rank_Keys!$D$2:$D$800=Risk_Rank_Keys!D69))+1)/2)/COUNT(Risk_Rank_Keys!$D$2:$D$800))</f>
        <v/>
      </c>
      <c r="P69">
        <f>AVERAGE(M69:O69)</f>
        <v/>
      </c>
      <c r="Q69">
        <f>0.4*H69+0.4*I69+0.2*P69</f>
        <v/>
      </c>
      <c r="R69">
        <f>PERCENTILE($Q$2:$Q$800,0.75)</f>
        <v/>
      </c>
      <c r="S69">
        <f>OR(Q69&gt;=R69,AND(B69="CW",COUNT(J69:L69)&lt;3))</f>
        <v/>
      </c>
      <c r="T69" t="n">
        <v>0.1779046631379928</v>
      </c>
      <c r="U69" t="n">
        <v>4.565095974848956</v>
      </c>
      <c r="V69" t="n">
        <v>0.2345770427818595</v>
      </c>
      <c r="W69">
        <f>Q69-V69</f>
        <v/>
      </c>
    </row>
    <row r="70">
      <c r="A70" t="inlineStr">
        <is>
          <t>2021-04-28</t>
        </is>
      </c>
      <c r="B70" t="inlineStr">
        <is>
          <t>CW</t>
        </is>
      </c>
      <c r="C70" t="n">
        <v>2.053864143288316</v>
      </c>
      <c r="D70">
        <f>SUMPRODUCT(Risk_Inputs!B70:AJ70,Risk_Coefs!$B$2:$AJ$2)</f>
        <v/>
      </c>
      <c r="E70">
        <f>1/(1+EXP(-MAX(-25,MIN(25,D70))))</f>
        <v/>
      </c>
      <c r="F70">
        <f>SUMPRODUCT(Risk_Inputs!B70:AJ70,Risk_Coefs!$B$3:$AJ$3)</f>
        <v/>
      </c>
      <c r="G70">
        <f>MAX(0,F70)</f>
        <v/>
      </c>
      <c r="H70">
        <f>(SUMPRODUCT(--ISNUMBER($E$2:$E$800),--($E$2:$E$800&lt;E70))+(SUMPRODUCT(--ISNUMBER($E$2:$E$800),--($E$2:$E$800=E70))+1)/2)/COUNT($E$2:$E$800)</f>
        <v/>
      </c>
      <c r="I70">
        <f>(SUMPRODUCT(--ISNUMBER($G$2:$G$800),--($G$2:$G$800&lt;G70))+(SUMPRODUCT(--ISNUMBER($G$2:$G$800),--($G$2:$G$800=G70))+1)/2)/COUNT($G$2:$G$800)</f>
        <v/>
      </c>
      <c r="J70" t="n">
        <v>10.69565926006534</v>
      </c>
      <c r="K70" t="n">
        <v>2.609478104379138</v>
      </c>
      <c r="L70" t="n">
        <v>0.389922015596884</v>
      </c>
      <c r="M70">
        <f>IF(OR(B70="NW",COUNT(Risk_Rank_Keys!B70)=0),0.5,(SUMPRODUCT(--ISNUMBER(Risk_Rank_Keys!$B$2:$B$800),--(Risk_Rank_Keys!$B$2:$B$800&lt;Risk_Rank_Keys!B70))+(SUMPRODUCT(--ISNUMBER(Risk_Rank_Keys!$B$2:$B$800),--(Risk_Rank_Keys!$B$2:$B$800=Risk_Rank_Keys!B70))+1)/2)/COUNT(Risk_Rank_Keys!$B$2:$B$800))</f>
        <v/>
      </c>
      <c r="N70">
        <f>IF(OR(B70="NW",COUNT(Risk_Rank_Keys!C70)=0),0.5,(SUMPRODUCT(--ISNUMBER(Risk_Rank_Keys!$C$2:$C$800),--(Risk_Rank_Keys!$C$2:$C$800&lt;Risk_Rank_Keys!C70))+(SUMPRODUCT(--ISNUMBER(Risk_Rank_Keys!$C$2:$C$800),--(Risk_Rank_Keys!$C$2:$C$800=Risk_Rank_Keys!C70))+1)/2)/COUNT(Risk_Rank_Keys!$C$2:$C$800))</f>
        <v/>
      </c>
      <c r="O70">
        <f>IF(OR(B70="NW",COUNT(Risk_Rank_Keys!D70)=0),0.5,(SUMPRODUCT(--ISNUMBER(Risk_Rank_Keys!$D$2:$D$800),--(Risk_Rank_Keys!$D$2:$D$800&lt;Risk_Rank_Keys!D70))+(SUMPRODUCT(--ISNUMBER(Risk_Rank_Keys!$D$2:$D$800),--(Risk_Rank_Keys!$D$2:$D$800=Risk_Rank_Keys!D70))+1)/2)/COUNT(Risk_Rank_Keys!$D$2:$D$800))</f>
        <v/>
      </c>
      <c r="P70">
        <f>AVERAGE(M70:O70)</f>
        <v/>
      </c>
      <c r="Q70">
        <f>0.4*H70+0.4*I70+0.2*P70</f>
        <v/>
      </c>
      <c r="R70">
        <f>PERCENTILE($Q$2:$Q$800,0.75)</f>
        <v/>
      </c>
      <c r="S70">
        <f>OR(Q70&gt;=R70,AND(B70="CW",COUNT(J70:L70)&lt;3))</f>
        <v/>
      </c>
      <c r="T70" t="n">
        <v>0.2814970735363787</v>
      </c>
      <c r="U70" t="n">
        <v>9.231549974294202</v>
      </c>
      <c r="V70" t="n">
        <v>0.5924277732102367</v>
      </c>
      <c r="W70">
        <f>Q70-V70</f>
        <v/>
      </c>
    </row>
    <row r="71">
      <c r="A71" t="inlineStr">
        <is>
          <t>2021-04-30</t>
        </is>
      </c>
      <c r="B71" t="inlineStr">
        <is>
          <t>CW</t>
        </is>
      </c>
      <c r="C71" t="n">
        <v>46.21800444212757</v>
      </c>
      <c r="D71">
        <f>SUMPRODUCT(Risk_Inputs!B71:AJ71,Risk_Coefs!$B$2:$AJ$2)</f>
        <v/>
      </c>
      <c r="E71">
        <f>1/(1+EXP(-MAX(-25,MIN(25,D71))))</f>
        <v/>
      </c>
      <c r="F71">
        <f>SUMPRODUCT(Risk_Inputs!B71:AJ71,Risk_Coefs!$B$3:$AJ$3)</f>
        <v/>
      </c>
      <c r="G71">
        <f>MAX(0,F71)</f>
        <v/>
      </c>
      <c r="H71">
        <f>(SUMPRODUCT(--ISNUMBER($E$2:$E$800),--($E$2:$E$800&lt;E71))+(SUMPRODUCT(--ISNUMBER($E$2:$E$800),--($E$2:$E$800=E71))+1)/2)/COUNT($E$2:$E$800)</f>
        <v/>
      </c>
      <c r="I71">
        <f>(SUMPRODUCT(--ISNUMBER($G$2:$G$800),--($G$2:$G$800&lt;G71))+(SUMPRODUCT(--ISNUMBER($G$2:$G$800),--($G$2:$G$800=G71))+1)/2)/COUNT($G$2:$G$800)</f>
        <v/>
      </c>
      <c r="J71" t="n">
        <v>22.24306216208005</v>
      </c>
      <c r="K71" t="n">
        <v>2.207740391009445</v>
      </c>
      <c r="L71" t="n">
        <v>0.4255885091102525</v>
      </c>
      <c r="M71">
        <f>IF(OR(B71="NW",COUNT(Risk_Rank_Keys!B71)=0),0.5,(SUMPRODUCT(--ISNUMBER(Risk_Rank_Keys!$B$2:$B$800),--(Risk_Rank_Keys!$B$2:$B$800&lt;Risk_Rank_Keys!B71))+(SUMPRODUCT(--ISNUMBER(Risk_Rank_Keys!$B$2:$B$800),--(Risk_Rank_Keys!$B$2:$B$800=Risk_Rank_Keys!B71))+1)/2)/COUNT(Risk_Rank_Keys!$B$2:$B$800))</f>
        <v/>
      </c>
      <c r="N71">
        <f>IF(OR(B71="NW",COUNT(Risk_Rank_Keys!C71)=0),0.5,(SUMPRODUCT(--ISNUMBER(Risk_Rank_Keys!$C$2:$C$800),--(Risk_Rank_Keys!$C$2:$C$800&lt;Risk_Rank_Keys!C71))+(SUMPRODUCT(--ISNUMBER(Risk_Rank_Keys!$C$2:$C$800),--(Risk_Rank_Keys!$C$2:$C$800=Risk_Rank_Keys!C71))+1)/2)/COUNT(Risk_Rank_Keys!$C$2:$C$800))</f>
        <v/>
      </c>
      <c r="O71">
        <f>IF(OR(B71="NW",COUNT(Risk_Rank_Keys!D71)=0),0.5,(SUMPRODUCT(--ISNUMBER(Risk_Rank_Keys!$D$2:$D$800),--(Risk_Rank_Keys!$D$2:$D$800&lt;Risk_Rank_Keys!D71))+(SUMPRODUCT(--ISNUMBER(Risk_Rank_Keys!$D$2:$D$800),--(Risk_Rank_Keys!$D$2:$D$800=Risk_Rank_Keys!D71))+1)/2)/COUNT(Risk_Rank_Keys!$D$2:$D$800))</f>
        <v/>
      </c>
      <c r="P71">
        <f>AVERAGE(M71:O71)</f>
        <v/>
      </c>
      <c r="Q71">
        <f>0.4*H71+0.4*I71+0.2*P71</f>
        <v/>
      </c>
      <c r="R71">
        <f>PERCENTILE($Q$2:$Q$800,0.75)</f>
        <v/>
      </c>
      <c r="S71">
        <f>OR(Q71&gt;=R71,AND(B71="CW",COUNT(J71:L71)&lt;3))</f>
        <v/>
      </c>
      <c r="T71" t="n">
        <v>0.2338009538331942</v>
      </c>
      <c r="U71" t="n">
        <v>5.505492791213284</v>
      </c>
      <c r="V71" t="n">
        <v>0.2940058150326216</v>
      </c>
      <c r="W71">
        <f>Q71-V71</f>
        <v/>
      </c>
    </row>
    <row r="72">
      <c r="A72" t="inlineStr">
        <is>
          <t>2021-05-05</t>
        </is>
      </c>
      <c r="B72" t="inlineStr">
        <is>
          <t>CW</t>
        </is>
      </c>
      <c r="C72" t="n">
        <v>29.18179789675423</v>
      </c>
      <c r="D72">
        <f>SUMPRODUCT(Risk_Inputs!B72:AJ72,Risk_Coefs!$B$2:$AJ$2)</f>
        <v/>
      </c>
      <c r="E72">
        <f>1/(1+EXP(-MAX(-25,MIN(25,D72))))</f>
        <v/>
      </c>
      <c r="F72">
        <f>SUMPRODUCT(Risk_Inputs!B72:AJ72,Risk_Coefs!$B$3:$AJ$3)</f>
        <v/>
      </c>
      <c r="G72">
        <f>MAX(0,F72)</f>
        <v/>
      </c>
      <c r="H72">
        <f>(SUMPRODUCT(--ISNUMBER($E$2:$E$800),--($E$2:$E$800&lt;E72))+(SUMPRODUCT(--ISNUMBER($E$2:$E$800),--($E$2:$E$800=E72))+1)/2)/COUNT($E$2:$E$800)</f>
        <v/>
      </c>
      <c r="I72">
        <f>(SUMPRODUCT(--ISNUMBER($G$2:$G$800),--($G$2:$G$800&lt;G72))+(SUMPRODUCT(--ISNUMBER($G$2:$G$800),--($G$2:$G$800=G72))+1)/2)/COUNT($G$2:$G$800)</f>
        <v/>
      </c>
      <c r="J72" t="n">
        <v>20.39940244174716</v>
      </c>
      <c r="K72" t="n">
        <v>13.88959552276773</v>
      </c>
      <c r="L72" t="n">
        <v>0.5850928516916771</v>
      </c>
      <c r="M72">
        <f>IF(OR(B72="NW",COUNT(Risk_Rank_Keys!B72)=0),0.5,(SUMPRODUCT(--ISNUMBER(Risk_Rank_Keys!$B$2:$B$800),--(Risk_Rank_Keys!$B$2:$B$800&lt;Risk_Rank_Keys!B72))+(SUMPRODUCT(--ISNUMBER(Risk_Rank_Keys!$B$2:$B$800),--(Risk_Rank_Keys!$B$2:$B$800=Risk_Rank_Keys!B72))+1)/2)/COUNT(Risk_Rank_Keys!$B$2:$B$800))</f>
        <v/>
      </c>
      <c r="N72">
        <f>IF(OR(B72="NW",COUNT(Risk_Rank_Keys!C72)=0),0.5,(SUMPRODUCT(--ISNUMBER(Risk_Rank_Keys!$C$2:$C$800),--(Risk_Rank_Keys!$C$2:$C$800&lt;Risk_Rank_Keys!C72))+(SUMPRODUCT(--ISNUMBER(Risk_Rank_Keys!$C$2:$C$800),--(Risk_Rank_Keys!$C$2:$C$800=Risk_Rank_Keys!C72))+1)/2)/COUNT(Risk_Rank_Keys!$C$2:$C$800))</f>
        <v/>
      </c>
      <c r="O72">
        <f>IF(OR(B72="NW",COUNT(Risk_Rank_Keys!D72)=0),0.5,(SUMPRODUCT(--ISNUMBER(Risk_Rank_Keys!$D$2:$D$800),--(Risk_Rank_Keys!$D$2:$D$800&lt;Risk_Rank_Keys!D72))+(SUMPRODUCT(--ISNUMBER(Risk_Rank_Keys!$D$2:$D$800),--(Risk_Rank_Keys!$D$2:$D$800=Risk_Rank_Keys!D72))+1)/2)/COUNT(Risk_Rank_Keys!$D$2:$D$800))</f>
        <v/>
      </c>
      <c r="P72">
        <f>AVERAGE(M72:O72)</f>
        <v/>
      </c>
      <c r="Q72">
        <f>0.4*H72+0.4*I72+0.2*P72</f>
        <v/>
      </c>
      <c r="R72">
        <f>PERCENTILE($Q$2:$Q$800,0.75)</f>
        <v/>
      </c>
      <c r="S72">
        <f>OR(Q72&gt;=R72,AND(B72="CW",COUNT(J72:L72)&lt;3))</f>
        <v/>
      </c>
      <c r="T72" t="n">
        <v>0.1889969245614778</v>
      </c>
      <c r="U72" t="n">
        <v>5.912174258568914</v>
      </c>
      <c r="V72" t="n">
        <v>0.3145631248730835</v>
      </c>
      <c r="W72">
        <f>Q72-V72</f>
        <v/>
      </c>
    </row>
    <row r="73">
      <c r="A73" t="inlineStr">
        <is>
          <t>2021-05-06</t>
        </is>
      </c>
      <c r="B73" t="inlineStr">
        <is>
          <t>CW</t>
        </is>
      </c>
      <c r="C73" t="n">
        <v>62.01351616313526</v>
      </c>
      <c r="D73">
        <f>SUMPRODUCT(Risk_Inputs!B73:AJ73,Risk_Coefs!$B$2:$AJ$2)</f>
        <v/>
      </c>
      <c r="E73">
        <f>1/(1+EXP(-MAX(-25,MIN(25,D73))))</f>
        <v/>
      </c>
      <c r="F73">
        <f>SUMPRODUCT(Risk_Inputs!B73:AJ73,Risk_Coefs!$B$3:$AJ$3)</f>
        <v/>
      </c>
      <c r="G73">
        <f>MAX(0,F73)</f>
        <v/>
      </c>
      <c r="H73">
        <f>(SUMPRODUCT(--ISNUMBER($E$2:$E$800),--($E$2:$E$800&lt;E73))+(SUMPRODUCT(--ISNUMBER($E$2:$E$800),--($E$2:$E$800=E73))+1)/2)/COUNT($E$2:$E$800)</f>
        <v/>
      </c>
      <c r="I73">
        <f>(SUMPRODUCT(--ISNUMBER($G$2:$G$800),--($G$2:$G$800&lt;G73))+(SUMPRODUCT(--ISNUMBER($G$2:$G$800),--($G$2:$G$800=G73))+1)/2)/COUNT($G$2:$G$800)</f>
        <v/>
      </c>
      <c r="J73" t="n">
        <v>24.87943697493312</v>
      </c>
      <c r="K73" t="n">
        <v>26.36568848758466</v>
      </c>
      <c r="L73" t="n">
        <v>0.586907449209931</v>
      </c>
      <c r="M73">
        <f>IF(OR(B73="NW",COUNT(Risk_Rank_Keys!B73)=0),0.5,(SUMPRODUCT(--ISNUMBER(Risk_Rank_Keys!$B$2:$B$800),--(Risk_Rank_Keys!$B$2:$B$800&lt;Risk_Rank_Keys!B73))+(SUMPRODUCT(--ISNUMBER(Risk_Rank_Keys!$B$2:$B$800),--(Risk_Rank_Keys!$B$2:$B$800=Risk_Rank_Keys!B73))+1)/2)/COUNT(Risk_Rank_Keys!$B$2:$B$800))</f>
        <v/>
      </c>
      <c r="N73">
        <f>IF(OR(B73="NW",COUNT(Risk_Rank_Keys!C73)=0),0.5,(SUMPRODUCT(--ISNUMBER(Risk_Rank_Keys!$C$2:$C$800),--(Risk_Rank_Keys!$C$2:$C$800&lt;Risk_Rank_Keys!C73))+(SUMPRODUCT(--ISNUMBER(Risk_Rank_Keys!$C$2:$C$800),--(Risk_Rank_Keys!$C$2:$C$800=Risk_Rank_Keys!C73))+1)/2)/COUNT(Risk_Rank_Keys!$C$2:$C$800))</f>
        <v/>
      </c>
      <c r="O73">
        <f>IF(OR(B73="NW",COUNT(Risk_Rank_Keys!D73)=0),0.5,(SUMPRODUCT(--ISNUMBER(Risk_Rank_Keys!$D$2:$D$800),--(Risk_Rank_Keys!$D$2:$D$800&lt;Risk_Rank_Keys!D73))+(SUMPRODUCT(--ISNUMBER(Risk_Rank_Keys!$D$2:$D$800),--(Risk_Rank_Keys!$D$2:$D$800=Risk_Rank_Keys!D73))+1)/2)/COUNT(Risk_Rank_Keys!$D$2:$D$800))</f>
        <v/>
      </c>
      <c r="P73">
        <f>AVERAGE(M73:O73)</f>
        <v/>
      </c>
      <c r="Q73">
        <f>0.4*H73+0.4*I73+0.2*P73</f>
        <v/>
      </c>
      <c r="R73">
        <f>PERCENTILE($Q$2:$Q$800,0.75)</f>
        <v/>
      </c>
      <c r="S73">
        <f>OR(Q73&gt;=R73,AND(B73="CW",COUNT(J73:L73)&lt;3))</f>
        <v/>
      </c>
      <c r="T73" t="n">
        <v>0.1374959994602256</v>
      </c>
      <c r="U73" t="n">
        <v>3.516226513639785</v>
      </c>
      <c r="V73" t="n">
        <v>0.2066931642237595</v>
      </c>
      <c r="W73">
        <f>Q73-V73</f>
        <v/>
      </c>
    </row>
    <row r="74">
      <c r="A74" t="inlineStr">
        <is>
          <t>2021-05-07</t>
        </is>
      </c>
      <c r="B74" t="inlineStr">
        <is>
          <t>CW</t>
        </is>
      </c>
      <c r="C74" t="n">
        <v>20.39843979748699</v>
      </c>
      <c r="D74">
        <f>SUMPRODUCT(Risk_Inputs!B74:AJ74,Risk_Coefs!$B$2:$AJ$2)</f>
        <v/>
      </c>
      <c r="E74">
        <f>1/(1+EXP(-MAX(-25,MIN(25,D74))))</f>
        <v/>
      </c>
      <c r="F74">
        <f>SUMPRODUCT(Risk_Inputs!B74:AJ74,Risk_Coefs!$B$3:$AJ$3)</f>
        <v/>
      </c>
      <c r="G74">
        <f>MAX(0,F74)</f>
        <v/>
      </c>
      <c r="H74">
        <f>(SUMPRODUCT(--ISNUMBER($E$2:$E$800),--($E$2:$E$800&lt;E74))+(SUMPRODUCT(--ISNUMBER($E$2:$E$800),--($E$2:$E$800=E74))+1)/2)/COUNT($E$2:$E$800)</f>
        <v/>
      </c>
      <c r="I74">
        <f>(SUMPRODUCT(--ISNUMBER($G$2:$G$800),--($G$2:$G$800&lt;G74))+(SUMPRODUCT(--ISNUMBER($G$2:$G$800),--($G$2:$G$800=G74))+1)/2)/COUNT($G$2:$G$800)</f>
        <v/>
      </c>
      <c r="J74" t="n">
        <v>7.519025156703535</v>
      </c>
      <c r="K74" t="n">
        <v>1.468128600631849</v>
      </c>
      <c r="L74" t="n">
        <v>0.3345103140680192</v>
      </c>
      <c r="M74">
        <f>IF(OR(B74="NW",COUNT(Risk_Rank_Keys!B74)=0),0.5,(SUMPRODUCT(--ISNUMBER(Risk_Rank_Keys!$B$2:$B$800),--(Risk_Rank_Keys!$B$2:$B$800&lt;Risk_Rank_Keys!B74))+(SUMPRODUCT(--ISNUMBER(Risk_Rank_Keys!$B$2:$B$800),--(Risk_Rank_Keys!$B$2:$B$800=Risk_Rank_Keys!B74))+1)/2)/COUNT(Risk_Rank_Keys!$B$2:$B$800))</f>
        <v/>
      </c>
      <c r="N74">
        <f>IF(OR(B74="NW",COUNT(Risk_Rank_Keys!C74)=0),0.5,(SUMPRODUCT(--ISNUMBER(Risk_Rank_Keys!$C$2:$C$800),--(Risk_Rank_Keys!$C$2:$C$800&lt;Risk_Rank_Keys!C74))+(SUMPRODUCT(--ISNUMBER(Risk_Rank_Keys!$C$2:$C$800),--(Risk_Rank_Keys!$C$2:$C$800=Risk_Rank_Keys!C74))+1)/2)/COUNT(Risk_Rank_Keys!$C$2:$C$800))</f>
        <v/>
      </c>
      <c r="O74">
        <f>IF(OR(B74="NW",COUNT(Risk_Rank_Keys!D74)=0),0.5,(SUMPRODUCT(--ISNUMBER(Risk_Rank_Keys!$D$2:$D$800),--(Risk_Rank_Keys!$D$2:$D$800&lt;Risk_Rank_Keys!D74))+(SUMPRODUCT(--ISNUMBER(Risk_Rank_Keys!$D$2:$D$800),--(Risk_Rank_Keys!$D$2:$D$800=Risk_Rank_Keys!D74))+1)/2)/COUNT(Risk_Rank_Keys!$D$2:$D$800))</f>
        <v/>
      </c>
      <c r="P74">
        <f>AVERAGE(M74:O74)</f>
        <v/>
      </c>
      <c r="Q74">
        <f>0.4*H74+0.4*I74+0.2*P74</f>
        <v/>
      </c>
      <c r="R74">
        <f>PERCENTILE($Q$2:$Q$800,0.75)</f>
        <v/>
      </c>
      <c r="S74">
        <f>OR(Q74&gt;=R74,AND(B74="CW",COUNT(J74:L74)&lt;3))</f>
        <v/>
      </c>
      <c r="T74" t="n">
        <v>0.2497276832017622</v>
      </c>
      <c r="U74" t="n">
        <v>8.918605327645174</v>
      </c>
      <c r="V74" t="n">
        <v>0.4587867563417544</v>
      </c>
      <c r="W74">
        <f>Q74-V74</f>
        <v/>
      </c>
    </row>
    <row r="75">
      <c r="A75" t="inlineStr">
        <is>
          <t>2021-05-10</t>
        </is>
      </c>
      <c r="B75" t="inlineStr">
        <is>
          <t>CW</t>
        </is>
      </c>
      <c r="C75" t="n">
        <v>43.46045435391043</v>
      </c>
      <c r="D75">
        <f>SUMPRODUCT(Risk_Inputs!B75:AJ75,Risk_Coefs!$B$2:$AJ$2)</f>
        <v/>
      </c>
      <c r="E75">
        <f>1/(1+EXP(-MAX(-25,MIN(25,D75))))</f>
        <v/>
      </c>
      <c r="F75">
        <f>SUMPRODUCT(Risk_Inputs!B75:AJ75,Risk_Coefs!$B$3:$AJ$3)</f>
        <v/>
      </c>
      <c r="G75">
        <f>MAX(0,F75)</f>
        <v/>
      </c>
      <c r="H75">
        <f>(SUMPRODUCT(--ISNUMBER($E$2:$E$800),--($E$2:$E$800&lt;E75))+(SUMPRODUCT(--ISNUMBER($E$2:$E$800),--($E$2:$E$800=E75))+1)/2)/COUNT($E$2:$E$800)</f>
        <v/>
      </c>
      <c r="I75">
        <f>(SUMPRODUCT(--ISNUMBER($G$2:$G$800),--($G$2:$G$800&lt;G75))+(SUMPRODUCT(--ISNUMBER($G$2:$G$800),--($G$2:$G$800=G75))+1)/2)/COUNT($G$2:$G$800)</f>
        <v/>
      </c>
      <c r="J75" t="n">
        <v>6.867096558077213</v>
      </c>
      <c r="K75" t="n">
        <v>1.816877838871615</v>
      </c>
      <c r="L75" t="n">
        <v>0.3346880229500372</v>
      </c>
      <c r="M75">
        <f>IF(OR(B75="NW",COUNT(Risk_Rank_Keys!B75)=0),0.5,(SUMPRODUCT(--ISNUMBER(Risk_Rank_Keys!$B$2:$B$800),--(Risk_Rank_Keys!$B$2:$B$800&lt;Risk_Rank_Keys!B75))+(SUMPRODUCT(--ISNUMBER(Risk_Rank_Keys!$B$2:$B$800),--(Risk_Rank_Keys!$B$2:$B$800=Risk_Rank_Keys!B75))+1)/2)/COUNT(Risk_Rank_Keys!$B$2:$B$800))</f>
        <v/>
      </c>
      <c r="N75">
        <f>IF(OR(B75="NW",COUNT(Risk_Rank_Keys!C75)=0),0.5,(SUMPRODUCT(--ISNUMBER(Risk_Rank_Keys!$C$2:$C$800),--(Risk_Rank_Keys!$C$2:$C$800&lt;Risk_Rank_Keys!C75))+(SUMPRODUCT(--ISNUMBER(Risk_Rank_Keys!$C$2:$C$800),--(Risk_Rank_Keys!$C$2:$C$800=Risk_Rank_Keys!C75))+1)/2)/COUNT(Risk_Rank_Keys!$C$2:$C$800))</f>
        <v/>
      </c>
      <c r="O75">
        <f>IF(OR(B75="NW",COUNT(Risk_Rank_Keys!D75)=0),0.5,(SUMPRODUCT(--ISNUMBER(Risk_Rank_Keys!$D$2:$D$800),--(Risk_Rank_Keys!$D$2:$D$800&lt;Risk_Rank_Keys!D75))+(SUMPRODUCT(--ISNUMBER(Risk_Rank_Keys!$D$2:$D$800),--(Risk_Rank_Keys!$D$2:$D$800=Risk_Rank_Keys!D75))+1)/2)/COUNT(Risk_Rank_Keys!$D$2:$D$800))</f>
        <v/>
      </c>
      <c r="P75">
        <f>AVERAGE(M75:O75)</f>
        <v/>
      </c>
      <c r="Q75">
        <f>0.4*H75+0.4*I75+0.2*P75</f>
        <v/>
      </c>
      <c r="R75">
        <f>PERCENTILE($Q$2:$Q$800,0.75)</f>
        <v/>
      </c>
      <c r="S75">
        <f>OR(Q75&gt;=R75,AND(B75="CW",COUNT(J75:L75)&lt;3))</f>
        <v/>
      </c>
      <c r="T75" t="n">
        <v>0.2584695457305313</v>
      </c>
      <c r="U75" t="n">
        <v>7.172587459626802</v>
      </c>
      <c r="V75" t="n">
        <v>0.3922108586453663</v>
      </c>
      <c r="W75">
        <f>Q75-V75</f>
        <v/>
      </c>
    </row>
    <row r="76">
      <c r="A76" t="inlineStr">
        <is>
          <t>2021-05-12</t>
        </is>
      </c>
      <c r="B76" t="inlineStr">
        <is>
          <t>CW</t>
        </is>
      </c>
      <c r="C76" t="n">
        <v>35.97977920769731</v>
      </c>
      <c r="D76">
        <f>SUMPRODUCT(Risk_Inputs!B76:AJ76,Risk_Coefs!$B$2:$AJ$2)</f>
        <v/>
      </c>
      <c r="E76">
        <f>1/(1+EXP(-MAX(-25,MIN(25,D76))))</f>
        <v/>
      </c>
      <c r="F76">
        <f>SUMPRODUCT(Risk_Inputs!B76:AJ76,Risk_Coefs!$B$3:$AJ$3)</f>
        <v/>
      </c>
      <c r="G76">
        <f>MAX(0,F76)</f>
        <v/>
      </c>
      <c r="H76">
        <f>(SUMPRODUCT(--ISNUMBER($E$2:$E$800),--($E$2:$E$800&lt;E76))+(SUMPRODUCT(--ISNUMBER($E$2:$E$800),--($E$2:$E$800=E76))+1)/2)/COUNT($E$2:$E$800)</f>
        <v/>
      </c>
      <c r="I76">
        <f>(SUMPRODUCT(--ISNUMBER($G$2:$G$800),--($G$2:$G$800&lt;G76))+(SUMPRODUCT(--ISNUMBER($G$2:$G$800),--($G$2:$G$800=G76))+1)/2)/COUNT($G$2:$G$800)</f>
        <v/>
      </c>
      <c r="J76" t="n">
        <v>24.71205887622746</v>
      </c>
      <c r="K76" t="n">
        <v>22.25563909774436</v>
      </c>
      <c r="L76" t="n">
        <v>0.451127819548875</v>
      </c>
      <c r="M76">
        <f>IF(OR(B76="NW",COUNT(Risk_Rank_Keys!B76)=0),0.5,(SUMPRODUCT(--ISNUMBER(Risk_Rank_Keys!$B$2:$B$800),--(Risk_Rank_Keys!$B$2:$B$800&lt;Risk_Rank_Keys!B76))+(SUMPRODUCT(--ISNUMBER(Risk_Rank_Keys!$B$2:$B$800),--(Risk_Rank_Keys!$B$2:$B$800=Risk_Rank_Keys!B76))+1)/2)/COUNT(Risk_Rank_Keys!$B$2:$B$800))</f>
        <v/>
      </c>
      <c r="N76">
        <f>IF(OR(B76="NW",COUNT(Risk_Rank_Keys!C76)=0),0.5,(SUMPRODUCT(--ISNUMBER(Risk_Rank_Keys!$C$2:$C$800),--(Risk_Rank_Keys!$C$2:$C$800&lt;Risk_Rank_Keys!C76))+(SUMPRODUCT(--ISNUMBER(Risk_Rank_Keys!$C$2:$C$800),--(Risk_Rank_Keys!$C$2:$C$800=Risk_Rank_Keys!C76))+1)/2)/COUNT(Risk_Rank_Keys!$C$2:$C$800))</f>
        <v/>
      </c>
      <c r="O76">
        <f>IF(OR(B76="NW",COUNT(Risk_Rank_Keys!D76)=0),0.5,(SUMPRODUCT(--ISNUMBER(Risk_Rank_Keys!$D$2:$D$800),--(Risk_Rank_Keys!$D$2:$D$800&lt;Risk_Rank_Keys!D76))+(SUMPRODUCT(--ISNUMBER(Risk_Rank_Keys!$D$2:$D$800),--(Risk_Rank_Keys!$D$2:$D$800=Risk_Rank_Keys!D76))+1)/2)/COUNT(Risk_Rank_Keys!$D$2:$D$800))</f>
        <v/>
      </c>
      <c r="P76">
        <f>AVERAGE(M76:O76)</f>
        <v/>
      </c>
      <c r="Q76">
        <f>0.4*H76+0.4*I76+0.2*P76</f>
        <v/>
      </c>
      <c r="R76">
        <f>PERCENTILE($Q$2:$Q$800,0.75)</f>
        <v/>
      </c>
      <c r="S76">
        <f>OR(Q76&gt;=R76,AND(B76="CW",COUNT(J76:L76)&lt;3))</f>
        <v/>
      </c>
      <c r="T76" t="n">
        <v>0.123957974594394</v>
      </c>
      <c r="U76" t="n">
        <v>0.7607306819570354</v>
      </c>
      <c r="V76" t="n">
        <v>0.1876762503571119</v>
      </c>
      <c r="W76">
        <f>Q76-V76</f>
        <v/>
      </c>
    </row>
    <row r="77">
      <c r="A77" t="inlineStr">
        <is>
          <t>2021-05-14</t>
        </is>
      </c>
      <c r="B77" t="inlineStr">
        <is>
          <t>CW</t>
        </is>
      </c>
      <c r="C77" t="n">
        <v>15.86082667089233</v>
      </c>
      <c r="D77">
        <f>SUMPRODUCT(Risk_Inputs!B77:AJ77,Risk_Coefs!$B$2:$AJ$2)</f>
        <v/>
      </c>
      <c r="E77">
        <f>1/(1+EXP(-MAX(-25,MIN(25,D77))))</f>
        <v/>
      </c>
      <c r="F77">
        <f>SUMPRODUCT(Risk_Inputs!B77:AJ77,Risk_Coefs!$B$3:$AJ$3)</f>
        <v/>
      </c>
      <c r="G77">
        <f>MAX(0,F77)</f>
        <v/>
      </c>
      <c r="H77">
        <f>(SUMPRODUCT(--ISNUMBER($E$2:$E$800),--($E$2:$E$800&lt;E77))+(SUMPRODUCT(--ISNUMBER($E$2:$E$800),--($E$2:$E$800=E77))+1)/2)/COUNT($E$2:$E$800)</f>
        <v/>
      </c>
      <c r="I77">
        <f>(SUMPRODUCT(--ISNUMBER($G$2:$G$800),--($G$2:$G$800&lt;G77))+(SUMPRODUCT(--ISNUMBER($G$2:$G$800),--($G$2:$G$800=G77))+1)/2)/COUNT($G$2:$G$800)</f>
        <v/>
      </c>
      <c r="J77" t="n">
        <v>17.991350573347</v>
      </c>
      <c r="K77" t="n">
        <v>2.490075784915184</v>
      </c>
      <c r="L77" t="n">
        <v>0.3789245759653595</v>
      </c>
      <c r="M77">
        <f>IF(OR(B77="NW",COUNT(Risk_Rank_Keys!B77)=0),0.5,(SUMPRODUCT(--ISNUMBER(Risk_Rank_Keys!$B$2:$B$800),--(Risk_Rank_Keys!$B$2:$B$800&lt;Risk_Rank_Keys!B77))+(SUMPRODUCT(--ISNUMBER(Risk_Rank_Keys!$B$2:$B$800),--(Risk_Rank_Keys!$B$2:$B$800=Risk_Rank_Keys!B77))+1)/2)/COUNT(Risk_Rank_Keys!$B$2:$B$800))</f>
        <v/>
      </c>
      <c r="N77">
        <f>IF(OR(B77="NW",COUNT(Risk_Rank_Keys!C77)=0),0.5,(SUMPRODUCT(--ISNUMBER(Risk_Rank_Keys!$C$2:$C$800),--(Risk_Rank_Keys!$C$2:$C$800&lt;Risk_Rank_Keys!C77))+(SUMPRODUCT(--ISNUMBER(Risk_Rank_Keys!$C$2:$C$800),--(Risk_Rank_Keys!$C$2:$C$800=Risk_Rank_Keys!C77))+1)/2)/COUNT(Risk_Rank_Keys!$C$2:$C$800))</f>
        <v/>
      </c>
      <c r="O77">
        <f>IF(OR(B77="NW",COUNT(Risk_Rank_Keys!D77)=0),0.5,(SUMPRODUCT(--ISNUMBER(Risk_Rank_Keys!$D$2:$D$800),--(Risk_Rank_Keys!$D$2:$D$800&lt;Risk_Rank_Keys!D77))+(SUMPRODUCT(--ISNUMBER(Risk_Rank_Keys!$D$2:$D$800),--(Risk_Rank_Keys!$D$2:$D$800=Risk_Rank_Keys!D77))+1)/2)/COUNT(Risk_Rank_Keys!$D$2:$D$800))</f>
        <v/>
      </c>
      <c r="P77">
        <f>AVERAGE(M77:O77)</f>
        <v/>
      </c>
      <c r="Q77">
        <f>0.4*H77+0.4*I77+0.2*P77</f>
        <v/>
      </c>
      <c r="R77">
        <f>PERCENTILE($Q$2:$Q$800,0.75)</f>
        <v/>
      </c>
      <c r="S77">
        <f>OR(Q77&gt;=R77,AND(B77="CW",COUNT(J77:L77)&lt;3))</f>
        <v/>
      </c>
      <c r="T77" t="n">
        <v>0.2011675990585523</v>
      </c>
      <c r="U77" t="n">
        <v>6.981605422908708</v>
      </c>
      <c r="V77" t="n">
        <v>0.3411502872314243</v>
      </c>
      <c r="W77">
        <f>Q77-V77</f>
        <v/>
      </c>
    </row>
    <row r="78">
      <c r="A78" t="inlineStr">
        <is>
          <t>2021-05-19</t>
        </is>
      </c>
      <c r="B78" t="inlineStr">
        <is>
          <t>CW</t>
        </is>
      </c>
      <c r="C78" t="n">
        <v>-0.4174452016531397</v>
      </c>
      <c r="D78">
        <f>SUMPRODUCT(Risk_Inputs!B78:AJ78,Risk_Coefs!$B$2:$AJ$2)</f>
        <v/>
      </c>
      <c r="E78">
        <f>1/(1+EXP(-MAX(-25,MIN(25,D78))))</f>
        <v/>
      </c>
      <c r="F78">
        <f>SUMPRODUCT(Risk_Inputs!B78:AJ78,Risk_Coefs!$B$3:$AJ$3)</f>
        <v/>
      </c>
      <c r="G78">
        <f>MAX(0,F78)</f>
        <v/>
      </c>
      <c r="H78">
        <f>(SUMPRODUCT(--ISNUMBER($E$2:$E$800),--($E$2:$E$800&lt;E78))+(SUMPRODUCT(--ISNUMBER($E$2:$E$800),--($E$2:$E$800=E78))+1)/2)/COUNT($E$2:$E$800)</f>
        <v/>
      </c>
      <c r="I78">
        <f>(SUMPRODUCT(--ISNUMBER($G$2:$G$800),--($G$2:$G$800&lt;G78))+(SUMPRODUCT(--ISNUMBER($G$2:$G$800),--($G$2:$G$800=G78))+1)/2)/COUNT($G$2:$G$800)</f>
        <v/>
      </c>
      <c r="J78" t="n">
        <v>5.077978499906376</v>
      </c>
      <c r="K78" t="n">
        <v>1.407483693786482</v>
      </c>
      <c r="L78" t="n">
        <v>0.3432887058015791</v>
      </c>
      <c r="M78">
        <f>IF(OR(B78="NW",COUNT(Risk_Rank_Keys!B78)=0),0.5,(SUMPRODUCT(--ISNUMBER(Risk_Rank_Keys!$B$2:$B$800),--(Risk_Rank_Keys!$B$2:$B$800&lt;Risk_Rank_Keys!B78))+(SUMPRODUCT(--ISNUMBER(Risk_Rank_Keys!$B$2:$B$800),--(Risk_Rank_Keys!$B$2:$B$800=Risk_Rank_Keys!B78))+1)/2)/COUNT(Risk_Rank_Keys!$B$2:$B$800))</f>
        <v/>
      </c>
      <c r="N78">
        <f>IF(OR(B78="NW",COUNT(Risk_Rank_Keys!C78)=0),0.5,(SUMPRODUCT(--ISNUMBER(Risk_Rank_Keys!$C$2:$C$800),--(Risk_Rank_Keys!$C$2:$C$800&lt;Risk_Rank_Keys!C78))+(SUMPRODUCT(--ISNUMBER(Risk_Rank_Keys!$C$2:$C$800),--(Risk_Rank_Keys!$C$2:$C$800=Risk_Rank_Keys!C78))+1)/2)/COUNT(Risk_Rank_Keys!$C$2:$C$800))</f>
        <v/>
      </c>
      <c r="O78">
        <f>IF(OR(B78="NW",COUNT(Risk_Rank_Keys!D78)=0),0.5,(SUMPRODUCT(--ISNUMBER(Risk_Rank_Keys!$D$2:$D$800),--(Risk_Rank_Keys!$D$2:$D$800&lt;Risk_Rank_Keys!D78))+(SUMPRODUCT(--ISNUMBER(Risk_Rank_Keys!$D$2:$D$800),--(Risk_Rank_Keys!$D$2:$D$800=Risk_Rank_Keys!D78))+1)/2)/COUNT(Risk_Rank_Keys!$D$2:$D$800))</f>
        <v/>
      </c>
      <c r="P78">
        <f>AVERAGE(M78:O78)</f>
        <v/>
      </c>
      <c r="Q78">
        <f>0.4*H78+0.4*I78+0.2*P78</f>
        <v/>
      </c>
      <c r="R78">
        <f>PERCENTILE($Q$2:$Q$800,0.75)</f>
        <v/>
      </c>
      <c r="S78">
        <f>OR(Q78&gt;=R78,AND(B78="CW",COUNT(J78:L78)&lt;3))</f>
        <v/>
      </c>
      <c r="T78" t="n">
        <v>0.3167374155174499</v>
      </c>
      <c r="U78" t="n">
        <v>6.239399216664427</v>
      </c>
      <c r="V78" t="n">
        <v>0.4511046758238594</v>
      </c>
      <c r="W78">
        <f>Q78-V78</f>
        <v/>
      </c>
    </row>
    <row r="79">
      <c r="A79" t="inlineStr">
        <is>
          <t>2021-05-20</t>
        </is>
      </c>
      <c r="B79" t="inlineStr">
        <is>
          <t>CW</t>
        </is>
      </c>
      <c r="C79" t="n">
        <v>19.93490976430896</v>
      </c>
      <c r="D79">
        <f>SUMPRODUCT(Risk_Inputs!B79:AJ79,Risk_Coefs!$B$2:$AJ$2)</f>
        <v/>
      </c>
      <c r="E79">
        <f>1/(1+EXP(-MAX(-25,MIN(25,D79))))</f>
        <v/>
      </c>
      <c r="F79">
        <f>SUMPRODUCT(Risk_Inputs!B79:AJ79,Risk_Coefs!$B$3:$AJ$3)</f>
        <v/>
      </c>
      <c r="G79">
        <f>MAX(0,F79)</f>
        <v/>
      </c>
      <c r="H79">
        <f>(SUMPRODUCT(--ISNUMBER($E$2:$E$800),--($E$2:$E$800&lt;E79))+(SUMPRODUCT(--ISNUMBER($E$2:$E$800),--($E$2:$E$800=E79))+1)/2)/COUNT($E$2:$E$800)</f>
        <v/>
      </c>
      <c r="I79">
        <f>(SUMPRODUCT(--ISNUMBER($G$2:$G$800),--($G$2:$G$800&lt;G79))+(SUMPRODUCT(--ISNUMBER($G$2:$G$800),--($G$2:$G$800=G79))+1)/2)/COUNT($G$2:$G$800)</f>
        <v/>
      </c>
      <c r="J79" t="n">
        <v>9.066002490659784</v>
      </c>
      <c r="K79" t="n">
        <v>5.754985754985768</v>
      </c>
      <c r="L79" t="n">
        <v>0.5698005698005698</v>
      </c>
      <c r="M79">
        <f>IF(OR(B79="NW",COUNT(Risk_Rank_Keys!B79)=0),0.5,(SUMPRODUCT(--ISNUMBER(Risk_Rank_Keys!$B$2:$B$800),--(Risk_Rank_Keys!$B$2:$B$800&lt;Risk_Rank_Keys!B79))+(SUMPRODUCT(--ISNUMBER(Risk_Rank_Keys!$B$2:$B$800),--(Risk_Rank_Keys!$B$2:$B$800=Risk_Rank_Keys!B79))+1)/2)/COUNT(Risk_Rank_Keys!$B$2:$B$800))</f>
        <v/>
      </c>
      <c r="N79">
        <f>IF(OR(B79="NW",COUNT(Risk_Rank_Keys!C79)=0),0.5,(SUMPRODUCT(--ISNUMBER(Risk_Rank_Keys!$C$2:$C$800),--(Risk_Rank_Keys!$C$2:$C$800&lt;Risk_Rank_Keys!C79))+(SUMPRODUCT(--ISNUMBER(Risk_Rank_Keys!$C$2:$C$800),--(Risk_Rank_Keys!$C$2:$C$800=Risk_Rank_Keys!C79))+1)/2)/COUNT(Risk_Rank_Keys!$C$2:$C$800))</f>
        <v/>
      </c>
      <c r="O79">
        <f>IF(OR(B79="NW",COUNT(Risk_Rank_Keys!D79)=0),0.5,(SUMPRODUCT(--ISNUMBER(Risk_Rank_Keys!$D$2:$D$800),--(Risk_Rank_Keys!$D$2:$D$800&lt;Risk_Rank_Keys!D79))+(SUMPRODUCT(--ISNUMBER(Risk_Rank_Keys!$D$2:$D$800),--(Risk_Rank_Keys!$D$2:$D$800=Risk_Rank_Keys!D79))+1)/2)/COUNT(Risk_Rank_Keys!$D$2:$D$800))</f>
        <v/>
      </c>
      <c r="P79">
        <f>AVERAGE(M79:O79)</f>
        <v/>
      </c>
      <c r="Q79">
        <f>0.4*H79+0.4*I79+0.2*P79</f>
        <v/>
      </c>
      <c r="R79">
        <f>PERCENTILE($Q$2:$Q$800,0.75)</f>
        <v/>
      </c>
      <c r="S79">
        <f>OR(Q79&gt;=R79,AND(B79="CW",COUNT(J79:L79)&lt;3))</f>
        <v/>
      </c>
      <c r="T79" t="n">
        <v>0.2327607788410044</v>
      </c>
      <c r="U79" t="n">
        <v>8.325270803429865</v>
      </c>
      <c r="V79" t="n">
        <v>0.453763159318744</v>
      </c>
      <c r="W79">
        <f>Q79-V79</f>
        <v/>
      </c>
    </row>
    <row r="80">
      <c r="A80" t="inlineStr">
        <is>
          <t>2021-05-24</t>
        </is>
      </c>
      <c r="B80" t="inlineStr">
        <is>
          <t>CW</t>
        </is>
      </c>
      <c r="C80" t="n">
        <v>53.21464527771855</v>
      </c>
      <c r="D80">
        <f>SUMPRODUCT(Risk_Inputs!B80:AJ80,Risk_Coefs!$B$2:$AJ$2)</f>
        <v/>
      </c>
      <c r="E80">
        <f>1/(1+EXP(-MAX(-25,MIN(25,D80))))</f>
        <v/>
      </c>
      <c r="F80">
        <f>SUMPRODUCT(Risk_Inputs!B80:AJ80,Risk_Coefs!$B$3:$AJ$3)</f>
        <v/>
      </c>
      <c r="G80">
        <f>MAX(0,F80)</f>
        <v/>
      </c>
      <c r="H80">
        <f>(SUMPRODUCT(--ISNUMBER($E$2:$E$800),--($E$2:$E$800&lt;E80))+(SUMPRODUCT(--ISNUMBER($E$2:$E$800),--($E$2:$E$800=E80))+1)/2)/COUNT($E$2:$E$800)</f>
        <v/>
      </c>
      <c r="I80">
        <f>(SUMPRODUCT(--ISNUMBER($G$2:$G$800),--($G$2:$G$800&lt;G80))+(SUMPRODUCT(--ISNUMBER($G$2:$G$800),--($G$2:$G$800=G80))+1)/2)/COUNT($G$2:$G$800)</f>
        <v/>
      </c>
      <c r="J80" t="n">
        <v>12.94638749786465</v>
      </c>
      <c r="K80" t="n">
        <v>2.126230975828111</v>
      </c>
      <c r="L80" t="n">
        <v>0.380483437779771</v>
      </c>
      <c r="M80">
        <f>IF(OR(B80="NW",COUNT(Risk_Rank_Keys!B80)=0),0.5,(SUMPRODUCT(--ISNUMBER(Risk_Rank_Keys!$B$2:$B$800),--(Risk_Rank_Keys!$B$2:$B$800&lt;Risk_Rank_Keys!B80))+(SUMPRODUCT(--ISNUMBER(Risk_Rank_Keys!$B$2:$B$800),--(Risk_Rank_Keys!$B$2:$B$800=Risk_Rank_Keys!B80))+1)/2)/COUNT(Risk_Rank_Keys!$B$2:$B$800))</f>
        <v/>
      </c>
      <c r="N80">
        <f>IF(OR(B80="NW",COUNT(Risk_Rank_Keys!C80)=0),0.5,(SUMPRODUCT(--ISNUMBER(Risk_Rank_Keys!$C$2:$C$800),--(Risk_Rank_Keys!$C$2:$C$800&lt;Risk_Rank_Keys!C80))+(SUMPRODUCT(--ISNUMBER(Risk_Rank_Keys!$C$2:$C$800),--(Risk_Rank_Keys!$C$2:$C$800=Risk_Rank_Keys!C80))+1)/2)/COUNT(Risk_Rank_Keys!$C$2:$C$800))</f>
        <v/>
      </c>
      <c r="O80">
        <f>IF(OR(B80="NW",COUNT(Risk_Rank_Keys!D80)=0),0.5,(SUMPRODUCT(--ISNUMBER(Risk_Rank_Keys!$D$2:$D$800),--(Risk_Rank_Keys!$D$2:$D$800&lt;Risk_Rank_Keys!D80))+(SUMPRODUCT(--ISNUMBER(Risk_Rank_Keys!$D$2:$D$800),--(Risk_Rank_Keys!$D$2:$D$800=Risk_Rank_Keys!D80))+1)/2)/COUNT(Risk_Rank_Keys!$D$2:$D$800))</f>
        <v/>
      </c>
      <c r="P80">
        <f>AVERAGE(M80:O80)</f>
        <v/>
      </c>
      <c r="Q80">
        <f>0.4*H80+0.4*I80+0.2*P80</f>
        <v/>
      </c>
      <c r="R80">
        <f>PERCENTILE($Q$2:$Q$800,0.75)</f>
        <v/>
      </c>
      <c r="S80">
        <f>OR(Q80&gt;=R80,AND(B80="CW",COUNT(J80:L80)&lt;3))</f>
        <v/>
      </c>
      <c r="T80" t="n">
        <v>0.3037923585394407</v>
      </c>
      <c r="U80" t="n">
        <v>6.509464064893205</v>
      </c>
      <c r="V80" t="n">
        <v>0.4920021481989633</v>
      </c>
      <c r="W80">
        <f>Q80-V80</f>
        <v/>
      </c>
    </row>
    <row r="81">
      <c r="A81" t="inlineStr">
        <is>
          <t>2021-05-26</t>
        </is>
      </c>
      <c r="B81" t="inlineStr">
        <is>
          <t>NW</t>
        </is>
      </c>
      <c r="C81" t="n">
        <v>-12.11671340272259</v>
      </c>
      <c r="D81">
        <f>SUMPRODUCT(Risk_Inputs!B81:AJ81,Risk_Coefs!$B$2:$AJ$2)</f>
        <v/>
      </c>
      <c r="E81">
        <f>1/(1+EXP(-MAX(-25,MIN(25,D81))))</f>
        <v/>
      </c>
      <c r="F81">
        <f>SUMPRODUCT(Risk_Inputs!B81:AJ81,Risk_Coefs!$B$3:$AJ$3)</f>
        <v/>
      </c>
      <c r="G81">
        <f>MAX(0,F81)</f>
        <v/>
      </c>
      <c r="H81">
        <f>(SUMPRODUCT(--ISNUMBER($E$2:$E$800),--($E$2:$E$800&lt;E81))+(SUMPRODUCT(--ISNUMBER($E$2:$E$800),--($E$2:$E$800=E81))+1)/2)/COUNT($E$2:$E$800)</f>
        <v/>
      </c>
      <c r="I81">
        <f>(SUMPRODUCT(--ISNUMBER($G$2:$G$800),--($G$2:$G$800&lt;G81))+(SUMPRODUCT(--ISNUMBER($G$2:$G$800),--($G$2:$G$800=G81))+1)/2)/COUNT($G$2:$G$800)</f>
        <v/>
      </c>
      <c r="M81">
        <f>IF(OR(B81="NW",COUNT(Risk_Rank_Keys!B81)=0),0.5,(SUMPRODUCT(--ISNUMBER(Risk_Rank_Keys!$B$2:$B$800),--(Risk_Rank_Keys!$B$2:$B$800&lt;Risk_Rank_Keys!B81))+(SUMPRODUCT(--ISNUMBER(Risk_Rank_Keys!$B$2:$B$800),--(Risk_Rank_Keys!$B$2:$B$800=Risk_Rank_Keys!B81))+1)/2)/COUNT(Risk_Rank_Keys!$B$2:$B$800))</f>
        <v/>
      </c>
      <c r="N81">
        <f>IF(OR(B81="NW",COUNT(Risk_Rank_Keys!C81)=0),0.5,(SUMPRODUCT(--ISNUMBER(Risk_Rank_Keys!$C$2:$C$800),--(Risk_Rank_Keys!$C$2:$C$800&lt;Risk_Rank_Keys!C81))+(SUMPRODUCT(--ISNUMBER(Risk_Rank_Keys!$C$2:$C$800),--(Risk_Rank_Keys!$C$2:$C$800=Risk_Rank_Keys!C81))+1)/2)/COUNT(Risk_Rank_Keys!$C$2:$C$800))</f>
        <v/>
      </c>
      <c r="O81">
        <f>IF(OR(B81="NW",COUNT(Risk_Rank_Keys!D81)=0),0.5,(SUMPRODUCT(--ISNUMBER(Risk_Rank_Keys!$D$2:$D$800),--(Risk_Rank_Keys!$D$2:$D$800&lt;Risk_Rank_Keys!D81))+(SUMPRODUCT(--ISNUMBER(Risk_Rank_Keys!$D$2:$D$800),--(Risk_Rank_Keys!$D$2:$D$800=Risk_Rank_Keys!D81))+1)/2)/COUNT(Risk_Rank_Keys!$D$2:$D$800))</f>
        <v/>
      </c>
      <c r="P81">
        <f>AVERAGE(M81:O81)</f>
        <v/>
      </c>
      <c r="Q81">
        <f>0.4*H81+0.4*I81+0.2*P81</f>
        <v/>
      </c>
      <c r="R81">
        <f>PERCENTILE($Q$2:$Q$800,0.75)</f>
        <v/>
      </c>
      <c r="S81">
        <f>OR(Q81&gt;=R81,AND(B81="CW",COUNT(J81:L81)&lt;3))</f>
        <v/>
      </c>
      <c r="T81" t="n">
        <v>0.3694165933850648</v>
      </c>
      <c r="U81" t="n">
        <v>11.25062100152266</v>
      </c>
      <c r="V81" t="n">
        <v>0.8068836045056321</v>
      </c>
      <c r="W81">
        <f>Q81-V81</f>
        <v/>
      </c>
    </row>
    <row r="82">
      <c r="A82" t="inlineStr">
        <is>
          <t>2021-05-27</t>
        </is>
      </c>
      <c r="B82" t="inlineStr">
        <is>
          <t>CW</t>
        </is>
      </c>
      <c r="C82" t="n">
        <v>37.3033368303023</v>
      </c>
      <c r="D82">
        <f>SUMPRODUCT(Risk_Inputs!B82:AJ82,Risk_Coefs!$B$2:$AJ$2)</f>
        <v/>
      </c>
      <c r="E82">
        <f>1/(1+EXP(-MAX(-25,MIN(25,D82))))</f>
        <v/>
      </c>
      <c r="F82">
        <f>SUMPRODUCT(Risk_Inputs!B82:AJ82,Risk_Coefs!$B$3:$AJ$3)</f>
        <v/>
      </c>
      <c r="G82">
        <f>MAX(0,F82)</f>
        <v/>
      </c>
      <c r="H82">
        <f>(SUMPRODUCT(--ISNUMBER($E$2:$E$800),--($E$2:$E$800&lt;E82))+(SUMPRODUCT(--ISNUMBER($E$2:$E$800),--($E$2:$E$800=E82))+1)/2)/COUNT($E$2:$E$800)</f>
        <v/>
      </c>
      <c r="I82">
        <f>(SUMPRODUCT(--ISNUMBER($G$2:$G$800),--($G$2:$G$800&lt;G82))+(SUMPRODUCT(--ISNUMBER($G$2:$G$800),--($G$2:$G$800=G82))+1)/2)/COUNT($G$2:$G$800)</f>
        <v/>
      </c>
      <c r="J82" t="n">
        <v>15.77951798963155</v>
      </c>
      <c r="K82" t="n">
        <v>28.49740932642487</v>
      </c>
      <c r="L82" t="n">
        <v>0.5181347150259019</v>
      </c>
      <c r="M82">
        <f>IF(OR(B82="NW",COUNT(Risk_Rank_Keys!B82)=0),0.5,(SUMPRODUCT(--ISNUMBER(Risk_Rank_Keys!$B$2:$B$800),--(Risk_Rank_Keys!$B$2:$B$800&lt;Risk_Rank_Keys!B82))+(SUMPRODUCT(--ISNUMBER(Risk_Rank_Keys!$B$2:$B$800),--(Risk_Rank_Keys!$B$2:$B$800=Risk_Rank_Keys!B82))+1)/2)/COUNT(Risk_Rank_Keys!$B$2:$B$800))</f>
        <v/>
      </c>
      <c r="N82">
        <f>IF(OR(B82="NW",COUNT(Risk_Rank_Keys!C82)=0),0.5,(SUMPRODUCT(--ISNUMBER(Risk_Rank_Keys!$C$2:$C$800),--(Risk_Rank_Keys!$C$2:$C$800&lt;Risk_Rank_Keys!C82))+(SUMPRODUCT(--ISNUMBER(Risk_Rank_Keys!$C$2:$C$800),--(Risk_Rank_Keys!$C$2:$C$800=Risk_Rank_Keys!C82))+1)/2)/COUNT(Risk_Rank_Keys!$C$2:$C$800))</f>
        <v/>
      </c>
      <c r="O82">
        <f>IF(OR(B82="NW",COUNT(Risk_Rank_Keys!D82)=0),0.5,(SUMPRODUCT(--ISNUMBER(Risk_Rank_Keys!$D$2:$D$800),--(Risk_Rank_Keys!$D$2:$D$800&lt;Risk_Rank_Keys!D82))+(SUMPRODUCT(--ISNUMBER(Risk_Rank_Keys!$D$2:$D$800),--(Risk_Rank_Keys!$D$2:$D$800=Risk_Rank_Keys!D82))+1)/2)/COUNT(Risk_Rank_Keys!$D$2:$D$800))</f>
        <v/>
      </c>
      <c r="P82">
        <f>AVERAGE(M82:O82)</f>
        <v/>
      </c>
      <c r="Q82">
        <f>0.4*H82+0.4*I82+0.2*P82</f>
        <v/>
      </c>
      <c r="R82">
        <f>PERCENTILE($Q$2:$Q$800,0.75)</f>
        <v/>
      </c>
      <c r="S82">
        <f>OR(Q82&gt;=R82,AND(B82="CW",COUNT(J82:L82)&lt;3))</f>
        <v/>
      </c>
      <c r="T82" t="n">
        <v>0.1574575930241994</v>
      </c>
      <c r="U82" t="n">
        <v>4.446770682268111</v>
      </c>
      <c r="V82" t="n">
        <v>0.223928329752032</v>
      </c>
      <c r="W82">
        <f>Q82-V82</f>
        <v/>
      </c>
    </row>
    <row r="83">
      <c r="A83" t="inlineStr">
        <is>
          <t>2021-05-28</t>
        </is>
      </c>
      <c r="B83" t="inlineStr">
        <is>
          <t>CW</t>
        </is>
      </c>
      <c r="C83" t="n">
        <v>29.43815794095508</v>
      </c>
      <c r="D83">
        <f>SUMPRODUCT(Risk_Inputs!B83:AJ83,Risk_Coefs!$B$2:$AJ$2)</f>
        <v/>
      </c>
      <c r="E83">
        <f>1/(1+EXP(-MAX(-25,MIN(25,D83))))</f>
        <v/>
      </c>
      <c r="F83">
        <f>SUMPRODUCT(Risk_Inputs!B83:AJ83,Risk_Coefs!$B$3:$AJ$3)</f>
        <v/>
      </c>
      <c r="G83">
        <f>MAX(0,F83)</f>
        <v/>
      </c>
      <c r="H83">
        <f>(SUMPRODUCT(--ISNUMBER($E$2:$E$800),--($E$2:$E$800&lt;E83))+(SUMPRODUCT(--ISNUMBER($E$2:$E$800),--($E$2:$E$800=E83))+1)/2)/COUNT($E$2:$E$800)</f>
        <v/>
      </c>
      <c r="I83">
        <f>(SUMPRODUCT(--ISNUMBER($G$2:$G$800),--($G$2:$G$800&lt;G83))+(SUMPRODUCT(--ISNUMBER($G$2:$G$800),--($G$2:$G$800=G83))+1)/2)/COUNT($G$2:$G$800)</f>
        <v/>
      </c>
      <c r="J83" t="n">
        <v>6.35241651109799</v>
      </c>
      <c r="K83" t="n">
        <v>2.306733167082299</v>
      </c>
      <c r="L83" t="n">
        <v>0.2701579384871179</v>
      </c>
      <c r="M83">
        <f>IF(OR(B83="NW",COUNT(Risk_Rank_Keys!B83)=0),0.5,(SUMPRODUCT(--ISNUMBER(Risk_Rank_Keys!$B$2:$B$800),--(Risk_Rank_Keys!$B$2:$B$800&lt;Risk_Rank_Keys!B83))+(SUMPRODUCT(--ISNUMBER(Risk_Rank_Keys!$B$2:$B$800),--(Risk_Rank_Keys!$B$2:$B$800=Risk_Rank_Keys!B83))+1)/2)/COUNT(Risk_Rank_Keys!$B$2:$B$800))</f>
        <v/>
      </c>
      <c r="N83">
        <f>IF(OR(B83="NW",COUNT(Risk_Rank_Keys!C83)=0),0.5,(SUMPRODUCT(--ISNUMBER(Risk_Rank_Keys!$C$2:$C$800),--(Risk_Rank_Keys!$C$2:$C$800&lt;Risk_Rank_Keys!C83))+(SUMPRODUCT(--ISNUMBER(Risk_Rank_Keys!$C$2:$C$800),--(Risk_Rank_Keys!$C$2:$C$800=Risk_Rank_Keys!C83))+1)/2)/COUNT(Risk_Rank_Keys!$C$2:$C$800))</f>
        <v/>
      </c>
      <c r="O83">
        <f>IF(OR(B83="NW",COUNT(Risk_Rank_Keys!D83)=0),0.5,(SUMPRODUCT(--ISNUMBER(Risk_Rank_Keys!$D$2:$D$800),--(Risk_Rank_Keys!$D$2:$D$800&lt;Risk_Rank_Keys!D83))+(SUMPRODUCT(--ISNUMBER(Risk_Rank_Keys!$D$2:$D$800),--(Risk_Rank_Keys!$D$2:$D$800=Risk_Rank_Keys!D83))+1)/2)/COUNT(Risk_Rank_Keys!$D$2:$D$800))</f>
        <v/>
      </c>
      <c r="P83">
        <f>AVERAGE(M83:O83)</f>
        <v/>
      </c>
      <c r="Q83">
        <f>0.4*H83+0.4*I83+0.2*P83</f>
        <v/>
      </c>
      <c r="R83">
        <f>PERCENTILE($Q$2:$Q$800,0.75)</f>
        <v/>
      </c>
      <c r="S83">
        <f>OR(Q83&gt;=R83,AND(B83="CW",COUNT(J83:L83)&lt;3))</f>
        <v/>
      </c>
      <c r="T83" t="n">
        <v>0.2314717430847662</v>
      </c>
      <c r="U83" t="n">
        <v>8.104025098996066</v>
      </c>
      <c r="V83" t="n">
        <v>0.3787008283832243</v>
      </c>
      <c r="W83">
        <f>Q83-V83</f>
        <v/>
      </c>
    </row>
    <row r="84">
      <c r="A84" t="inlineStr">
        <is>
          <t>2021-06-01</t>
        </is>
      </c>
      <c r="B84" t="inlineStr">
        <is>
          <t>CW</t>
        </is>
      </c>
      <c r="C84" t="n">
        <v>-35.83019947364445</v>
      </c>
      <c r="D84">
        <f>SUMPRODUCT(Risk_Inputs!B84:AJ84,Risk_Coefs!$B$2:$AJ$2)</f>
        <v/>
      </c>
      <c r="E84">
        <f>1/(1+EXP(-MAX(-25,MIN(25,D84))))</f>
        <v/>
      </c>
      <c r="F84">
        <f>SUMPRODUCT(Risk_Inputs!B84:AJ84,Risk_Coefs!$B$3:$AJ$3)</f>
        <v/>
      </c>
      <c r="G84">
        <f>MAX(0,F84)</f>
        <v/>
      </c>
      <c r="H84">
        <f>(SUMPRODUCT(--ISNUMBER($E$2:$E$800),--($E$2:$E$800&lt;E84))+(SUMPRODUCT(--ISNUMBER($E$2:$E$800),--($E$2:$E$800=E84))+1)/2)/COUNT($E$2:$E$800)</f>
        <v/>
      </c>
      <c r="I84">
        <f>(SUMPRODUCT(--ISNUMBER($G$2:$G$800),--($G$2:$G$800&lt;G84))+(SUMPRODUCT(--ISNUMBER($G$2:$G$800),--($G$2:$G$800=G84))+1)/2)/COUNT($G$2:$G$800)</f>
        <v/>
      </c>
      <c r="J84" t="n">
        <v>4.234841193455479</v>
      </c>
      <c r="K84" t="n">
        <v>2.665441176470603</v>
      </c>
      <c r="L84" t="n">
        <v>0.3982843137254937</v>
      </c>
      <c r="M84">
        <f>IF(OR(B84="NW",COUNT(Risk_Rank_Keys!B84)=0),0.5,(SUMPRODUCT(--ISNUMBER(Risk_Rank_Keys!$B$2:$B$800),--(Risk_Rank_Keys!$B$2:$B$800&lt;Risk_Rank_Keys!B84))+(SUMPRODUCT(--ISNUMBER(Risk_Rank_Keys!$B$2:$B$800),--(Risk_Rank_Keys!$B$2:$B$800=Risk_Rank_Keys!B84))+1)/2)/COUNT(Risk_Rank_Keys!$B$2:$B$800))</f>
        <v/>
      </c>
      <c r="N84">
        <f>IF(OR(B84="NW",COUNT(Risk_Rank_Keys!C84)=0),0.5,(SUMPRODUCT(--ISNUMBER(Risk_Rank_Keys!$C$2:$C$800),--(Risk_Rank_Keys!$C$2:$C$800&lt;Risk_Rank_Keys!C84))+(SUMPRODUCT(--ISNUMBER(Risk_Rank_Keys!$C$2:$C$800),--(Risk_Rank_Keys!$C$2:$C$800=Risk_Rank_Keys!C84))+1)/2)/COUNT(Risk_Rank_Keys!$C$2:$C$800))</f>
        <v/>
      </c>
      <c r="O84">
        <f>IF(OR(B84="NW",COUNT(Risk_Rank_Keys!D84)=0),0.5,(SUMPRODUCT(--ISNUMBER(Risk_Rank_Keys!$D$2:$D$800),--(Risk_Rank_Keys!$D$2:$D$800&lt;Risk_Rank_Keys!D84))+(SUMPRODUCT(--ISNUMBER(Risk_Rank_Keys!$D$2:$D$800),--(Risk_Rank_Keys!$D$2:$D$800=Risk_Rank_Keys!D84))+1)/2)/COUNT(Risk_Rank_Keys!$D$2:$D$800))</f>
        <v/>
      </c>
      <c r="P84">
        <f>AVERAGE(M84:O84)</f>
        <v/>
      </c>
      <c r="Q84">
        <f>0.4*H84+0.4*I84+0.2*P84</f>
        <v/>
      </c>
      <c r="R84">
        <f>PERCENTILE($Q$2:$Q$800,0.75)</f>
        <v/>
      </c>
      <c r="S84">
        <f>OR(Q84&gt;=R84,AND(B84="CW",COUNT(J84:L84)&lt;3))</f>
        <v/>
      </c>
      <c r="T84" t="n">
        <v>0.211225183056766</v>
      </c>
      <c r="U84" t="n">
        <v>4.767497524129254</v>
      </c>
      <c r="V84" t="n">
        <v>0.1867257363196325</v>
      </c>
      <c r="W84">
        <f>Q84-V84</f>
        <v/>
      </c>
    </row>
    <row r="85">
      <c r="A85" t="inlineStr">
        <is>
          <t>2021-06-02</t>
        </is>
      </c>
      <c r="B85" t="inlineStr">
        <is>
          <t>CW</t>
        </is>
      </c>
      <c r="C85" t="n">
        <v>39.32606457304792</v>
      </c>
      <c r="D85">
        <f>SUMPRODUCT(Risk_Inputs!B85:AJ85,Risk_Coefs!$B$2:$AJ$2)</f>
        <v/>
      </c>
      <c r="E85">
        <f>1/(1+EXP(-MAX(-25,MIN(25,D85))))</f>
        <v/>
      </c>
      <c r="F85">
        <f>SUMPRODUCT(Risk_Inputs!B85:AJ85,Risk_Coefs!$B$3:$AJ$3)</f>
        <v/>
      </c>
      <c r="G85">
        <f>MAX(0,F85)</f>
        <v/>
      </c>
      <c r="H85">
        <f>(SUMPRODUCT(--ISNUMBER($E$2:$E$800),--($E$2:$E$800&lt;E85))+(SUMPRODUCT(--ISNUMBER($E$2:$E$800),--($E$2:$E$800=E85))+1)/2)/COUNT($E$2:$E$800)</f>
        <v/>
      </c>
      <c r="I85">
        <f>(SUMPRODUCT(--ISNUMBER($G$2:$G$800),--($G$2:$G$800&lt;G85))+(SUMPRODUCT(--ISNUMBER($G$2:$G$800),--($G$2:$G$800=G85))+1)/2)/COUNT($G$2:$G$800)</f>
        <v/>
      </c>
      <c r="J85" t="n">
        <v>8.648155113824977</v>
      </c>
      <c r="K85" t="n">
        <v>3.87096774193548</v>
      </c>
      <c r="L85" t="n">
        <v>0.3795066413662239</v>
      </c>
      <c r="M85">
        <f>IF(OR(B85="NW",COUNT(Risk_Rank_Keys!B85)=0),0.5,(SUMPRODUCT(--ISNUMBER(Risk_Rank_Keys!$B$2:$B$800),--(Risk_Rank_Keys!$B$2:$B$800&lt;Risk_Rank_Keys!B85))+(SUMPRODUCT(--ISNUMBER(Risk_Rank_Keys!$B$2:$B$800),--(Risk_Rank_Keys!$B$2:$B$800=Risk_Rank_Keys!B85))+1)/2)/COUNT(Risk_Rank_Keys!$B$2:$B$800))</f>
        <v/>
      </c>
      <c r="N85">
        <f>IF(OR(B85="NW",COUNT(Risk_Rank_Keys!C85)=0),0.5,(SUMPRODUCT(--ISNUMBER(Risk_Rank_Keys!$C$2:$C$800),--(Risk_Rank_Keys!$C$2:$C$800&lt;Risk_Rank_Keys!C85))+(SUMPRODUCT(--ISNUMBER(Risk_Rank_Keys!$C$2:$C$800),--(Risk_Rank_Keys!$C$2:$C$800=Risk_Rank_Keys!C85))+1)/2)/COUNT(Risk_Rank_Keys!$C$2:$C$800))</f>
        <v/>
      </c>
      <c r="O85">
        <f>IF(OR(B85="NW",COUNT(Risk_Rank_Keys!D85)=0),0.5,(SUMPRODUCT(--ISNUMBER(Risk_Rank_Keys!$D$2:$D$800),--(Risk_Rank_Keys!$D$2:$D$800&lt;Risk_Rank_Keys!D85))+(SUMPRODUCT(--ISNUMBER(Risk_Rank_Keys!$D$2:$D$800),--(Risk_Rank_Keys!$D$2:$D$800=Risk_Rank_Keys!D85))+1)/2)/COUNT(Risk_Rank_Keys!$D$2:$D$800))</f>
        <v/>
      </c>
      <c r="P85">
        <f>AVERAGE(M85:O85)</f>
        <v/>
      </c>
      <c r="Q85">
        <f>0.4*H85+0.4*I85+0.2*P85</f>
        <v/>
      </c>
      <c r="R85">
        <f>PERCENTILE($Q$2:$Q$800,0.75)</f>
        <v/>
      </c>
      <c r="S85">
        <f>OR(Q85&gt;=R85,AND(B85="CW",COUNT(J85:L85)&lt;3))</f>
        <v/>
      </c>
      <c r="T85" t="n">
        <v>0.2157462236186916</v>
      </c>
      <c r="U85" t="n">
        <v>5.229576017368245</v>
      </c>
      <c r="V85" t="n">
        <v>0.2422045455471129</v>
      </c>
      <c r="W85">
        <f>Q85-V85</f>
        <v/>
      </c>
    </row>
    <row r="86">
      <c r="A86" t="inlineStr">
        <is>
          <t>2021-06-03</t>
        </is>
      </c>
      <c r="B86" t="inlineStr">
        <is>
          <t>NW</t>
        </is>
      </c>
      <c r="C86" t="n">
        <v>19.40736085670329</v>
      </c>
      <c r="D86">
        <f>SUMPRODUCT(Risk_Inputs!B86:AJ86,Risk_Coefs!$B$2:$AJ$2)</f>
        <v/>
      </c>
      <c r="E86">
        <f>1/(1+EXP(-MAX(-25,MIN(25,D86))))</f>
        <v/>
      </c>
      <c r="F86">
        <f>SUMPRODUCT(Risk_Inputs!B86:AJ86,Risk_Coefs!$B$3:$AJ$3)</f>
        <v/>
      </c>
      <c r="G86">
        <f>MAX(0,F86)</f>
        <v/>
      </c>
      <c r="H86">
        <f>(SUMPRODUCT(--ISNUMBER($E$2:$E$800),--($E$2:$E$800&lt;E86))+(SUMPRODUCT(--ISNUMBER($E$2:$E$800),--($E$2:$E$800=E86))+1)/2)/COUNT($E$2:$E$800)</f>
        <v/>
      </c>
      <c r="I86">
        <f>(SUMPRODUCT(--ISNUMBER($G$2:$G$800),--($G$2:$G$800&lt;G86))+(SUMPRODUCT(--ISNUMBER($G$2:$G$800),--($G$2:$G$800=G86))+1)/2)/COUNT($G$2:$G$800)</f>
        <v/>
      </c>
      <c r="M86">
        <f>IF(OR(B86="NW",COUNT(Risk_Rank_Keys!B86)=0),0.5,(SUMPRODUCT(--ISNUMBER(Risk_Rank_Keys!$B$2:$B$800),--(Risk_Rank_Keys!$B$2:$B$800&lt;Risk_Rank_Keys!B86))+(SUMPRODUCT(--ISNUMBER(Risk_Rank_Keys!$B$2:$B$800),--(Risk_Rank_Keys!$B$2:$B$800=Risk_Rank_Keys!B86))+1)/2)/COUNT(Risk_Rank_Keys!$B$2:$B$800))</f>
        <v/>
      </c>
      <c r="N86">
        <f>IF(OR(B86="NW",COUNT(Risk_Rank_Keys!C86)=0),0.5,(SUMPRODUCT(--ISNUMBER(Risk_Rank_Keys!$C$2:$C$800),--(Risk_Rank_Keys!$C$2:$C$800&lt;Risk_Rank_Keys!C86))+(SUMPRODUCT(--ISNUMBER(Risk_Rank_Keys!$C$2:$C$800),--(Risk_Rank_Keys!$C$2:$C$800=Risk_Rank_Keys!C86))+1)/2)/COUNT(Risk_Rank_Keys!$C$2:$C$800))</f>
        <v/>
      </c>
      <c r="O86">
        <f>IF(OR(B86="NW",COUNT(Risk_Rank_Keys!D86)=0),0.5,(SUMPRODUCT(--ISNUMBER(Risk_Rank_Keys!$D$2:$D$800),--(Risk_Rank_Keys!$D$2:$D$800&lt;Risk_Rank_Keys!D86))+(SUMPRODUCT(--ISNUMBER(Risk_Rank_Keys!$D$2:$D$800),--(Risk_Rank_Keys!$D$2:$D$800=Risk_Rank_Keys!D86))+1)/2)/COUNT(Risk_Rank_Keys!$D$2:$D$800))</f>
        <v/>
      </c>
      <c r="P86">
        <f>AVERAGE(M86:O86)</f>
        <v/>
      </c>
      <c r="Q86">
        <f>0.4*H86+0.4*I86+0.2*P86</f>
        <v/>
      </c>
      <c r="R86">
        <f>PERCENTILE($Q$2:$Q$800,0.75)</f>
        <v/>
      </c>
      <c r="S86">
        <f>OR(Q86&gt;=R86,AND(B86="CW",COUNT(J86:L86)&lt;3))</f>
        <v/>
      </c>
      <c r="T86" t="n">
        <v>0.3369084596219428</v>
      </c>
      <c r="U86" t="n">
        <v>10.00096556194125</v>
      </c>
      <c r="V86" t="n">
        <v>0.7222778473091364</v>
      </c>
      <c r="W86">
        <f>Q86-V86</f>
        <v/>
      </c>
    </row>
    <row r="87">
      <c r="A87" t="inlineStr">
        <is>
          <t>2021-06-04</t>
        </is>
      </c>
      <c r="B87" t="inlineStr">
        <is>
          <t>CW</t>
        </is>
      </c>
      <c r="C87" t="n">
        <v>30.23708101893354</v>
      </c>
      <c r="D87">
        <f>SUMPRODUCT(Risk_Inputs!B87:AJ87,Risk_Coefs!$B$2:$AJ$2)</f>
        <v/>
      </c>
      <c r="E87">
        <f>1/(1+EXP(-MAX(-25,MIN(25,D87))))</f>
        <v/>
      </c>
      <c r="F87">
        <f>SUMPRODUCT(Risk_Inputs!B87:AJ87,Risk_Coefs!$B$3:$AJ$3)</f>
        <v/>
      </c>
      <c r="G87">
        <f>MAX(0,F87)</f>
        <v/>
      </c>
      <c r="H87">
        <f>(SUMPRODUCT(--ISNUMBER($E$2:$E$800),--($E$2:$E$800&lt;E87))+(SUMPRODUCT(--ISNUMBER($E$2:$E$800),--($E$2:$E$800=E87))+1)/2)/COUNT($E$2:$E$800)</f>
        <v/>
      </c>
      <c r="I87">
        <f>(SUMPRODUCT(--ISNUMBER($G$2:$G$800),--($G$2:$G$800&lt;G87))+(SUMPRODUCT(--ISNUMBER($G$2:$G$800),--($G$2:$G$800=G87))+1)/2)/COUNT($G$2:$G$800)</f>
        <v/>
      </c>
      <c r="J87" t="n">
        <v>20.81394311068022</v>
      </c>
      <c r="K87" t="n">
        <v>8.75494940607126</v>
      </c>
      <c r="L87" t="n">
        <v>0.4179498460184789</v>
      </c>
      <c r="M87">
        <f>IF(OR(B87="NW",COUNT(Risk_Rank_Keys!B87)=0),0.5,(SUMPRODUCT(--ISNUMBER(Risk_Rank_Keys!$B$2:$B$800),--(Risk_Rank_Keys!$B$2:$B$800&lt;Risk_Rank_Keys!B87))+(SUMPRODUCT(--ISNUMBER(Risk_Rank_Keys!$B$2:$B$800),--(Risk_Rank_Keys!$B$2:$B$800=Risk_Rank_Keys!B87))+1)/2)/COUNT(Risk_Rank_Keys!$B$2:$B$800))</f>
        <v/>
      </c>
      <c r="N87">
        <f>IF(OR(B87="NW",COUNT(Risk_Rank_Keys!C87)=0),0.5,(SUMPRODUCT(--ISNUMBER(Risk_Rank_Keys!$C$2:$C$800),--(Risk_Rank_Keys!$C$2:$C$800&lt;Risk_Rank_Keys!C87))+(SUMPRODUCT(--ISNUMBER(Risk_Rank_Keys!$C$2:$C$800),--(Risk_Rank_Keys!$C$2:$C$800=Risk_Rank_Keys!C87))+1)/2)/COUNT(Risk_Rank_Keys!$C$2:$C$800))</f>
        <v/>
      </c>
      <c r="O87">
        <f>IF(OR(B87="NW",COUNT(Risk_Rank_Keys!D87)=0),0.5,(SUMPRODUCT(--ISNUMBER(Risk_Rank_Keys!$D$2:$D$800),--(Risk_Rank_Keys!$D$2:$D$800&lt;Risk_Rank_Keys!D87))+(SUMPRODUCT(--ISNUMBER(Risk_Rank_Keys!$D$2:$D$800),--(Risk_Rank_Keys!$D$2:$D$800=Risk_Rank_Keys!D87))+1)/2)/COUNT(Risk_Rank_Keys!$D$2:$D$800))</f>
        <v/>
      </c>
      <c r="P87">
        <f>AVERAGE(M87:O87)</f>
        <v/>
      </c>
      <c r="Q87">
        <f>0.4*H87+0.4*I87+0.2*P87</f>
        <v/>
      </c>
      <c r="R87">
        <f>PERCENTILE($Q$2:$Q$800,0.75)</f>
        <v/>
      </c>
      <c r="S87">
        <f>OR(Q87&gt;=R87,AND(B87="CW",COUNT(J87:L87)&lt;3))</f>
        <v/>
      </c>
      <c r="T87" t="n">
        <v>0.1827313731773838</v>
      </c>
      <c r="U87" t="n">
        <v>5.403009696521829</v>
      </c>
      <c r="V87" t="n">
        <v>0.2723168023255476</v>
      </c>
      <c r="W87">
        <f>Q87-V87</f>
        <v/>
      </c>
    </row>
    <row r="88">
      <c r="A88" t="inlineStr">
        <is>
          <t>2021-06-07</t>
        </is>
      </c>
      <c r="B88" t="inlineStr">
        <is>
          <t>CW</t>
        </is>
      </c>
      <c r="C88" t="n">
        <v>9.31839406938454</v>
      </c>
      <c r="D88">
        <f>SUMPRODUCT(Risk_Inputs!B88:AJ88,Risk_Coefs!$B$2:$AJ$2)</f>
        <v/>
      </c>
      <c r="E88">
        <f>1/(1+EXP(-MAX(-25,MIN(25,D88))))</f>
        <v/>
      </c>
      <c r="F88">
        <f>SUMPRODUCT(Risk_Inputs!B88:AJ88,Risk_Coefs!$B$3:$AJ$3)</f>
        <v/>
      </c>
      <c r="G88">
        <f>MAX(0,F88)</f>
        <v/>
      </c>
      <c r="H88">
        <f>(SUMPRODUCT(--ISNUMBER($E$2:$E$800),--($E$2:$E$800&lt;E88))+(SUMPRODUCT(--ISNUMBER($E$2:$E$800),--($E$2:$E$800=E88))+1)/2)/COUNT($E$2:$E$800)</f>
        <v/>
      </c>
      <c r="I88">
        <f>(SUMPRODUCT(--ISNUMBER($G$2:$G$800),--($G$2:$G$800&lt;G88))+(SUMPRODUCT(--ISNUMBER($G$2:$G$800),--($G$2:$G$800=G88))+1)/2)/COUNT($G$2:$G$800)</f>
        <v/>
      </c>
      <c r="J88" t="n">
        <v>6.235167617847385</v>
      </c>
      <c r="K88" t="n">
        <v>1.324503311258297</v>
      </c>
      <c r="L88" t="n">
        <v>0.1379690949227373</v>
      </c>
      <c r="M88">
        <f>IF(OR(B88="NW",COUNT(Risk_Rank_Keys!B88)=0),0.5,(SUMPRODUCT(--ISNUMBER(Risk_Rank_Keys!$B$2:$B$800),--(Risk_Rank_Keys!$B$2:$B$800&lt;Risk_Rank_Keys!B88))+(SUMPRODUCT(--ISNUMBER(Risk_Rank_Keys!$B$2:$B$800),--(Risk_Rank_Keys!$B$2:$B$800=Risk_Rank_Keys!B88))+1)/2)/COUNT(Risk_Rank_Keys!$B$2:$B$800))</f>
        <v/>
      </c>
      <c r="N88">
        <f>IF(OR(B88="NW",COUNT(Risk_Rank_Keys!C88)=0),0.5,(SUMPRODUCT(--ISNUMBER(Risk_Rank_Keys!$C$2:$C$800),--(Risk_Rank_Keys!$C$2:$C$800&lt;Risk_Rank_Keys!C88))+(SUMPRODUCT(--ISNUMBER(Risk_Rank_Keys!$C$2:$C$800),--(Risk_Rank_Keys!$C$2:$C$800=Risk_Rank_Keys!C88))+1)/2)/COUNT(Risk_Rank_Keys!$C$2:$C$800))</f>
        <v/>
      </c>
      <c r="O88">
        <f>IF(OR(B88="NW",COUNT(Risk_Rank_Keys!D88)=0),0.5,(SUMPRODUCT(--ISNUMBER(Risk_Rank_Keys!$D$2:$D$800),--(Risk_Rank_Keys!$D$2:$D$800&lt;Risk_Rank_Keys!D88))+(SUMPRODUCT(--ISNUMBER(Risk_Rank_Keys!$D$2:$D$800),--(Risk_Rank_Keys!$D$2:$D$800=Risk_Rank_Keys!D88))+1)/2)/COUNT(Risk_Rank_Keys!$D$2:$D$800))</f>
        <v/>
      </c>
      <c r="P88">
        <f>AVERAGE(M88:O88)</f>
        <v/>
      </c>
      <c r="Q88">
        <f>0.4*H88+0.4*I88+0.2*P88</f>
        <v/>
      </c>
      <c r="R88">
        <f>PERCENTILE($Q$2:$Q$800,0.75)</f>
        <v/>
      </c>
      <c r="S88">
        <f>OR(Q88&gt;=R88,AND(B88="CW",COUNT(J88:L88)&lt;3))</f>
        <v/>
      </c>
      <c r="T88" t="n">
        <v>0.3655423091098589</v>
      </c>
      <c r="U88" t="n">
        <v>10.04480570734585</v>
      </c>
      <c r="V88" t="n">
        <v>0.6901289326674617</v>
      </c>
      <c r="W88">
        <f>Q88-V88</f>
        <v/>
      </c>
    </row>
    <row r="89">
      <c r="A89" t="inlineStr">
        <is>
          <t>2021-06-08</t>
        </is>
      </c>
      <c r="B89" t="inlineStr">
        <is>
          <t>CW</t>
        </is>
      </c>
      <c r="C89" t="n">
        <v>23.9075689528817</v>
      </c>
      <c r="D89">
        <f>SUMPRODUCT(Risk_Inputs!B89:AJ89,Risk_Coefs!$B$2:$AJ$2)</f>
        <v/>
      </c>
      <c r="E89">
        <f>1/(1+EXP(-MAX(-25,MIN(25,D89))))</f>
        <v/>
      </c>
      <c r="F89">
        <f>SUMPRODUCT(Risk_Inputs!B89:AJ89,Risk_Coefs!$B$3:$AJ$3)</f>
        <v/>
      </c>
      <c r="G89">
        <f>MAX(0,F89)</f>
        <v/>
      </c>
      <c r="H89">
        <f>(SUMPRODUCT(--ISNUMBER($E$2:$E$800),--($E$2:$E$800&lt;E89))+(SUMPRODUCT(--ISNUMBER($E$2:$E$800),--($E$2:$E$800=E89))+1)/2)/COUNT($E$2:$E$800)</f>
        <v/>
      </c>
      <c r="I89">
        <f>(SUMPRODUCT(--ISNUMBER($G$2:$G$800),--($G$2:$G$800&lt;G89))+(SUMPRODUCT(--ISNUMBER($G$2:$G$800),--($G$2:$G$800=G89))+1)/2)/COUNT($G$2:$G$800)</f>
        <v/>
      </c>
      <c r="J89" t="n">
        <v>5.909376846680958</v>
      </c>
      <c r="K89" t="n">
        <v>1.764705882352934</v>
      </c>
      <c r="L89" t="n">
        <v>0.359477124183014</v>
      </c>
      <c r="M89">
        <f>IF(OR(B89="NW",COUNT(Risk_Rank_Keys!B89)=0),0.5,(SUMPRODUCT(--ISNUMBER(Risk_Rank_Keys!$B$2:$B$800),--(Risk_Rank_Keys!$B$2:$B$800&lt;Risk_Rank_Keys!B89))+(SUMPRODUCT(--ISNUMBER(Risk_Rank_Keys!$B$2:$B$800),--(Risk_Rank_Keys!$B$2:$B$800=Risk_Rank_Keys!B89))+1)/2)/COUNT(Risk_Rank_Keys!$B$2:$B$800))</f>
        <v/>
      </c>
      <c r="N89">
        <f>IF(OR(B89="NW",COUNT(Risk_Rank_Keys!C89)=0),0.5,(SUMPRODUCT(--ISNUMBER(Risk_Rank_Keys!$C$2:$C$800),--(Risk_Rank_Keys!$C$2:$C$800&lt;Risk_Rank_Keys!C89))+(SUMPRODUCT(--ISNUMBER(Risk_Rank_Keys!$C$2:$C$800),--(Risk_Rank_Keys!$C$2:$C$800=Risk_Rank_Keys!C89))+1)/2)/COUNT(Risk_Rank_Keys!$C$2:$C$800))</f>
        <v/>
      </c>
      <c r="O89">
        <f>IF(OR(B89="NW",COUNT(Risk_Rank_Keys!D89)=0),0.5,(SUMPRODUCT(--ISNUMBER(Risk_Rank_Keys!$D$2:$D$800),--(Risk_Rank_Keys!$D$2:$D$800&lt;Risk_Rank_Keys!D89))+(SUMPRODUCT(--ISNUMBER(Risk_Rank_Keys!$D$2:$D$800),--(Risk_Rank_Keys!$D$2:$D$800=Risk_Rank_Keys!D89))+1)/2)/COUNT(Risk_Rank_Keys!$D$2:$D$800))</f>
        <v/>
      </c>
      <c r="P89">
        <f>AVERAGE(M89:O89)</f>
        <v/>
      </c>
      <c r="Q89">
        <f>0.4*H89+0.4*I89+0.2*P89</f>
        <v/>
      </c>
      <c r="R89">
        <f>PERCENTILE($Q$2:$Q$800,0.75)</f>
        <v/>
      </c>
      <c r="S89">
        <f>OR(Q89&gt;=R89,AND(B89="CW",COUNT(J89:L89)&lt;3))</f>
        <v/>
      </c>
      <c r="T89" t="n">
        <v>0.2751978360616555</v>
      </c>
      <c r="U89" t="n">
        <v>6.467010484858682</v>
      </c>
      <c r="V89" t="n">
        <v>0.3902724756480236</v>
      </c>
      <c r="W89">
        <f>Q89-V89</f>
        <v/>
      </c>
    </row>
    <row r="90">
      <c r="A90" t="inlineStr">
        <is>
          <t>2021-06-09</t>
        </is>
      </c>
      <c r="B90" t="inlineStr">
        <is>
          <t>CW</t>
        </is>
      </c>
      <c r="C90" t="n">
        <v>-43.54766377203834</v>
      </c>
      <c r="D90">
        <f>SUMPRODUCT(Risk_Inputs!B90:AJ90,Risk_Coefs!$B$2:$AJ$2)</f>
        <v/>
      </c>
      <c r="E90">
        <f>1/(1+EXP(-MAX(-25,MIN(25,D90))))</f>
        <v/>
      </c>
      <c r="F90">
        <f>SUMPRODUCT(Risk_Inputs!B90:AJ90,Risk_Coefs!$B$3:$AJ$3)</f>
        <v/>
      </c>
      <c r="G90">
        <f>MAX(0,F90)</f>
        <v/>
      </c>
      <c r="H90">
        <f>(SUMPRODUCT(--ISNUMBER($E$2:$E$800),--($E$2:$E$800&lt;E90))+(SUMPRODUCT(--ISNUMBER($E$2:$E$800),--($E$2:$E$800=E90))+1)/2)/COUNT($E$2:$E$800)</f>
        <v/>
      </c>
      <c r="I90">
        <f>(SUMPRODUCT(--ISNUMBER($G$2:$G$800),--($G$2:$G$800&lt;G90))+(SUMPRODUCT(--ISNUMBER($G$2:$G$800),--($G$2:$G$800=G90))+1)/2)/COUNT($G$2:$G$800)</f>
        <v/>
      </c>
      <c r="J90" t="n">
        <v>5.746068229004167</v>
      </c>
      <c r="K90" t="n">
        <v>2.571926765475143</v>
      </c>
      <c r="L90" t="n">
        <v>0.261551874455104</v>
      </c>
      <c r="M90">
        <f>IF(OR(B90="NW",COUNT(Risk_Rank_Keys!B90)=0),0.5,(SUMPRODUCT(--ISNUMBER(Risk_Rank_Keys!$B$2:$B$800),--(Risk_Rank_Keys!$B$2:$B$800&lt;Risk_Rank_Keys!B90))+(SUMPRODUCT(--ISNUMBER(Risk_Rank_Keys!$B$2:$B$800),--(Risk_Rank_Keys!$B$2:$B$800=Risk_Rank_Keys!B90))+1)/2)/COUNT(Risk_Rank_Keys!$B$2:$B$800))</f>
        <v/>
      </c>
      <c r="N90">
        <f>IF(OR(B90="NW",COUNT(Risk_Rank_Keys!C90)=0),0.5,(SUMPRODUCT(--ISNUMBER(Risk_Rank_Keys!$C$2:$C$800),--(Risk_Rank_Keys!$C$2:$C$800&lt;Risk_Rank_Keys!C90))+(SUMPRODUCT(--ISNUMBER(Risk_Rank_Keys!$C$2:$C$800),--(Risk_Rank_Keys!$C$2:$C$800=Risk_Rank_Keys!C90))+1)/2)/COUNT(Risk_Rank_Keys!$C$2:$C$800))</f>
        <v/>
      </c>
      <c r="O90">
        <f>IF(OR(B90="NW",COUNT(Risk_Rank_Keys!D90)=0),0.5,(SUMPRODUCT(--ISNUMBER(Risk_Rank_Keys!$D$2:$D$800),--(Risk_Rank_Keys!$D$2:$D$800&lt;Risk_Rank_Keys!D90))+(SUMPRODUCT(--ISNUMBER(Risk_Rank_Keys!$D$2:$D$800),--(Risk_Rank_Keys!$D$2:$D$800=Risk_Rank_Keys!D90))+1)/2)/COUNT(Risk_Rank_Keys!$D$2:$D$800))</f>
        <v/>
      </c>
      <c r="P90">
        <f>AVERAGE(M90:O90)</f>
        <v/>
      </c>
      <c r="Q90">
        <f>0.4*H90+0.4*I90+0.2*P90</f>
        <v/>
      </c>
      <c r="R90">
        <f>PERCENTILE($Q$2:$Q$800,0.75)</f>
        <v/>
      </c>
      <c r="S90">
        <f>OR(Q90&gt;=R90,AND(B90="CW",COUNT(J90:L90)&lt;3))</f>
        <v/>
      </c>
      <c r="T90" t="n">
        <v>0.3123907872747181</v>
      </c>
      <c r="U90" t="n">
        <v>8.525058850049035</v>
      </c>
      <c r="V90" t="n">
        <v>0.5768698553340443</v>
      </c>
      <c r="W90">
        <f>Q90-V90</f>
        <v/>
      </c>
    </row>
    <row r="91">
      <c r="A91" t="inlineStr">
        <is>
          <t>2021-06-10</t>
        </is>
      </c>
      <c r="B91" t="inlineStr">
        <is>
          <t>CW</t>
        </is>
      </c>
      <c r="C91" t="n">
        <v>20.40486239274858</v>
      </c>
      <c r="D91">
        <f>SUMPRODUCT(Risk_Inputs!B91:AJ91,Risk_Coefs!$B$2:$AJ$2)</f>
        <v/>
      </c>
      <c r="E91">
        <f>1/(1+EXP(-MAX(-25,MIN(25,D91))))</f>
        <v/>
      </c>
      <c r="F91">
        <f>SUMPRODUCT(Risk_Inputs!B91:AJ91,Risk_Coefs!$B$3:$AJ$3)</f>
        <v/>
      </c>
      <c r="G91">
        <f>MAX(0,F91)</f>
        <v/>
      </c>
      <c r="H91">
        <f>(SUMPRODUCT(--ISNUMBER($E$2:$E$800),--($E$2:$E$800&lt;E91))+(SUMPRODUCT(--ISNUMBER($E$2:$E$800),--($E$2:$E$800=E91))+1)/2)/COUNT($E$2:$E$800)</f>
        <v/>
      </c>
      <c r="I91">
        <f>(SUMPRODUCT(--ISNUMBER($G$2:$G$800),--($G$2:$G$800&lt;G91))+(SUMPRODUCT(--ISNUMBER($G$2:$G$800),--($G$2:$G$800=G91))+1)/2)/COUNT($G$2:$G$800)</f>
        <v/>
      </c>
      <c r="J91" t="n">
        <v>7.01660383616752</v>
      </c>
      <c r="K91" t="n">
        <v>4.545454545454546</v>
      </c>
      <c r="L91" t="n">
        <v>0.3636363636363774</v>
      </c>
      <c r="M91">
        <f>IF(OR(B91="NW",COUNT(Risk_Rank_Keys!B91)=0),0.5,(SUMPRODUCT(--ISNUMBER(Risk_Rank_Keys!$B$2:$B$800),--(Risk_Rank_Keys!$B$2:$B$800&lt;Risk_Rank_Keys!B91))+(SUMPRODUCT(--ISNUMBER(Risk_Rank_Keys!$B$2:$B$800),--(Risk_Rank_Keys!$B$2:$B$800=Risk_Rank_Keys!B91))+1)/2)/COUNT(Risk_Rank_Keys!$B$2:$B$800))</f>
        <v/>
      </c>
      <c r="N91">
        <f>IF(OR(B91="NW",COUNT(Risk_Rank_Keys!C91)=0),0.5,(SUMPRODUCT(--ISNUMBER(Risk_Rank_Keys!$C$2:$C$800),--(Risk_Rank_Keys!$C$2:$C$800&lt;Risk_Rank_Keys!C91))+(SUMPRODUCT(--ISNUMBER(Risk_Rank_Keys!$C$2:$C$800),--(Risk_Rank_Keys!$C$2:$C$800=Risk_Rank_Keys!C91))+1)/2)/COUNT(Risk_Rank_Keys!$C$2:$C$800))</f>
        <v/>
      </c>
      <c r="O91">
        <f>IF(OR(B91="NW",COUNT(Risk_Rank_Keys!D91)=0),0.5,(SUMPRODUCT(--ISNUMBER(Risk_Rank_Keys!$D$2:$D$800),--(Risk_Rank_Keys!$D$2:$D$800&lt;Risk_Rank_Keys!D91))+(SUMPRODUCT(--ISNUMBER(Risk_Rank_Keys!$D$2:$D$800),--(Risk_Rank_Keys!$D$2:$D$800=Risk_Rank_Keys!D91))+1)/2)/COUNT(Risk_Rank_Keys!$D$2:$D$800))</f>
        <v/>
      </c>
      <c r="P91">
        <f>AVERAGE(M91:O91)</f>
        <v/>
      </c>
      <c r="Q91">
        <f>0.4*H91+0.4*I91+0.2*P91</f>
        <v/>
      </c>
      <c r="R91">
        <f>PERCENTILE($Q$2:$Q$800,0.75)</f>
        <v/>
      </c>
      <c r="S91">
        <f>OR(Q91&gt;=R91,AND(B91="CW",COUNT(J91:L91)&lt;3))</f>
        <v/>
      </c>
      <c r="T91" t="n">
        <v>0.2757566493349846</v>
      </c>
      <c r="U91" t="n">
        <v>9.163045319737558</v>
      </c>
      <c r="V91" t="n">
        <v>0.5736256792399146</v>
      </c>
      <c r="W91">
        <f>Q91-V91</f>
        <v/>
      </c>
    </row>
    <row r="92">
      <c r="A92" t="inlineStr">
        <is>
          <t>2021-06-11</t>
        </is>
      </c>
      <c r="B92" t="inlineStr">
        <is>
          <t>CW</t>
        </is>
      </c>
      <c r="C92" t="n">
        <v>27.55330591582184</v>
      </c>
      <c r="D92">
        <f>SUMPRODUCT(Risk_Inputs!B92:AJ92,Risk_Coefs!$B$2:$AJ$2)</f>
        <v/>
      </c>
      <c r="E92">
        <f>1/(1+EXP(-MAX(-25,MIN(25,D92))))</f>
        <v/>
      </c>
      <c r="F92">
        <f>SUMPRODUCT(Risk_Inputs!B92:AJ92,Risk_Coefs!$B$3:$AJ$3)</f>
        <v/>
      </c>
      <c r="G92">
        <f>MAX(0,F92)</f>
        <v/>
      </c>
      <c r="H92">
        <f>(SUMPRODUCT(--ISNUMBER($E$2:$E$800),--($E$2:$E$800&lt;E92))+(SUMPRODUCT(--ISNUMBER($E$2:$E$800),--($E$2:$E$800=E92))+1)/2)/COUNT($E$2:$E$800)</f>
        <v/>
      </c>
      <c r="I92">
        <f>(SUMPRODUCT(--ISNUMBER($G$2:$G$800),--($G$2:$G$800&lt;G92))+(SUMPRODUCT(--ISNUMBER($G$2:$G$800),--($G$2:$G$800=G92))+1)/2)/COUNT($G$2:$G$800)</f>
        <v/>
      </c>
      <c r="J92" t="n">
        <v>5.853448630451221</v>
      </c>
      <c r="K92" t="n">
        <v>1.227596366314756</v>
      </c>
      <c r="L92" t="n">
        <v>0.2209673459366574</v>
      </c>
      <c r="M92">
        <f>IF(OR(B92="NW",COUNT(Risk_Rank_Keys!B92)=0),0.5,(SUMPRODUCT(--ISNUMBER(Risk_Rank_Keys!$B$2:$B$800),--(Risk_Rank_Keys!$B$2:$B$800&lt;Risk_Rank_Keys!B92))+(SUMPRODUCT(--ISNUMBER(Risk_Rank_Keys!$B$2:$B$800),--(Risk_Rank_Keys!$B$2:$B$800=Risk_Rank_Keys!B92))+1)/2)/COUNT(Risk_Rank_Keys!$B$2:$B$800))</f>
        <v/>
      </c>
      <c r="N92">
        <f>IF(OR(B92="NW",COUNT(Risk_Rank_Keys!C92)=0),0.5,(SUMPRODUCT(--ISNUMBER(Risk_Rank_Keys!$C$2:$C$800),--(Risk_Rank_Keys!$C$2:$C$800&lt;Risk_Rank_Keys!C92))+(SUMPRODUCT(--ISNUMBER(Risk_Rank_Keys!$C$2:$C$800),--(Risk_Rank_Keys!$C$2:$C$800=Risk_Rank_Keys!C92))+1)/2)/COUNT(Risk_Rank_Keys!$C$2:$C$800))</f>
        <v/>
      </c>
      <c r="O92">
        <f>IF(OR(B92="NW",COUNT(Risk_Rank_Keys!D92)=0),0.5,(SUMPRODUCT(--ISNUMBER(Risk_Rank_Keys!$D$2:$D$800),--(Risk_Rank_Keys!$D$2:$D$800&lt;Risk_Rank_Keys!D92))+(SUMPRODUCT(--ISNUMBER(Risk_Rank_Keys!$D$2:$D$800),--(Risk_Rank_Keys!$D$2:$D$800=Risk_Rank_Keys!D92))+1)/2)/COUNT(Risk_Rank_Keys!$D$2:$D$800))</f>
        <v/>
      </c>
      <c r="P92">
        <f>AVERAGE(M92:O92)</f>
        <v/>
      </c>
      <c r="Q92">
        <f>0.4*H92+0.4*I92+0.2*P92</f>
        <v/>
      </c>
      <c r="R92">
        <f>PERCENTILE($Q$2:$Q$800,0.75)</f>
        <v/>
      </c>
      <c r="S92">
        <f>OR(Q92&gt;=R92,AND(B92="CW",COUNT(J92:L92)&lt;3))</f>
        <v/>
      </c>
      <c r="T92" t="n">
        <v>0.2644475576619001</v>
      </c>
      <c r="U92" t="n">
        <v>6.932171436237963</v>
      </c>
      <c r="V92" t="n">
        <v>0.3576076325066957</v>
      </c>
      <c r="W92">
        <f>Q92-V92</f>
        <v/>
      </c>
    </row>
    <row r="93">
      <c r="A93" t="inlineStr">
        <is>
          <t>2021-06-14</t>
        </is>
      </c>
      <c r="B93" t="inlineStr">
        <is>
          <t>CW</t>
        </is>
      </c>
      <c r="C93" t="n">
        <v>14.45393337177704</v>
      </c>
      <c r="D93">
        <f>SUMPRODUCT(Risk_Inputs!B93:AJ93,Risk_Coefs!$B$2:$AJ$2)</f>
        <v/>
      </c>
      <c r="E93">
        <f>1/(1+EXP(-MAX(-25,MIN(25,D93))))</f>
        <v/>
      </c>
      <c r="F93">
        <f>SUMPRODUCT(Risk_Inputs!B93:AJ93,Risk_Coefs!$B$3:$AJ$3)</f>
        <v/>
      </c>
      <c r="G93">
        <f>MAX(0,F93)</f>
        <v/>
      </c>
      <c r="H93">
        <f>(SUMPRODUCT(--ISNUMBER($E$2:$E$800),--($E$2:$E$800&lt;E93))+(SUMPRODUCT(--ISNUMBER($E$2:$E$800),--($E$2:$E$800=E93))+1)/2)/COUNT($E$2:$E$800)</f>
        <v/>
      </c>
      <c r="I93">
        <f>(SUMPRODUCT(--ISNUMBER($G$2:$G$800),--($G$2:$G$800&lt;G93))+(SUMPRODUCT(--ISNUMBER($G$2:$G$800),--($G$2:$G$800=G93))+1)/2)/COUNT($G$2:$G$800)</f>
        <v/>
      </c>
      <c r="J93" t="n">
        <v>24.36115734629124</v>
      </c>
      <c r="K93" t="n">
        <v>6.266250650025992</v>
      </c>
      <c r="L93" t="n">
        <v>0.3380135205408172</v>
      </c>
      <c r="M93">
        <f>IF(OR(B93="NW",COUNT(Risk_Rank_Keys!B93)=0),0.5,(SUMPRODUCT(--ISNUMBER(Risk_Rank_Keys!$B$2:$B$800),--(Risk_Rank_Keys!$B$2:$B$800&lt;Risk_Rank_Keys!B93))+(SUMPRODUCT(--ISNUMBER(Risk_Rank_Keys!$B$2:$B$800),--(Risk_Rank_Keys!$B$2:$B$800=Risk_Rank_Keys!B93))+1)/2)/COUNT(Risk_Rank_Keys!$B$2:$B$800))</f>
        <v/>
      </c>
      <c r="N93">
        <f>IF(OR(B93="NW",COUNT(Risk_Rank_Keys!C93)=0),0.5,(SUMPRODUCT(--ISNUMBER(Risk_Rank_Keys!$C$2:$C$800),--(Risk_Rank_Keys!$C$2:$C$800&lt;Risk_Rank_Keys!C93))+(SUMPRODUCT(--ISNUMBER(Risk_Rank_Keys!$C$2:$C$800),--(Risk_Rank_Keys!$C$2:$C$800=Risk_Rank_Keys!C93))+1)/2)/COUNT(Risk_Rank_Keys!$C$2:$C$800))</f>
        <v/>
      </c>
      <c r="O93">
        <f>IF(OR(B93="NW",COUNT(Risk_Rank_Keys!D93)=0),0.5,(SUMPRODUCT(--ISNUMBER(Risk_Rank_Keys!$D$2:$D$800),--(Risk_Rank_Keys!$D$2:$D$800&lt;Risk_Rank_Keys!D93))+(SUMPRODUCT(--ISNUMBER(Risk_Rank_Keys!$D$2:$D$800),--(Risk_Rank_Keys!$D$2:$D$800=Risk_Rank_Keys!D93))+1)/2)/COUNT(Risk_Rank_Keys!$D$2:$D$800))</f>
        <v/>
      </c>
      <c r="P93">
        <f>AVERAGE(M93:O93)</f>
        <v/>
      </c>
      <c r="Q93">
        <f>0.4*H93+0.4*I93+0.2*P93</f>
        <v/>
      </c>
      <c r="R93">
        <f>PERCENTILE($Q$2:$Q$800,0.75)</f>
        <v/>
      </c>
      <c r="S93">
        <f>OR(Q93&gt;=R93,AND(B93="CW",COUNT(J93:L93)&lt;3))</f>
        <v/>
      </c>
      <c r="T93" t="n">
        <v>0.2955440350965403</v>
      </c>
      <c r="U93" t="n">
        <v>8.317818866175802</v>
      </c>
      <c r="V93" t="n">
        <v>0.6139217490016868</v>
      </c>
      <c r="W93">
        <f>Q93-V93</f>
        <v/>
      </c>
    </row>
    <row r="94">
      <c r="A94" t="inlineStr">
        <is>
          <t>2021-06-15</t>
        </is>
      </c>
      <c r="B94" t="inlineStr">
        <is>
          <t>CW</t>
        </is>
      </c>
      <c r="C94" t="n">
        <v>22.32889145673905</v>
      </c>
      <c r="D94">
        <f>SUMPRODUCT(Risk_Inputs!B94:AJ94,Risk_Coefs!$B$2:$AJ$2)</f>
        <v/>
      </c>
      <c r="E94">
        <f>1/(1+EXP(-MAX(-25,MIN(25,D94))))</f>
        <v/>
      </c>
      <c r="F94">
        <f>SUMPRODUCT(Risk_Inputs!B94:AJ94,Risk_Coefs!$B$3:$AJ$3)</f>
        <v/>
      </c>
      <c r="G94">
        <f>MAX(0,F94)</f>
        <v/>
      </c>
      <c r="H94">
        <f>(SUMPRODUCT(--ISNUMBER($E$2:$E$800),--($E$2:$E$800&lt;E94))+(SUMPRODUCT(--ISNUMBER($E$2:$E$800),--($E$2:$E$800=E94))+1)/2)/COUNT($E$2:$E$800)</f>
        <v/>
      </c>
      <c r="I94">
        <f>(SUMPRODUCT(--ISNUMBER($G$2:$G$800),--($G$2:$G$800&lt;G94))+(SUMPRODUCT(--ISNUMBER($G$2:$G$800),--($G$2:$G$800=G94))+1)/2)/COUNT($G$2:$G$800)</f>
        <v/>
      </c>
      <c r="J94" t="n">
        <v>5.077038541345441</v>
      </c>
      <c r="K94" t="n">
        <v>1.183020180932491</v>
      </c>
      <c r="L94" t="n">
        <v>0.27835768963118</v>
      </c>
      <c r="M94">
        <f>IF(OR(B94="NW",COUNT(Risk_Rank_Keys!B94)=0),0.5,(SUMPRODUCT(--ISNUMBER(Risk_Rank_Keys!$B$2:$B$800),--(Risk_Rank_Keys!$B$2:$B$800&lt;Risk_Rank_Keys!B94))+(SUMPRODUCT(--ISNUMBER(Risk_Rank_Keys!$B$2:$B$800),--(Risk_Rank_Keys!$B$2:$B$800=Risk_Rank_Keys!B94))+1)/2)/COUNT(Risk_Rank_Keys!$B$2:$B$800))</f>
        <v/>
      </c>
      <c r="N94">
        <f>IF(OR(B94="NW",COUNT(Risk_Rank_Keys!C94)=0),0.5,(SUMPRODUCT(--ISNUMBER(Risk_Rank_Keys!$C$2:$C$800),--(Risk_Rank_Keys!$C$2:$C$800&lt;Risk_Rank_Keys!C94))+(SUMPRODUCT(--ISNUMBER(Risk_Rank_Keys!$C$2:$C$800),--(Risk_Rank_Keys!$C$2:$C$800=Risk_Rank_Keys!C94))+1)/2)/COUNT(Risk_Rank_Keys!$C$2:$C$800))</f>
        <v/>
      </c>
      <c r="O94">
        <f>IF(OR(B94="NW",COUNT(Risk_Rank_Keys!D94)=0),0.5,(SUMPRODUCT(--ISNUMBER(Risk_Rank_Keys!$D$2:$D$800),--(Risk_Rank_Keys!$D$2:$D$800&lt;Risk_Rank_Keys!D94))+(SUMPRODUCT(--ISNUMBER(Risk_Rank_Keys!$D$2:$D$800),--(Risk_Rank_Keys!$D$2:$D$800=Risk_Rank_Keys!D94))+1)/2)/COUNT(Risk_Rank_Keys!$D$2:$D$800))</f>
        <v/>
      </c>
      <c r="P94">
        <f>AVERAGE(M94:O94)</f>
        <v/>
      </c>
      <c r="Q94">
        <f>0.4*H94+0.4*I94+0.2*P94</f>
        <v/>
      </c>
      <c r="R94">
        <f>PERCENTILE($Q$2:$Q$800,0.75)</f>
        <v/>
      </c>
      <c r="S94">
        <f>OR(Q94&gt;=R94,AND(B94="CW",COUNT(J94:L94)&lt;3))</f>
        <v/>
      </c>
      <c r="T94" t="n">
        <v>0.2897614867617075</v>
      </c>
      <c r="U94" t="n">
        <v>5.997444066195643</v>
      </c>
      <c r="V94" t="n">
        <v>0.3758097203093826</v>
      </c>
      <c r="W94">
        <f>Q94-V94</f>
        <v/>
      </c>
    </row>
    <row r="95">
      <c r="A95" t="inlineStr">
        <is>
          <t>2021-06-16</t>
        </is>
      </c>
      <c r="B95" t="inlineStr">
        <is>
          <t>CW</t>
        </is>
      </c>
      <c r="C95" t="n">
        <v>-13.60609602884639</v>
      </c>
      <c r="D95">
        <f>SUMPRODUCT(Risk_Inputs!B95:AJ95,Risk_Coefs!$B$2:$AJ$2)</f>
        <v/>
      </c>
      <c r="E95">
        <f>1/(1+EXP(-MAX(-25,MIN(25,D95))))</f>
        <v/>
      </c>
      <c r="F95">
        <f>SUMPRODUCT(Risk_Inputs!B95:AJ95,Risk_Coefs!$B$3:$AJ$3)</f>
        <v/>
      </c>
      <c r="G95">
        <f>MAX(0,F95)</f>
        <v/>
      </c>
      <c r="H95">
        <f>(SUMPRODUCT(--ISNUMBER($E$2:$E$800),--($E$2:$E$800&lt;E95))+(SUMPRODUCT(--ISNUMBER($E$2:$E$800),--($E$2:$E$800=E95))+1)/2)/COUNT($E$2:$E$800)</f>
        <v/>
      </c>
      <c r="I95">
        <f>(SUMPRODUCT(--ISNUMBER($G$2:$G$800),--($G$2:$G$800&lt;G95))+(SUMPRODUCT(--ISNUMBER($G$2:$G$800),--($G$2:$G$800=G95))+1)/2)/COUNT($G$2:$G$800)</f>
        <v/>
      </c>
      <c r="J95" t="n">
        <v>7.356655721141472</v>
      </c>
      <c r="K95" t="n">
        <v>2.465078060805259</v>
      </c>
      <c r="L95" t="n">
        <v>0.2875924404272755</v>
      </c>
      <c r="M95">
        <f>IF(OR(B95="NW",COUNT(Risk_Rank_Keys!B95)=0),0.5,(SUMPRODUCT(--ISNUMBER(Risk_Rank_Keys!$B$2:$B$800),--(Risk_Rank_Keys!$B$2:$B$800&lt;Risk_Rank_Keys!B95))+(SUMPRODUCT(--ISNUMBER(Risk_Rank_Keys!$B$2:$B$800),--(Risk_Rank_Keys!$B$2:$B$800=Risk_Rank_Keys!B95))+1)/2)/COUNT(Risk_Rank_Keys!$B$2:$B$800))</f>
        <v/>
      </c>
      <c r="N95">
        <f>IF(OR(B95="NW",COUNT(Risk_Rank_Keys!C95)=0),0.5,(SUMPRODUCT(--ISNUMBER(Risk_Rank_Keys!$C$2:$C$800),--(Risk_Rank_Keys!$C$2:$C$800&lt;Risk_Rank_Keys!C95))+(SUMPRODUCT(--ISNUMBER(Risk_Rank_Keys!$C$2:$C$800),--(Risk_Rank_Keys!$C$2:$C$800=Risk_Rank_Keys!C95))+1)/2)/COUNT(Risk_Rank_Keys!$C$2:$C$800))</f>
        <v/>
      </c>
      <c r="O95">
        <f>IF(OR(B95="NW",COUNT(Risk_Rank_Keys!D95)=0),0.5,(SUMPRODUCT(--ISNUMBER(Risk_Rank_Keys!$D$2:$D$800),--(Risk_Rank_Keys!$D$2:$D$800&lt;Risk_Rank_Keys!D95))+(SUMPRODUCT(--ISNUMBER(Risk_Rank_Keys!$D$2:$D$800),--(Risk_Rank_Keys!$D$2:$D$800=Risk_Rank_Keys!D95))+1)/2)/COUNT(Risk_Rank_Keys!$D$2:$D$800))</f>
        <v/>
      </c>
      <c r="P95">
        <f>AVERAGE(M95:O95)</f>
        <v/>
      </c>
      <c r="Q95">
        <f>0.4*H95+0.4*I95+0.2*P95</f>
        <v/>
      </c>
      <c r="R95">
        <f>PERCENTILE($Q$2:$Q$800,0.75)</f>
        <v/>
      </c>
      <c r="S95">
        <f>OR(Q95&gt;=R95,AND(B95="CW",COUNT(J95:L95)&lt;3))</f>
        <v/>
      </c>
      <c r="T95" t="n">
        <v>0.3282076488793018</v>
      </c>
      <c r="U95" t="n">
        <v>9.713093738484538</v>
      </c>
      <c r="V95" t="n">
        <v>0.6862504211156555</v>
      </c>
      <c r="W95">
        <f>Q95-V95</f>
        <v/>
      </c>
    </row>
    <row r="96">
      <c r="A96" t="inlineStr">
        <is>
          <t>2021-06-17</t>
        </is>
      </c>
      <c r="B96" t="inlineStr">
        <is>
          <t>CW</t>
        </is>
      </c>
      <c r="C96" t="n">
        <v>50.17790275476819</v>
      </c>
      <c r="D96">
        <f>SUMPRODUCT(Risk_Inputs!B96:AJ96,Risk_Coefs!$B$2:$AJ$2)</f>
        <v/>
      </c>
      <c r="E96">
        <f>1/(1+EXP(-MAX(-25,MIN(25,D96))))</f>
        <v/>
      </c>
      <c r="F96">
        <f>SUMPRODUCT(Risk_Inputs!B96:AJ96,Risk_Coefs!$B$3:$AJ$3)</f>
        <v/>
      </c>
      <c r="G96">
        <f>MAX(0,F96)</f>
        <v/>
      </c>
      <c r="H96">
        <f>(SUMPRODUCT(--ISNUMBER($E$2:$E$800),--($E$2:$E$800&lt;E96))+(SUMPRODUCT(--ISNUMBER($E$2:$E$800),--($E$2:$E$800=E96))+1)/2)/COUNT($E$2:$E$800)</f>
        <v/>
      </c>
      <c r="I96">
        <f>(SUMPRODUCT(--ISNUMBER($G$2:$G$800),--($G$2:$G$800&lt;G96))+(SUMPRODUCT(--ISNUMBER($G$2:$G$800),--($G$2:$G$800=G96))+1)/2)/COUNT($G$2:$G$800)</f>
        <v/>
      </c>
      <c r="J96" t="n">
        <v>11.63955023502324</v>
      </c>
      <c r="K96" t="n">
        <v>6.619256017505466</v>
      </c>
      <c r="L96" t="n">
        <v>0.4923413566739636</v>
      </c>
      <c r="M96">
        <f>IF(OR(B96="NW",COUNT(Risk_Rank_Keys!B96)=0),0.5,(SUMPRODUCT(--ISNUMBER(Risk_Rank_Keys!$B$2:$B$800),--(Risk_Rank_Keys!$B$2:$B$800&lt;Risk_Rank_Keys!B96))+(SUMPRODUCT(--ISNUMBER(Risk_Rank_Keys!$B$2:$B$800),--(Risk_Rank_Keys!$B$2:$B$800=Risk_Rank_Keys!B96))+1)/2)/COUNT(Risk_Rank_Keys!$B$2:$B$800))</f>
        <v/>
      </c>
      <c r="N96">
        <f>IF(OR(B96="NW",COUNT(Risk_Rank_Keys!C96)=0),0.5,(SUMPRODUCT(--ISNUMBER(Risk_Rank_Keys!$C$2:$C$800),--(Risk_Rank_Keys!$C$2:$C$800&lt;Risk_Rank_Keys!C96))+(SUMPRODUCT(--ISNUMBER(Risk_Rank_Keys!$C$2:$C$800),--(Risk_Rank_Keys!$C$2:$C$800=Risk_Rank_Keys!C96))+1)/2)/COUNT(Risk_Rank_Keys!$C$2:$C$800))</f>
        <v/>
      </c>
      <c r="O96">
        <f>IF(OR(B96="NW",COUNT(Risk_Rank_Keys!D96)=0),0.5,(SUMPRODUCT(--ISNUMBER(Risk_Rank_Keys!$D$2:$D$800),--(Risk_Rank_Keys!$D$2:$D$800&lt;Risk_Rank_Keys!D96))+(SUMPRODUCT(--ISNUMBER(Risk_Rank_Keys!$D$2:$D$800),--(Risk_Rank_Keys!$D$2:$D$800=Risk_Rank_Keys!D96))+1)/2)/COUNT(Risk_Rank_Keys!$D$2:$D$800))</f>
        <v/>
      </c>
      <c r="P96">
        <f>AVERAGE(M96:O96)</f>
        <v/>
      </c>
      <c r="Q96">
        <f>0.4*H96+0.4*I96+0.2*P96</f>
        <v/>
      </c>
      <c r="R96">
        <f>PERCENTILE($Q$2:$Q$800,0.75)</f>
        <v/>
      </c>
      <c r="S96">
        <f>OR(Q96&gt;=R96,AND(B96="CW",COUNT(J96:L96)&lt;3))</f>
        <v/>
      </c>
      <c r="T96" t="n">
        <v>0.2717828461293583</v>
      </c>
      <c r="U96" t="n">
        <v>9.806987603161113</v>
      </c>
      <c r="V96" t="n">
        <v>0.6204078901509268</v>
      </c>
      <c r="W96">
        <f>Q96-V96</f>
        <v/>
      </c>
    </row>
    <row r="97">
      <c r="A97" t="inlineStr">
        <is>
          <t>2021-06-18</t>
        </is>
      </c>
      <c r="B97" t="inlineStr">
        <is>
          <t>CW</t>
        </is>
      </c>
      <c r="C97" t="n">
        <v>-41.6233035068069</v>
      </c>
      <c r="D97">
        <f>SUMPRODUCT(Risk_Inputs!B97:AJ97,Risk_Coefs!$B$2:$AJ$2)</f>
        <v/>
      </c>
      <c r="E97">
        <f>1/(1+EXP(-MAX(-25,MIN(25,D97))))</f>
        <v/>
      </c>
      <c r="F97">
        <f>SUMPRODUCT(Risk_Inputs!B97:AJ97,Risk_Coefs!$B$3:$AJ$3)</f>
        <v/>
      </c>
      <c r="G97">
        <f>MAX(0,F97)</f>
        <v/>
      </c>
      <c r="H97">
        <f>(SUMPRODUCT(--ISNUMBER($E$2:$E$800),--($E$2:$E$800&lt;E97))+(SUMPRODUCT(--ISNUMBER($E$2:$E$800),--($E$2:$E$800=E97))+1)/2)/COUNT($E$2:$E$800)</f>
        <v/>
      </c>
      <c r="I97">
        <f>(SUMPRODUCT(--ISNUMBER($G$2:$G$800),--($G$2:$G$800&lt;G97))+(SUMPRODUCT(--ISNUMBER($G$2:$G$800),--($G$2:$G$800=G97))+1)/2)/COUNT($G$2:$G$800)</f>
        <v/>
      </c>
      <c r="J97" t="n">
        <v>16.4859308296545</v>
      </c>
      <c r="K97" t="n">
        <v>4.826144784343537</v>
      </c>
      <c r="L97" t="n">
        <v>0.2850085502565077</v>
      </c>
      <c r="M97">
        <f>IF(OR(B97="NW",COUNT(Risk_Rank_Keys!B97)=0),0.5,(SUMPRODUCT(--ISNUMBER(Risk_Rank_Keys!$B$2:$B$800),--(Risk_Rank_Keys!$B$2:$B$800&lt;Risk_Rank_Keys!B97))+(SUMPRODUCT(--ISNUMBER(Risk_Rank_Keys!$B$2:$B$800),--(Risk_Rank_Keys!$B$2:$B$800=Risk_Rank_Keys!B97))+1)/2)/COUNT(Risk_Rank_Keys!$B$2:$B$800))</f>
        <v/>
      </c>
      <c r="N97">
        <f>IF(OR(B97="NW",COUNT(Risk_Rank_Keys!C97)=0),0.5,(SUMPRODUCT(--ISNUMBER(Risk_Rank_Keys!$C$2:$C$800),--(Risk_Rank_Keys!$C$2:$C$800&lt;Risk_Rank_Keys!C97))+(SUMPRODUCT(--ISNUMBER(Risk_Rank_Keys!$C$2:$C$800),--(Risk_Rank_Keys!$C$2:$C$800=Risk_Rank_Keys!C97))+1)/2)/COUNT(Risk_Rank_Keys!$C$2:$C$800))</f>
        <v/>
      </c>
      <c r="O97">
        <f>IF(OR(B97="NW",COUNT(Risk_Rank_Keys!D97)=0),0.5,(SUMPRODUCT(--ISNUMBER(Risk_Rank_Keys!$D$2:$D$800),--(Risk_Rank_Keys!$D$2:$D$800&lt;Risk_Rank_Keys!D97))+(SUMPRODUCT(--ISNUMBER(Risk_Rank_Keys!$D$2:$D$800),--(Risk_Rank_Keys!$D$2:$D$800=Risk_Rank_Keys!D97))+1)/2)/COUNT(Risk_Rank_Keys!$D$2:$D$800))</f>
        <v/>
      </c>
      <c r="P97">
        <f>AVERAGE(M97:O97)</f>
        <v/>
      </c>
      <c r="Q97">
        <f>0.4*H97+0.4*I97+0.2*P97</f>
        <v/>
      </c>
      <c r="R97">
        <f>PERCENTILE($Q$2:$Q$800,0.75)</f>
        <v/>
      </c>
      <c r="S97">
        <f>OR(Q97&gt;=R97,AND(B97="CW",COUNT(J97:L97)&lt;3))</f>
        <v/>
      </c>
      <c r="T97" t="n">
        <v>0.3006386212912821</v>
      </c>
      <c r="U97" t="n">
        <v>12.86201455529383</v>
      </c>
      <c r="V97" t="n">
        <v>0.7488676280031583</v>
      </c>
      <c r="W97">
        <f>Q97-V97</f>
        <v/>
      </c>
    </row>
    <row r="98">
      <c r="A98" t="inlineStr">
        <is>
          <t>2021-06-21</t>
        </is>
      </c>
      <c r="B98" t="inlineStr">
        <is>
          <t>CW</t>
        </is>
      </c>
      <c r="C98" t="n">
        <v>9.112972278395604</v>
      </c>
      <c r="D98">
        <f>SUMPRODUCT(Risk_Inputs!B98:AJ98,Risk_Coefs!$B$2:$AJ$2)</f>
        <v/>
      </c>
      <c r="E98">
        <f>1/(1+EXP(-MAX(-25,MIN(25,D98))))</f>
        <v/>
      </c>
      <c r="F98">
        <f>SUMPRODUCT(Risk_Inputs!B98:AJ98,Risk_Coefs!$B$3:$AJ$3)</f>
        <v/>
      </c>
      <c r="G98">
        <f>MAX(0,F98)</f>
        <v/>
      </c>
      <c r="H98">
        <f>(SUMPRODUCT(--ISNUMBER($E$2:$E$800),--($E$2:$E$800&lt;E98))+(SUMPRODUCT(--ISNUMBER($E$2:$E$800),--($E$2:$E$800=E98))+1)/2)/COUNT($E$2:$E$800)</f>
        <v/>
      </c>
      <c r="I98">
        <f>(SUMPRODUCT(--ISNUMBER($G$2:$G$800),--($G$2:$G$800&lt;G98))+(SUMPRODUCT(--ISNUMBER($G$2:$G$800),--($G$2:$G$800=G98))+1)/2)/COUNT($G$2:$G$800)</f>
        <v/>
      </c>
      <c r="J98" t="n">
        <v>10.85933774151577</v>
      </c>
      <c r="K98" t="n">
        <v>1.925990045444716</v>
      </c>
      <c r="L98" t="n">
        <v>0.2596840510712004</v>
      </c>
      <c r="M98">
        <f>IF(OR(B98="NW",COUNT(Risk_Rank_Keys!B98)=0),0.5,(SUMPRODUCT(--ISNUMBER(Risk_Rank_Keys!$B$2:$B$800),--(Risk_Rank_Keys!$B$2:$B$800&lt;Risk_Rank_Keys!B98))+(SUMPRODUCT(--ISNUMBER(Risk_Rank_Keys!$B$2:$B$800),--(Risk_Rank_Keys!$B$2:$B$800=Risk_Rank_Keys!B98))+1)/2)/COUNT(Risk_Rank_Keys!$B$2:$B$800))</f>
        <v/>
      </c>
      <c r="N98">
        <f>IF(OR(B98="NW",COUNT(Risk_Rank_Keys!C98)=0),0.5,(SUMPRODUCT(--ISNUMBER(Risk_Rank_Keys!$C$2:$C$800),--(Risk_Rank_Keys!$C$2:$C$800&lt;Risk_Rank_Keys!C98))+(SUMPRODUCT(--ISNUMBER(Risk_Rank_Keys!$C$2:$C$800),--(Risk_Rank_Keys!$C$2:$C$800=Risk_Rank_Keys!C98))+1)/2)/COUNT(Risk_Rank_Keys!$C$2:$C$800))</f>
        <v/>
      </c>
      <c r="O98">
        <f>IF(OR(B98="NW",COUNT(Risk_Rank_Keys!D98)=0),0.5,(SUMPRODUCT(--ISNUMBER(Risk_Rank_Keys!$D$2:$D$800),--(Risk_Rank_Keys!$D$2:$D$800&lt;Risk_Rank_Keys!D98))+(SUMPRODUCT(--ISNUMBER(Risk_Rank_Keys!$D$2:$D$800),--(Risk_Rank_Keys!$D$2:$D$800=Risk_Rank_Keys!D98))+1)/2)/COUNT(Risk_Rank_Keys!$D$2:$D$800))</f>
        <v/>
      </c>
      <c r="P98">
        <f>AVERAGE(M98:O98)</f>
        <v/>
      </c>
      <c r="Q98">
        <f>0.4*H98+0.4*I98+0.2*P98</f>
        <v/>
      </c>
      <c r="R98">
        <f>PERCENTILE($Q$2:$Q$800,0.75)</f>
        <v/>
      </c>
      <c r="S98">
        <f>OR(Q98&gt;=R98,AND(B98="CW",COUNT(J98:L98)&lt;3))</f>
        <v/>
      </c>
      <c r="T98" t="n">
        <v>0.3823637642730694</v>
      </c>
      <c r="U98" t="n">
        <v>8.410965059010902</v>
      </c>
      <c r="V98" t="n">
        <v>0.6960911739395305</v>
      </c>
      <c r="W98">
        <f>Q98-V98</f>
        <v/>
      </c>
    </row>
    <row r="99">
      <c r="A99" t="inlineStr">
        <is>
          <t>2021-06-23</t>
        </is>
      </c>
      <c r="B99" t="inlineStr">
        <is>
          <t>CW</t>
        </is>
      </c>
      <c r="C99" t="n">
        <v>-44.0876468152078</v>
      </c>
      <c r="D99">
        <f>SUMPRODUCT(Risk_Inputs!B99:AJ99,Risk_Coefs!$B$2:$AJ$2)</f>
        <v/>
      </c>
      <c r="E99">
        <f>1/(1+EXP(-MAX(-25,MIN(25,D99))))</f>
        <v/>
      </c>
      <c r="F99">
        <f>SUMPRODUCT(Risk_Inputs!B99:AJ99,Risk_Coefs!$B$3:$AJ$3)</f>
        <v/>
      </c>
      <c r="G99">
        <f>MAX(0,F99)</f>
        <v/>
      </c>
      <c r="H99">
        <f>(SUMPRODUCT(--ISNUMBER($E$2:$E$800),--($E$2:$E$800&lt;E99))+(SUMPRODUCT(--ISNUMBER($E$2:$E$800),--($E$2:$E$800=E99))+1)/2)/COUNT($E$2:$E$800)</f>
        <v/>
      </c>
      <c r="I99">
        <f>(SUMPRODUCT(--ISNUMBER($G$2:$G$800),--($G$2:$G$800&lt;G99))+(SUMPRODUCT(--ISNUMBER($G$2:$G$800),--($G$2:$G$800=G99))+1)/2)/COUNT($G$2:$G$800)</f>
        <v/>
      </c>
      <c r="J99" t="n">
        <v>8.628154965455545</v>
      </c>
      <c r="K99" t="n">
        <v>1.692047377326565</v>
      </c>
      <c r="L99" t="n">
        <v>0.2961082910321441</v>
      </c>
      <c r="M99">
        <f>IF(OR(B99="NW",COUNT(Risk_Rank_Keys!B99)=0),0.5,(SUMPRODUCT(--ISNUMBER(Risk_Rank_Keys!$B$2:$B$800),--(Risk_Rank_Keys!$B$2:$B$800&lt;Risk_Rank_Keys!B99))+(SUMPRODUCT(--ISNUMBER(Risk_Rank_Keys!$B$2:$B$800),--(Risk_Rank_Keys!$B$2:$B$800=Risk_Rank_Keys!B99))+1)/2)/COUNT(Risk_Rank_Keys!$B$2:$B$800))</f>
        <v/>
      </c>
      <c r="N99">
        <f>IF(OR(B99="NW",COUNT(Risk_Rank_Keys!C99)=0),0.5,(SUMPRODUCT(--ISNUMBER(Risk_Rank_Keys!$C$2:$C$800),--(Risk_Rank_Keys!$C$2:$C$800&lt;Risk_Rank_Keys!C99))+(SUMPRODUCT(--ISNUMBER(Risk_Rank_Keys!$C$2:$C$800),--(Risk_Rank_Keys!$C$2:$C$800=Risk_Rank_Keys!C99))+1)/2)/COUNT(Risk_Rank_Keys!$C$2:$C$800))</f>
        <v/>
      </c>
      <c r="O99">
        <f>IF(OR(B99="NW",COUNT(Risk_Rank_Keys!D99)=0),0.5,(SUMPRODUCT(--ISNUMBER(Risk_Rank_Keys!$D$2:$D$800),--(Risk_Rank_Keys!$D$2:$D$800&lt;Risk_Rank_Keys!D99))+(SUMPRODUCT(--ISNUMBER(Risk_Rank_Keys!$D$2:$D$800),--(Risk_Rank_Keys!$D$2:$D$800=Risk_Rank_Keys!D99))+1)/2)/COUNT(Risk_Rank_Keys!$D$2:$D$800))</f>
        <v/>
      </c>
      <c r="P99">
        <f>AVERAGE(M99:O99)</f>
        <v/>
      </c>
      <c r="Q99">
        <f>0.4*H99+0.4*I99+0.2*P99</f>
        <v/>
      </c>
      <c r="R99">
        <f>PERCENTILE($Q$2:$Q$800,0.75)</f>
        <v/>
      </c>
      <c r="S99">
        <f>OR(Q99&gt;=R99,AND(B99="CW",COUNT(J99:L99)&lt;3))</f>
        <v/>
      </c>
      <c r="T99" t="n">
        <v>0.3252176803472083</v>
      </c>
      <c r="U99" t="n">
        <v>9.711839653444297</v>
      </c>
      <c r="V99" t="n">
        <v>0.671696082213413</v>
      </c>
      <c r="W99">
        <f>Q99-V99</f>
        <v/>
      </c>
    </row>
    <row r="100">
      <c r="A100" t="inlineStr">
        <is>
          <t>2021-06-24</t>
        </is>
      </c>
      <c r="B100" t="inlineStr">
        <is>
          <t>CW</t>
        </is>
      </c>
      <c r="C100" t="n">
        <v>17.90689055939825</v>
      </c>
      <c r="D100">
        <f>SUMPRODUCT(Risk_Inputs!B100:AJ100,Risk_Coefs!$B$2:$AJ$2)</f>
        <v/>
      </c>
      <c r="E100">
        <f>1/(1+EXP(-MAX(-25,MIN(25,D100))))</f>
        <v/>
      </c>
      <c r="F100">
        <f>SUMPRODUCT(Risk_Inputs!B100:AJ100,Risk_Coefs!$B$3:$AJ$3)</f>
        <v/>
      </c>
      <c r="G100">
        <f>MAX(0,F100)</f>
        <v/>
      </c>
      <c r="H100">
        <f>(SUMPRODUCT(--ISNUMBER($E$2:$E$800),--($E$2:$E$800&lt;E100))+(SUMPRODUCT(--ISNUMBER($E$2:$E$800),--($E$2:$E$800=E100))+1)/2)/COUNT($E$2:$E$800)</f>
        <v/>
      </c>
      <c r="I100">
        <f>(SUMPRODUCT(--ISNUMBER($G$2:$G$800),--($G$2:$G$800&lt;G100))+(SUMPRODUCT(--ISNUMBER($G$2:$G$800),--($G$2:$G$800=G100))+1)/2)/COUNT($G$2:$G$800)</f>
        <v/>
      </c>
      <c r="J100" t="n">
        <v>10.049771812935</v>
      </c>
      <c r="K100" t="n">
        <v>6.380753138075308</v>
      </c>
      <c r="L100" t="n">
        <v>0.4707112970711253</v>
      </c>
      <c r="M100">
        <f>IF(OR(B100="NW",COUNT(Risk_Rank_Keys!B100)=0),0.5,(SUMPRODUCT(--ISNUMBER(Risk_Rank_Keys!$B$2:$B$800),--(Risk_Rank_Keys!$B$2:$B$800&lt;Risk_Rank_Keys!B100))+(SUMPRODUCT(--ISNUMBER(Risk_Rank_Keys!$B$2:$B$800),--(Risk_Rank_Keys!$B$2:$B$800=Risk_Rank_Keys!B100))+1)/2)/COUNT(Risk_Rank_Keys!$B$2:$B$800))</f>
        <v/>
      </c>
      <c r="N100">
        <f>IF(OR(B100="NW",COUNT(Risk_Rank_Keys!C100)=0),0.5,(SUMPRODUCT(--ISNUMBER(Risk_Rank_Keys!$C$2:$C$800),--(Risk_Rank_Keys!$C$2:$C$800&lt;Risk_Rank_Keys!C100))+(SUMPRODUCT(--ISNUMBER(Risk_Rank_Keys!$C$2:$C$800),--(Risk_Rank_Keys!$C$2:$C$800=Risk_Rank_Keys!C100))+1)/2)/COUNT(Risk_Rank_Keys!$C$2:$C$800))</f>
        <v/>
      </c>
      <c r="O100">
        <f>IF(OR(B100="NW",COUNT(Risk_Rank_Keys!D100)=0),0.5,(SUMPRODUCT(--ISNUMBER(Risk_Rank_Keys!$D$2:$D$800),--(Risk_Rank_Keys!$D$2:$D$800&lt;Risk_Rank_Keys!D100))+(SUMPRODUCT(--ISNUMBER(Risk_Rank_Keys!$D$2:$D$800),--(Risk_Rank_Keys!$D$2:$D$800=Risk_Rank_Keys!D100))+1)/2)/COUNT(Risk_Rank_Keys!$D$2:$D$800))</f>
        <v/>
      </c>
      <c r="P100">
        <f>AVERAGE(M100:O100)</f>
        <v/>
      </c>
      <c r="Q100">
        <f>0.4*H100+0.4*I100+0.2*P100</f>
        <v/>
      </c>
      <c r="R100">
        <f>PERCENTILE($Q$2:$Q$800,0.75)</f>
        <v/>
      </c>
      <c r="S100">
        <f>OR(Q100&gt;=R100,AND(B100="CW",COUNT(J100:L100)&lt;3))</f>
        <v/>
      </c>
      <c r="T100" t="n">
        <v>0.293557388191295</v>
      </c>
      <c r="U100" t="n">
        <v>12.15066688902404</v>
      </c>
      <c r="V100" t="n">
        <v>0.7347360630355588</v>
      </c>
      <c r="W100">
        <f>Q100-V100</f>
        <v/>
      </c>
    </row>
    <row r="101">
      <c r="A101" t="inlineStr">
        <is>
          <t>2021-06-25</t>
        </is>
      </c>
      <c r="B101" t="inlineStr">
        <is>
          <t>CW</t>
        </is>
      </c>
      <c r="C101" t="n">
        <v>30.92315045241878</v>
      </c>
      <c r="D101">
        <f>SUMPRODUCT(Risk_Inputs!B101:AJ101,Risk_Coefs!$B$2:$AJ$2)</f>
        <v/>
      </c>
      <c r="E101">
        <f>1/(1+EXP(-MAX(-25,MIN(25,D101))))</f>
        <v/>
      </c>
      <c r="F101">
        <f>SUMPRODUCT(Risk_Inputs!B101:AJ101,Risk_Coefs!$B$3:$AJ$3)</f>
        <v/>
      </c>
      <c r="G101">
        <f>MAX(0,F101)</f>
        <v/>
      </c>
      <c r="H101">
        <f>(SUMPRODUCT(--ISNUMBER($E$2:$E$800),--($E$2:$E$800&lt;E101))+(SUMPRODUCT(--ISNUMBER($E$2:$E$800),--($E$2:$E$800=E101))+1)/2)/COUNT($E$2:$E$800)</f>
        <v/>
      </c>
      <c r="I101">
        <f>(SUMPRODUCT(--ISNUMBER($G$2:$G$800),--($G$2:$G$800&lt;G101))+(SUMPRODUCT(--ISNUMBER($G$2:$G$800),--($G$2:$G$800=G101))+1)/2)/COUNT($G$2:$G$800)</f>
        <v/>
      </c>
      <c r="J101" t="n">
        <v>7.833005378874028</v>
      </c>
      <c r="K101" t="n">
        <v>0.915382897968289</v>
      </c>
      <c r="L101" t="n">
        <v>0.2679169457468223</v>
      </c>
      <c r="M101">
        <f>IF(OR(B101="NW",COUNT(Risk_Rank_Keys!B101)=0),0.5,(SUMPRODUCT(--ISNUMBER(Risk_Rank_Keys!$B$2:$B$800),--(Risk_Rank_Keys!$B$2:$B$800&lt;Risk_Rank_Keys!B101))+(SUMPRODUCT(--ISNUMBER(Risk_Rank_Keys!$B$2:$B$800),--(Risk_Rank_Keys!$B$2:$B$800=Risk_Rank_Keys!B101))+1)/2)/COUNT(Risk_Rank_Keys!$B$2:$B$800))</f>
        <v/>
      </c>
      <c r="N101">
        <f>IF(OR(B101="NW",COUNT(Risk_Rank_Keys!C101)=0),0.5,(SUMPRODUCT(--ISNUMBER(Risk_Rank_Keys!$C$2:$C$800),--(Risk_Rank_Keys!$C$2:$C$800&lt;Risk_Rank_Keys!C101))+(SUMPRODUCT(--ISNUMBER(Risk_Rank_Keys!$C$2:$C$800),--(Risk_Rank_Keys!$C$2:$C$800=Risk_Rank_Keys!C101))+1)/2)/COUNT(Risk_Rank_Keys!$C$2:$C$800))</f>
        <v/>
      </c>
      <c r="O101">
        <f>IF(OR(B101="NW",COUNT(Risk_Rank_Keys!D101)=0),0.5,(SUMPRODUCT(--ISNUMBER(Risk_Rank_Keys!$D$2:$D$800),--(Risk_Rank_Keys!$D$2:$D$800&lt;Risk_Rank_Keys!D101))+(SUMPRODUCT(--ISNUMBER(Risk_Rank_Keys!$D$2:$D$800),--(Risk_Rank_Keys!$D$2:$D$800=Risk_Rank_Keys!D101))+1)/2)/COUNT(Risk_Rank_Keys!$D$2:$D$800))</f>
        <v/>
      </c>
      <c r="P101">
        <f>AVERAGE(M101:O101)</f>
        <v/>
      </c>
      <c r="Q101">
        <f>0.4*H101+0.4*I101+0.2*P101</f>
        <v/>
      </c>
      <c r="R101">
        <f>PERCENTILE($Q$2:$Q$800,0.75)</f>
        <v/>
      </c>
      <c r="S101">
        <f>OR(Q101&gt;=R101,AND(B101="CW",COUNT(J101:L101)&lt;3))</f>
        <v/>
      </c>
      <c r="T101" t="n">
        <v>0.2862765814562388</v>
      </c>
      <c r="U101" t="n">
        <v>8.766631369954439</v>
      </c>
      <c r="V101" t="n">
        <v>0.5287731235406415</v>
      </c>
      <c r="W101">
        <f>Q101-V101</f>
        <v/>
      </c>
    </row>
    <row r="102">
      <c r="A102" t="inlineStr">
        <is>
          <t>2021-06-29</t>
        </is>
      </c>
      <c r="B102" t="inlineStr">
        <is>
          <t>CW</t>
        </is>
      </c>
      <c r="C102" t="n">
        <v>46.96230772588238</v>
      </c>
      <c r="D102">
        <f>SUMPRODUCT(Risk_Inputs!B102:AJ102,Risk_Coefs!$B$2:$AJ$2)</f>
        <v/>
      </c>
      <c r="E102">
        <f>1/(1+EXP(-MAX(-25,MIN(25,D102))))</f>
        <v/>
      </c>
      <c r="F102">
        <f>SUMPRODUCT(Risk_Inputs!B102:AJ102,Risk_Coefs!$B$3:$AJ$3)</f>
        <v/>
      </c>
      <c r="G102">
        <f>MAX(0,F102)</f>
        <v/>
      </c>
      <c r="H102">
        <f>(SUMPRODUCT(--ISNUMBER($E$2:$E$800),--($E$2:$E$800&lt;E102))+(SUMPRODUCT(--ISNUMBER($E$2:$E$800),--($E$2:$E$800=E102))+1)/2)/COUNT($E$2:$E$800)</f>
        <v/>
      </c>
      <c r="I102">
        <f>(SUMPRODUCT(--ISNUMBER($G$2:$G$800),--($G$2:$G$800&lt;G102))+(SUMPRODUCT(--ISNUMBER($G$2:$G$800),--($G$2:$G$800=G102))+1)/2)/COUNT($G$2:$G$800)</f>
        <v/>
      </c>
      <c r="J102" t="n">
        <v>6.987103892859731</v>
      </c>
      <c r="K102" t="n">
        <v>1.100975149418056</v>
      </c>
      <c r="L102" t="n">
        <v>0.2516514627241217</v>
      </c>
      <c r="M102">
        <f>IF(OR(B102="NW",COUNT(Risk_Rank_Keys!B102)=0),0.5,(SUMPRODUCT(--ISNUMBER(Risk_Rank_Keys!$B$2:$B$800),--(Risk_Rank_Keys!$B$2:$B$800&lt;Risk_Rank_Keys!B102))+(SUMPRODUCT(--ISNUMBER(Risk_Rank_Keys!$B$2:$B$800),--(Risk_Rank_Keys!$B$2:$B$800=Risk_Rank_Keys!B102))+1)/2)/COUNT(Risk_Rank_Keys!$B$2:$B$800))</f>
        <v/>
      </c>
      <c r="N102">
        <f>IF(OR(B102="NW",COUNT(Risk_Rank_Keys!C102)=0),0.5,(SUMPRODUCT(--ISNUMBER(Risk_Rank_Keys!$C$2:$C$800),--(Risk_Rank_Keys!$C$2:$C$800&lt;Risk_Rank_Keys!C102))+(SUMPRODUCT(--ISNUMBER(Risk_Rank_Keys!$C$2:$C$800),--(Risk_Rank_Keys!$C$2:$C$800=Risk_Rank_Keys!C102))+1)/2)/COUNT(Risk_Rank_Keys!$C$2:$C$800))</f>
        <v/>
      </c>
      <c r="O102">
        <f>IF(OR(B102="NW",COUNT(Risk_Rank_Keys!D102)=0),0.5,(SUMPRODUCT(--ISNUMBER(Risk_Rank_Keys!$D$2:$D$800),--(Risk_Rank_Keys!$D$2:$D$800&lt;Risk_Rank_Keys!D102))+(SUMPRODUCT(--ISNUMBER(Risk_Rank_Keys!$D$2:$D$800),--(Risk_Rank_Keys!$D$2:$D$800=Risk_Rank_Keys!D102))+1)/2)/COUNT(Risk_Rank_Keys!$D$2:$D$800))</f>
        <v/>
      </c>
      <c r="P102">
        <f>AVERAGE(M102:O102)</f>
        <v/>
      </c>
      <c r="Q102">
        <f>0.4*H102+0.4*I102+0.2*P102</f>
        <v/>
      </c>
      <c r="R102">
        <f>PERCENTILE($Q$2:$Q$800,0.75)</f>
        <v/>
      </c>
      <c r="S102">
        <f>OR(Q102&gt;=R102,AND(B102="CW",COUNT(J102:L102)&lt;3))</f>
        <v/>
      </c>
      <c r="T102" t="n">
        <v>0.3396467396071695</v>
      </c>
      <c r="U102" t="n">
        <v>8.729629622677107</v>
      </c>
      <c r="V102" t="n">
        <v>0.6308073376239128</v>
      </c>
      <c r="W102">
        <f>Q102-V102</f>
        <v/>
      </c>
    </row>
    <row r="103">
      <c r="A103" t="inlineStr">
        <is>
          <t>2021-07-02</t>
        </is>
      </c>
      <c r="B103" t="inlineStr">
        <is>
          <t>CW</t>
        </is>
      </c>
      <c r="C103" t="n">
        <v>24.35648657636993</v>
      </c>
      <c r="D103">
        <f>SUMPRODUCT(Risk_Inputs!B103:AJ103,Risk_Coefs!$B$2:$AJ$2)</f>
        <v/>
      </c>
      <c r="E103">
        <f>1/(1+EXP(-MAX(-25,MIN(25,D103))))</f>
        <v/>
      </c>
      <c r="F103">
        <f>SUMPRODUCT(Risk_Inputs!B103:AJ103,Risk_Coefs!$B$3:$AJ$3)</f>
        <v/>
      </c>
      <c r="G103">
        <f>MAX(0,F103)</f>
        <v/>
      </c>
      <c r="H103">
        <f>(SUMPRODUCT(--ISNUMBER($E$2:$E$800),--($E$2:$E$800&lt;E103))+(SUMPRODUCT(--ISNUMBER($E$2:$E$800),--($E$2:$E$800=E103))+1)/2)/COUNT($E$2:$E$800)</f>
        <v/>
      </c>
      <c r="I103">
        <f>(SUMPRODUCT(--ISNUMBER($G$2:$G$800),--($G$2:$G$800&lt;G103))+(SUMPRODUCT(--ISNUMBER($G$2:$G$800),--($G$2:$G$800=G103))+1)/2)/COUNT($G$2:$G$800)</f>
        <v/>
      </c>
      <c r="J103" t="n">
        <v>4.683422913089284</v>
      </c>
      <c r="K103" t="n">
        <v>1.815135437028763</v>
      </c>
      <c r="L103" t="n">
        <v>0.335101926836084</v>
      </c>
      <c r="M103">
        <f>IF(OR(B103="NW",COUNT(Risk_Rank_Keys!B103)=0),0.5,(SUMPRODUCT(--ISNUMBER(Risk_Rank_Keys!$B$2:$B$800),--(Risk_Rank_Keys!$B$2:$B$800&lt;Risk_Rank_Keys!B103))+(SUMPRODUCT(--ISNUMBER(Risk_Rank_Keys!$B$2:$B$800),--(Risk_Rank_Keys!$B$2:$B$800=Risk_Rank_Keys!B103))+1)/2)/COUNT(Risk_Rank_Keys!$B$2:$B$800))</f>
        <v/>
      </c>
      <c r="N103">
        <f>IF(OR(B103="NW",COUNT(Risk_Rank_Keys!C103)=0),0.5,(SUMPRODUCT(--ISNUMBER(Risk_Rank_Keys!$C$2:$C$800),--(Risk_Rank_Keys!$C$2:$C$800&lt;Risk_Rank_Keys!C103))+(SUMPRODUCT(--ISNUMBER(Risk_Rank_Keys!$C$2:$C$800),--(Risk_Rank_Keys!$C$2:$C$800=Risk_Rank_Keys!C103))+1)/2)/COUNT(Risk_Rank_Keys!$C$2:$C$800))</f>
        <v/>
      </c>
      <c r="O103">
        <f>IF(OR(B103="NW",COUNT(Risk_Rank_Keys!D103)=0),0.5,(SUMPRODUCT(--ISNUMBER(Risk_Rank_Keys!$D$2:$D$800),--(Risk_Rank_Keys!$D$2:$D$800&lt;Risk_Rank_Keys!D103))+(SUMPRODUCT(--ISNUMBER(Risk_Rank_Keys!$D$2:$D$800),--(Risk_Rank_Keys!$D$2:$D$800=Risk_Rank_Keys!D103))+1)/2)/COUNT(Risk_Rank_Keys!$D$2:$D$800))</f>
        <v/>
      </c>
      <c r="P103">
        <f>AVERAGE(M103:O103)</f>
        <v/>
      </c>
      <c r="Q103">
        <f>0.4*H103+0.4*I103+0.2*P103</f>
        <v/>
      </c>
      <c r="R103">
        <f>PERCENTILE($Q$2:$Q$800,0.75)</f>
        <v/>
      </c>
      <c r="S103">
        <f>OR(Q103&gt;=R103,AND(B103="CW",COUNT(J103:L103)&lt;3))</f>
        <v/>
      </c>
      <c r="T103" t="n">
        <v>0.2619154193960135</v>
      </c>
      <c r="U103" t="n">
        <v>7.650960054188944</v>
      </c>
      <c r="V103" t="n">
        <v>0.4167978452842902</v>
      </c>
      <c r="W103">
        <f>Q103-V103</f>
        <v/>
      </c>
    </row>
    <row r="104">
      <c r="A104" t="inlineStr">
        <is>
          <t>2021-07-09</t>
        </is>
      </c>
      <c r="B104" t="inlineStr">
        <is>
          <t>CW</t>
        </is>
      </c>
      <c r="C104" t="n">
        <v>26.49876760230395</v>
      </c>
      <c r="D104">
        <f>SUMPRODUCT(Risk_Inputs!B104:AJ104,Risk_Coefs!$B$2:$AJ$2)</f>
        <v/>
      </c>
      <c r="E104">
        <f>1/(1+EXP(-MAX(-25,MIN(25,D104))))</f>
        <v/>
      </c>
      <c r="F104">
        <f>SUMPRODUCT(Risk_Inputs!B104:AJ104,Risk_Coefs!$B$3:$AJ$3)</f>
        <v/>
      </c>
      <c r="G104">
        <f>MAX(0,F104)</f>
        <v/>
      </c>
      <c r="H104">
        <f>(SUMPRODUCT(--ISNUMBER($E$2:$E$800),--($E$2:$E$800&lt;E104))+(SUMPRODUCT(--ISNUMBER($E$2:$E$800),--($E$2:$E$800=E104))+1)/2)/COUNT($E$2:$E$800)</f>
        <v/>
      </c>
      <c r="I104">
        <f>(SUMPRODUCT(--ISNUMBER($G$2:$G$800),--($G$2:$G$800&lt;G104))+(SUMPRODUCT(--ISNUMBER($G$2:$G$800),--($G$2:$G$800=G104))+1)/2)/COUNT($G$2:$G$800)</f>
        <v/>
      </c>
      <c r="J104" t="n">
        <v>4.113953317792196</v>
      </c>
      <c r="K104" t="n">
        <v>1.157298063297127</v>
      </c>
      <c r="L104" t="n">
        <v>0.1889466225791241</v>
      </c>
      <c r="M104">
        <f>IF(OR(B104="NW",COUNT(Risk_Rank_Keys!B104)=0),0.5,(SUMPRODUCT(--ISNUMBER(Risk_Rank_Keys!$B$2:$B$800),--(Risk_Rank_Keys!$B$2:$B$800&lt;Risk_Rank_Keys!B104))+(SUMPRODUCT(--ISNUMBER(Risk_Rank_Keys!$B$2:$B$800),--(Risk_Rank_Keys!$B$2:$B$800=Risk_Rank_Keys!B104))+1)/2)/COUNT(Risk_Rank_Keys!$B$2:$B$800))</f>
        <v/>
      </c>
      <c r="N104">
        <f>IF(OR(B104="NW",COUNT(Risk_Rank_Keys!C104)=0),0.5,(SUMPRODUCT(--ISNUMBER(Risk_Rank_Keys!$C$2:$C$800),--(Risk_Rank_Keys!$C$2:$C$800&lt;Risk_Rank_Keys!C104))+(SUMPRODUCT(--ISNUMBER(Risk_Rank_Keys!$C$2:$C$800),--(Risk_Rank_Keys!$C$2:$C$800=Risk_Rank_Keys!C104))+1)/2)/COUNT(Risk_Rank_Keys!$C$2:$C$800))</f>
        <v/>
      </c>
      <c r="O104">
        <f>IF(OR(B104="NW",COUNT(Risk_Rank_Keys!D104)=0),0.5,(SUMPRODUCT(--ISNUMBER(Risk_Rank_Keys!$D$2:$D$800),--(Risk_Rank_Keys!$D$2:$D$800&lt;Risk_Rank_Keys!D104))+(SUMPRODUCT(--ISNUMBER(Risk_Rank_Keys!$D$2:$D$800),--(Risk_Rank_Keys!$D$2:$D$800=Risk_Rank_Keys!D104))+1)/2)/COUNT(Risk_Rank_Keys!$D$2:$D$800))</f>
        <v/>
      </c>
      <c r="P104">
        <f>AVERAGE(M104:O104)</f>
        <v/>
      </c>
      <c r="Q104">
        <f>0.4*H104+0.4*I104+0.2*P104</f>
        <v/>
      </c>
      <c r="R104">
        <f>PERCENTILE($Q$2:$Q$800,0.75)</f>
        <v/>
      </c>
      <c r="S104">
        <f>OR(Q104&gt;=R104,AND(B104="CW",COUNT(J104:L104)&lt;3))</f>
        <v/>
      </c>
      <c r="T104" t="n">
        <v>0.3383475065458683</v>
      </c>
      <c r="U104" t="n">
        <v>9.460536318854906</v>
      </c>
      <c r="V104" t="n">
        <v>0.6271822227808005</v>
      </c>
      <c r="W104">
        <f>Q104-V104</f>
        <v/>
      </c>
    </row>
    <row r="105">
      <c r="A105" t="inlineStr">
        <is>
          <t>2021-07-16</t>
        </is>
      </c>
      <c r="B105" t="inlineStr">
        <is>
          <t>CW</t>
        </is>
      </c>
      <c r="C105" t="n">
        <v>13.81488496659222</v>
      </c>
      <c r="D105">
        <f>SUMPRODUCT(Risk_Inputs!B105:AJ105,Risk_Coefs!$B$2:$AJ$2)</f>
        <v/>
      </c>
      <c r="E105">
        <f>1/(1+EXP(-MAX(-25,MIN(25,D105))))</f>
        <v/>
      </c>
      <c r="F105">
        <f>SUMPRODUCT(Risk_Inputs!B105:AJ105,Risk_Coefs!$B$3:$AJ$3)</f>
        <v/>
      </c>
      <c r="G105">
        <f>MAX(0,F105)</f>
        <v/>
      </c>
      <c r="H105">
        <f>(SUMPRODUCT(--ISNUMBER($E$2:$E$800),--($E$2:$E$800&lt;E105))+(SUMPRODUCT(--ISNUMBER($E$2:$E$800),--($E$2:$E$800=E105))+1)/2)/COUNT($E$2:$E$800)</f>
        <v/>
      </c>
      <c r="I105">
        <f>(SUMPRODUCT(--ISNUMBER($G$2:$G$800),--($G$2:$G$800&lt;G105))+(SUMPRODUCT(--ISNUMBER($G$2:$G$800),--($G$2:$G$800=G105))+1)/2)/COUNT($G$2:$G$800)</f>
        <v/>
      </c>
      <c r="J105" t="n">
        <v>5.264295853426734</v>
      </c>
      <c r="K105" t="n">
        <v>1.830528491290207</v>
      </c>
      <c r="L105" t="n">
        <v>0.413345143194569</v>
      </c>
      <c r="M105">
        <f>IF(OR(B105="NW",COUNT(Risk_Rank_Keys!B105)=0),0.5,(SUMPRODUCT(--ISNUMBER(Risk_Rank_Keys!$B$2:$B$800),--(Risk_Rank_Keys!$B$2:$B$800&lt;Risk_Rank_Keys!B105))+(SUMPRODUCT(--ISNUMBER(Risk_Rank_Keys!$B$2:$B$800),--(Risk_Rank_Keys!$B$2:$B$800=Risk_Rank_Keys!B105))+1)/2)/COUNT(Risk_Rank_Keys!$B$2:$B$800))</f>
        <v/>
      </c>
      <c r="N105">
        <f>IF(OR(B105="NW",COUNT(Risk_Rank_Keys!C105)=0),0.5,(SUMPRODUCT(--ISNUMBER(Risk_Rank_Keys!$C$2:$C$800),--(Risk_Rank_Keys!$C$2:$C$800&lt;Risk_Rank_Keys!C105))+(SUMPRODUCT(--ISNUMBER(Risk_Rank_Keys!$C$2:$C$800),--(Risk_Rank_Keys!$C$2:$C$800=Risk_Rank_Keys!C105))+1)/2)/COUNT(Risk_Rank_Keys!$C$2:$C$800))</f>
        <v/>
      </c>
      <c r="O105">
        <f>IF(OR(B105="NW",COUNT(Risk_Rank_Keys!D105)=0),0.5,(SUMPRODUCT(--ISNUMBER(Risk_Rank_Keys!$D$2:$D$800),--(Risk_Rank_Keys!$D$2:$D$800&lt;Risk_Rank_Keys!D105))+(SUMPRODUCT(--ISNUMBER(Risk_Rank_Keys!$D$2:$D$800),--(Risk_Rank_Keys!$D$2:$D$800=Risk_Rank_Keys!D105))+1)/2)/COUNT(Risk_Rank_Keys!$D$2:$D$800))</f>
        <v/>
      </c>
      <c r="P105">
        <f>AVERAGE(M105:O105)</f>
        <v/>
      </c>
      <c r="Q105">
        <f>0.4*H105+0.4*I105+0.2*P105</f>
        <v/>
      </c>
      <c r="R105">
        <f>PERCENTILE($Q$2:$Q$800,0.75)</f>
        <v/>
      </c>
      <c r="S105">
        <f>OR(Q105&gt;=R105,AND(B105="CW",COUNT(J105:L105)&lt;3))</f>
        <v/>
      </c>
      <c r="T105" t="n">
        <v>0.2061315193101542</v>
      </c>
      <c r="U105" t="n">
        <v>7.061425398067248</v>
      </c>
      <c r="V105" t="n">
        <v>0.3000096005641641</v>
      </c>
      <c r="W105">
        <f>Q105-V105</f>
        <v/>
      </c>
    </row>
    <row r="106">
      <c r="A106" t="inlineStr">
        <is>
          <t>2021-07-19</t>
        </is>
      </c>
      <c r="B106" t="inlineStr">
        <is>
          <t>CW</t>
        </is>
      </c>
      <c r="C106" t="n">
        <v>28.48136260056505</v>
      </c>
      <c r="D106">
        <f>SUMPRODUCT(Risk_Inputs!B106:AJ106,Risk_Coefs!$B$2:$AJ$2)</f>
        <v/>
      </c>
      <c r="E106">
        <f>1/(1+EXP(-MAX(-25,MIN(25,D106))))</f>
        <v/>
      </c>
      <c r="F106">
        <f>SUMPRODUCT(Risk_Inputs!B106:AJ106,Risk_Coefs!$B$3:$AJ$3)</f>
        <v/>
      </c>
      <c r="G106">
        <f>MAX(0,F106)</f>
        <v/>
      </c>
      <c r="H106">
        <f>(SUMPRODUCT(--ISNUMBER($E$2:$E$800),--($E$2:$E$800&lt;E106))+(SUMPRODUCT(--ISNUMBER($E$2:$E$800),--($E$2:$E$800=E106))+1)/2)/COUNT($E$2:$E$800)</f>
        <v/>
      </c>
      <c r="I106">
        <f>(SUMPRODUCT(--ISNUMBER($G$2:$G$800),--($G$2:$G$800&lt;G106))+(SUMPRODUCT(--ISNUMBER($G$2:$G$800),--($G$2:$G$800=G106))+1)/2)/COUNT($G$2:$G$800)</f>
        <v/>
      </c>
      <c r="J106" t="n">
        <v>8.487237356559563</v>
      </c>
      <c r="K106" t="n">
        <v>5.216844751728463</v>
      </c>
      <c r="L106" t="n">
        <v>0.2514142049025805</v>
      </c>
      <c r="M106">
        <f>IF(OR(B106="NW",COUNT(Risk_Rank_Keys!B106)=0),0.5,(SUMPRODUCT(--ISNUMBER(Risk_Rank_Keys!$B$2:$B$800),--(Risk_Rank_Keys!$B$2:$B$800&lt;Risk_Rank_Keys!B106))+(SUMPRODUCT(--ISNUMBER(Risk_Rank_Keys!$B$2:$B$800),--(Risk_Rank_Keys!$B$2:$B$800=Risk_Rank_Keys!B106))+1)/2)/COUNT(Risk_Rank_Keys!$B$2:$B$800))</f>
        <v/>
      </c>
      <c r="N106">
        <f>IF(OR(B106="NW",COUNT(Risk_Rank_Keys!C106)=0),0.5,(SUMPRODUCT(--ISNUMBER(Risk_Rank_Keys!$C$2:$C$800),--(Risk_Rank_Keys!$C$2:$C$800&lt;Risk_Rank_Keys!C106))+(SUMPRODUCT(--ISNUMBER(Risk_Rank_Keys!$C$2:$C$800),--(Risk_Rank_Keys!$C$2:$C$800=Risk_Rank_Keys!C106))+1)/2)/COUNT(Risk_Rank_Keys!$C$2:$C$800))</f>
        <v/>
      </c>
      <c r="O106">
        <f>IF(OR(B106="NW",COUNT(Risk_Rank_Keys!D106)=0),0.5,(SUMPRODUCT(--ISNUMBER(Risk_Rank_Keys!$D$2:$D$800),--(Risk_Rank_Keys!$D$2:$D$800&lt;Risk_Rank_Keys!D106))+(SUMPRODUCT(--ISNUMBER(Risk_Rank_Keys!$D$2:$D$800),--(Risk_Rank_Keys!$D$2:$D$800=Risk_Rank_Keys!D106))+1)/2)/COUNT(Risk_Rank_Keys!$D$2:$D$800))</f>
        <v/>
      </c>
      <c r="P106">
        <f>AVERAGE(M106:O106)</f>
        <v/>
      </c>
      <c r="Q106">
        <f>0.4*H106+0.4*I106+0.2*P106</f>
        <v/>
      </c>
      <c r="R106">
        <f>PERCENTILE($Q$2:$Q$800,0.75)</f>
        <v/>
      </c>
      <c r="S106">
        <f>OR(Q106&gt;=R106,AND(B106="CW",COUNT(J106:L106)&lt;3))</f>
        <v/>
      </c>
      <c r="T106" t="n">
        <v>0.3580750899973937</v>
      </c>
      <c r="U106" t="n">
        <v>8.946865020448643</v>
      </c>
      <c r="V106" t="n">
        <v>0.7204372736957926</v>
      </c>
      <c r="W106">
        <f>Q106-V106</f>
        <v/>
      </c>
    </row>
    <row r="107">
      <c r="A107" t="inlineStr">
        <is>
          <t>2021-07-20</t>
        </is>
      </c>
      <c r="B107" t="inlineStr">
        <is>
          <t>CW</t>
        </is>
      </c>
      <c r="C107" t="n">
        <v>35.70450669146508</v>
      </c>
      <c r="D107">
        <f>SUMPRODUCT(Risk_Inputs!B107:AJ107,Risk_Coefs!$B$2:$AJ$2)</f>
        <v/>
      </c>
      <c r="E107">
        <f>1/(1+EXP(-MAX(-25,MIN(25,D107))))</f>
        <v/>
      </c>
      <c r="F107">
        <f>SUMPRODUCT(Risk_Inputs!B107:AJ107,Risk_Coefs!$B$3:$AJ$3)</f>
        <v/>
      </c>
      <c r="G107">
        <f>MAX(0,F107)</f>
        <v/>
      </c>
      <c r="H107">
        <f>(SUMPRODUCT(--ISNUMBER($E$2:$E$800),--($E$2:$E$800&lt;E107))+(SUMPRODUCT(--ISNUMBER($E$2:$E$800),--($E$2:$E$800=E107))+1)/2)/COUNT($E$2:$E$800)</f>
        <v/>
      </c>
      <c r="I107">
        <f>(SUMPRODUCT(--ISNUMBER($G$2:$G$800),--($G$2:$G$800&lt;G107))+(SUMPRODUCT(--ISNUMBER($G$2:$G$800),--($G$2:$G$800=G107))+1)/2)/COUNT($G$2:$G$800)</f>
        <v/>
      </c>
      <c r="J107" t="n">
        <v>10.2201810249564</v>
      </c>
      <c r="K107" t="n">
        <v>5.22735409953456</v>
      </c>
      <c r="L107" t="n">
        <v>0.2506265664160462</v>
      </c>
      <c r="M107">
        <f>IF(OR(B107="NW",COUNT(Risk_Rank_Keys!B107)=0),0.5,(SUMPRODUCT(--ISNUMBER(Risk_Rank_Keys!$B$2:$B$800),--(Risk_Rank_Keys!$B$2:$B$800&lt;Risk_Rank_Keys!B107))+(SUMPRODUCT(--ISNUMBER(Risk_Rank_Keys!$B$2:$B$800),--(Risk_Rank_Keys!$B$2:$B$800=Risk_Rank_Keys!B107))+1)/2)/COUNT(Risk_Rank_Keys!$B$2:$B$800))</f>
        <v/>
      </c>
      <c r="N107">
        <f>IF(OR(B107="NW",COUNT(Risk_Rank_Keys!C107)=0),0.5,(SUMPRODUCT(--ISNUMBER(Risk_Rank_Keys!$C$2:$C$800),--(Risk_Rank_Keys!$C$2:$C$800&lt;Risk_Rank_Keys!C107))+(SUMPRODUCT(--ISNUMBER(Risk_Rank_Keys!$C$2:$C$800),--(Risk_Rank_Keys!$C$2:$C$800=Risk_Rank_Keys!C107))+1)/2)/COUNT(Risk_Rank_Keys!$C$2:$C$800))</f>
        <v/>
      </c>
      <c r="O107">
        <f>IF(OR(B107="NW",COUNT(Risk_Rank_Keys!D107)=0),0.5,(SUMPRODUCT(--ISNUMBER(Risk_Rank_Keys!$D$2:$D$800),--(Risk_Rank_Keys!$D$2:$D$800&lt;Risk_Rank_Keys!D107))+(SUMPRODUCT(--ISNUMBER(Risk_Rank_Keys!$D$2:$D$800),--(Risk_Rank_Keys!$D$2:$D$800=Risk_Rank_Keys!D107))+1)/2)/COUNT(Risk_Rank_Keys!$D$2:$D$800))</f>
        <v/>
      </c>
      <c r="P107">
        <f>AVERAGE(M107:O107)</f>
        <v/>
      </c>
      <c r="Q107">
        <f>0.4*H107+0.4*I107+0.2*P107</f>
        <v/>
      </c>
      <c r="R107">
        <f>PERCENTILE($Q$2:$Q$800,0.75)</f>
        <v/>
      </c>
      <c r="S107">
        <f>OR(Q107&gt;=R107,AND(B107="CW",COUNT(J107:L107)&lt;3))</f>
        <v/>
      </c>
      <c r="T107" t="n">
        <v>0.2914686204937627</v>
      </c>
      <c r="U107" t="n">
        <v>8.036223493809368</v>
      </c>
      <c r="V107" t="n">
        <v>0.5525064163770498</v>
      </c>
      <c r="W107">
        <f>Q107-V107</f>
        <v/>
      </c>
    </row>
    <row r="108">
      <c r="A108" t="inlineStr">
        <is>
          <t>2021-07-26</t>
        </is>
      </c>
      <c r="B108" t="inlineStr">
        <is>
          <t>CW</t>
        </is>
      </c>
      <c r="C108" t="n">
        <v>11.5976370693938</v>
      </c>
      <c r="D108">
        <f>SUMPRODUCT(Risk_Inputs!B108:AJ108,Risk_Coefs!$B$2:$AJ$2)</f>
        <v/>
      </c>
      <c r="E108">
        <f>1/(1+EXP(-MAX(-25,MIN(25,D108))))</f>
        <v/>
      </c>
      <c r="F108">
        <f>SUMPRODUCT(Risk_Inputs!B108:AJ108,Risk_Coefs!$B$3:$AJ$3)</f>
        <v/>
      </c>
      <c r="G108">
        <f>MAX(0,F108)</f>
        <v/>
      </c>
      <c r="H108">
        <f>(SUMPRODUCT(--ISNUMBER($E$2:$E$800),--($E$2:$E$800&lt;E108))+(SUMPRODUCT(--ISNUMBER($E$2:$E$800),--($E$2:$E$800=E108))+1)/2)/COUNT($E$2:$E$800)</f>
        <v/>
      </c>
      <c r="I108">
        <f>(SUMPRODUCT(--ISNUMBER($G$2:$G$800),--($G$2:$G$800&lt;G108))+(SUMPRODUCT(--ISNUMBER($G$2:$G$800),--($G$2:$G$800=G108))+1)/2)/COUNT($G$2:$G$800)</f>
        <v/>
      </c>
      <c r="J108" t="n">
        <v>2.214993608160152</v>
      </c>
      <c r="K108" t="n">
        <v>4.278416347381857</v>
      </c>
      <c r="L108" t="n">
        <v>0.3192848020434227</v>
      </c>
      <c r="M108">
        <f>IF(OR(B108="NW",COUNT(Risk_Rank_Keys!B108)=0),0.5,(SUMPRODUCT(--ISNUMBER(Risk_Rank_Keys!$B$2:$B$800),--(Risk_Rank_Keys!$B$2:$B$800&lt;Risk_Rank_Keys!B108))+(SUMPRODUCT(--ISNUMBER(Risk_Rank_Keys!$B$2:$B$800),--(Risk_Rank_Keys!$B$2:$B$800=Risk_Rank_Keys!B108))+1)/2)/COUNT(Risk_Rank_Keys!$B$2:$B$800))</f>
        <v/>
      </c>
      <c r="N108">
        <f>IF(OR(B108="NW",COUNT(Risk_Rank_Keys!C108)=0),0.5,(SUMPRODUCT(--ISNUMBER(Risk_Rank_Keys!$C$2:$C$800),--(Risk_Rank_Keys!$C$2:$C$800&lt;Risk_Rank_Keys!C108))+(SUMPRODUCT(--ISNUMBER(Risk_Rank_Keys!$C$2:$C$800),--(Risk_Rank_Keys!$C$2:$C$800=Risk_Rank_Keys!C108))+1)/2)/COUNT(Risk_Rank_Keys!$C$2:$C$800))</f>
        <v/>
      </c>
      <c r="O108">
        <f>IF(OR(B108="NW",COUNT(Risk_Rank_Keys!D108)=0),0.5,(SUMPRODUCT(--ISNUMBER(Risk_Rank_Keys!$D$2:$D$800),--(Risk_Rank_Keys!$D$2:$D$800&lt;Risk_Rank_Keys!D108))+(SUMPRODUCT(--ISNUMBER(Risk_Rank_Keys!$D$2:$D$800),--(Risk_Rank_Keys!$D$2:$D$800=Risk_Rank_Keys!D108))+1)/2)/COUNT(Risk_Rank_Keys!$D$2:$D$800))</f>
        <v/>
      </c>
      <c r="P108">
        <f>AVERAGE(M108:O108)</f>
        <v/>
      </c>
      <c r="Q108">
        <f>0.4*H108+0.4*I108+0.2*P108</f>
        <v/>
      </c>
      <c r="R108">
        <f>PERCENTILE($Q$2:$Q$800,0.75)</f>
        <v/>
      </c>
      <c r="S108">
        <f>OR(Q108&gt;=R108,AND(B108="CW",COUNT(J108:L108)&lt;3))</f>
        <v/>
      </c>
      <c r="T108" t="n">
        <v>0.284548891266479</v>
      </c>
      <c r="U108" t="n">
        <v>5.832964007897946</v>
      </c>
      <c r="V108" t="n">
        <v>0.3866471862491992</v>
      </c>
      <c r="W108">
        <f>Q108-V108</f>
        <v/>
      </c>
    </row>
    <row r="109">
      <c r="A109" t="inlineStr">
        <is>
          <t>2021-07-28</t>
        </is>
      </c>
      <c r="B109" t="inlineStr">
        <is>
          <t>CW</t>
        </is>
      </c>
      <c r="C109" t="n">
        <v>-39.97123706258232</v>
      </c>
      <c r="D109">
        <f>SUMPRODUCT(Risk_Inputs!B109:AJ109,Risk_Coefs!$B$2:$AJ$2)</f>
        <v/>
      </c>
      <c r="E109">
        <f>1/(1+EXP(-MAX(-25,MIN(25,D109))))</f>
        <v/>
      </c>
      <c r="F109">
        <f>SUMPRODUCT(Risk_Inputs!B109:AJ109,Risk_Coefs!$B$3:$AJ$3)</f>
        <v/>
      </c>
      <c r="G109">
        <f>MAX(0,F109)</f>
        <v/>
      </c>
      <c r="H109">
        <f>(SUMPRODUCT(--ISNUMBER($E$2:$E$800),--($E$2:$E$800&lt;E109))+(SUMPRODUCT(--ISNUMBER($E$2:$E$800),--($E$2:$E$800=E109))+1)/2)/COUNT($E$2:$E$800)</f>
        <v/>
      </c>
      <c r="I109">
        <f>(SUMPRODUCT(--ISNUMBER($G$2:$G$800),--($G$2:$G$800&lt;G109))+(SUMPRODUCT(--ISNUMBER($G$2:$G$800),--($G$2:$G$800=G109))+1)/2)/COUNT($G$2:$G$800)</f>
        <v/>
      </c>
      <c r="J109" t="n">
        <v>3.759482338398942</v>
      </c>
      <c r="K109" t="n">
        <v>3.78133990957665</v>
      </c>
      <c r="L109" t="n">
        <v>0.3288121660501485</v>
      </c>
      <c r="M109">
        <f>IF(OR(B109="NW",COUNT(Risk_Rank_Keys!B109)=0),0.5,(SUMPRODUCT(--ISNUMBER(Risk_Rank_Keys!$B$2:$B$800),--(Risk_Rank_Keys!$B$2:$B$800&lt;Risk_Rank_Keys!B109))+(SUMPRODUCT(--ISNUMBER(Risk_Rank_Keys!$B$2:$B$800),--(Risk_Rank_Keys!$B$2:$B$800=Risk_Rank_Keys!B109))+1)/2)/COUNT(Risk_Rank_Keys!$B$2:$B$800))</f>
        <v/>
      </c>
      <c r="N109">
        <f>IF(OR(B109="NW",COUNT(Risk_Rank_Keys!C109)=0),0.5,(SUMPRODUCT(--ISNUMBER(Risk_Rank_Keys!$C$2:$C$800),--(Risk_Rank_Keys!$C$2:$C$800&lt;Risk_Rank_Keys!C109))+(SUMPRODUCT(--ISNUMBER(Risk_Rank_Keys!$C$2:$C$800),--(Risk_Rank_Keys!$C$2:$C$800=Risk_Rank_Keys!C109))+1)/2)/COUNT(Risk_Rank_Keys!$C$2:$C$800))</f>
        <v/>
      </c>
      <c r="O109">
        <f>IF(OR(B109="NW",COUNT(Risk_Rank_Keys!D109)=0),0.5,(SUMPRODUCT(--ISNUMBER(Risk_Rank_Keys!$D$2:$D$800),--(Risk_Rank_Keys!$D$2:$D$800&lt;Risk_Rank_Keys!D109))+(SUMPRODUCT(--ISNUMBER(Risk_Rank_Keys!$D$2:$D$800),--(Risk_Rank_Keys!$D$2:$D$800=Risk_Rank_Keys!D109))+1)/2)/COUNT(Risk_Rank_Keys!$D$2:$D$800))</f>
        <v/>
      </c>
      <c r="P109">
        <f>AVERAGE(M109:O109)</f>
        <v/>
      </c>
      <c r="Q109">
        <f>0.4*H109+0.4*I109+0.2*P109</f>
        <v/>
      </c>
      <c r="R109">
        <f>PERCENTILE($Q$2:$Q$800,0.75)</f>
        <v/>
      </c>
      <c r="S109">
        <f>OR(Q109&gt;=R109,AND(B109="CW",COUNT(J109:L109)&lt;3))</f>
        <v/>
      </c>
      <c r="T109" t="n">
        <v>0.3239996683515026</v>
      </c>
      <c r="U109" t="n">
        <v>8.183068283190458</v>
      </c>
      <c r="V109" t="n">
        <v>0.5973749148313588</v>
      </c>
      <c r="W109">
        <f>Q109-V109</f>
        <v/>
      </c>
    </row>
    <row r="110">
      <c r="A110" t="inlineStr">
        <is>
          <t>2021-07-29</t>
        </is>
      </c>
      <c r="B110" t="inlineStr">
        <is>
          <t>NW</t>
        </is>
      </c>
      <c r="C110" t="n">
        <v>21.12097863394885</v>
      </c>
      <c r="D110">
        <f>SUMPRODUCT(Risk_Inputs!B110:AJ110,Risk_Coefs!$B$2:$AJ$2)</f>
        <v/>
      </c>
      <c r="E110">
        <f>1/(1+EXP(-MAX(-25,MIN(25,D110))))</f>
        <v/>
      </c>
      <c r="F110">
        <f>SUMPRODUCT(Risk_Inputs!B110:AJ110,Risk_Coefs!$B$3:$AJ$3)</f>
        <v/>
      </c>
      <c r="G110">
        <f>MAX(0,F110)</f>
        <v/>
      </c>
      <c r="H110">
        <f>(SUMPRODUCT(--ISNUMBER($E$2:$E$800),--($E$2:$E$800&lt;E110))+(SUMPRODUCT(--ISNUMBER($E$2:$E$800),--($E$2:$E$800=E110))+1)/2)/COUNT($E$2:$E$800)</f>
        <v/>
      </c>
      <c r="I110">
        <f>(SUMPRODUCT(--ISNUMBER($G$2:$G$800),--($G$2:$G$800&lt;G110))+(SUMPRODUCT(--ISNUMBER($G$2:$G$800),--($G$2:$G$800=G110))+1)/2)/COUNT($G$2:$G$800)</f>
        <v/>
      </c>
      <c r="M110">
        <f>IF(OR(B110="NW",COUNT(Risk_Rank_Keys!B110)=0),0.5,(SUMPRODUCT(--ISNUMBER(Risk_Rank_Keys!$B$2:$B$800),--(Risk_Rank_Keys!$B$2:$B$800&lt;Risk_Rank_Keys!B110))+(SUMPRODUCT(--ISNUMBER(Risk_Rank_Keys!$B$2:$B$800),--(Risk_Rank_Keys!$B$2:$B$800=Risk_Rank_Keys!B110))+1)/2)/COUNT(Risk_Rank_Keys!$B$2:$B$800))</f>
        <v/>
      </c>
      <c r="N110">
        <f>IF(OR(B110="NW",COUNT(Risk_Rank_Keys!C110)=0),0.5,(SUMPRODUCT(--ISNUMBER(Risk_Rank_Keys!$C$2:$C$800),--(Risk_Rank_Keys!$C$2:$C$800&lt;Risk_Rank_Keys!C110))+(SUMPRODUCT(--ISNUMBER(Risk_Rank_Keys!$C$2:$C$800),--(Risk_Rank_Keys!$C$2:$C$800=Risk_Rank_Keys!C110))+1)/2)/COUNT(Risk_Rank_Keys!$C$2:$C$800))</f>
        <v/>
      </c>
      <c r="O110">
        <f>IF(OR(B110="NW",COUNT(Risk_Rank_Keys!D110)=0),0.5,(SUMPRODUCT(--ISNUMBER(Risk_Rank_Keys!$D$2:$D$800),--(Risk_Rank_Keys!$D$2:$D$800&lt;Risk_Rank_Keys!D110))+(SUMPRODUCT(--ISNUMBER(Risk_Rank_Keys!$D$2:$D$800),--(Risk_Rank_Keys!$D$2:$D$800=Risk_Rank_Keys!D110))+1)/2)/COUNT(Risk_Rank_Keys!$D$2:$D$800))</f>
        <v/>
      </c>
      <c r="P110">
        <f>AVERAGE(M110:O110)</f>
        <v/>
      </c>
      <c r="Q110">
        <f>0.4*H110+0.4*I110+0.2*P110</f>
        <v/>
      </c>
      <c r="R110">
        <f>PERCENTILE($Q$2:$Q$800,0.75)</f>
        <v/>
      </c>
      <c r="S110">
        <f>OR(Q110&gt;=R110,AND(B110="CW",COUNT(J110:L110)&lt;3))</f>
        <v/>
      </c>
      <c r="T110" t="n">
        <v>0.3419865993430233</v>
      </c>
      <c r="U110" t="n">
        <v>10.06842524309646</v>
      </c>
      <c r="V110" t="n">
        <v>0.7352941176470588</v>
      </c>
      <c r="W110">
        <f>Q110-V110</f>
        <v/>
      </c>
    </row>
    <row r="111">
      <c r="A111" t="inlineStr">
        <is>
          <t>2021-08-03</t>
        </is>
      </c>
      <c r="B111" t="inlineStr">
        <is>
          <t>CW</t>
        </is>
      </c>
      <c r="C111" t="n">
        <v>-37.70049702869648</v>
      </c>
      <c r="D111">
        <f>SUMPRODUCT(Risk_Inputs!B111:AJ111,Risk_Coefs!$B$2:$AJ$2)</f>
        <v/>
      </c>
      <c r="E111">
        <f>1/(1+EXP(-MAX(-25,MIN(25,D111))))</f>
        <v/>
      </c>
      <c r="F111">
        <f>SUMPRODUCT(Risk_Inputs!B111:AJ111,Risk_Coefs!$B$3:$AJ$3)</f>
        <v/>
      </c>
      <c r="G111">
        <f>MAX(0,F111)</f>
        <v/>
      </c>
      <c r="H111">
        <f>(SUMPRODUCT(--ISNUMBER($E$2:$E$800),--($E$2:$E$800&lt;E111))+(SUMPRODUCT(--ISNUMBER($E$2:$E$800),--($E$2:$E$800=E111))+1)/2)/COUNT($E$2:$E$800)</f>
        <v/>
      </c>
      <c r="I111">
        <f>(SUMPRODUCT(--ISNUMBER($G$2:$G$800),--($G$2:$G$800&lt;G111))+(SUMPRODUCT(--ISNUMBER($G$2:$G$800),--($G$2:$G$800=G111))+1)/2)/COUNT($G$2:$G$800)</f>
        <v/>
      </c>
      <c r="J111" t="n">
        <v>2.004033116646569</v>
      </c>
      <c r="K111" t="n">
        <v>0.9286775631500954</v>
      </c>
      <c r="L111" t="n">
        <v>0.1857355126300096</v>
      </c>
      <c r="M111">
        <f>IF(OR(B111="NW",COUNT(Risk_Rank_Keys!B111)=0),0.5,(SUMPRODUCT(--ISNUMBER(Risk_Rank_Keys!$B$2:$B$800),--(Risk_Rank_Keys!$B$2:$B$800&lt;Risk_Rank_Keys!B111))+(SUMPRODUCT(--ISNUMBER(Risk_Rank_Keys!$B$2:$B$800),--(Risk_Rank_Keys!$B$2:$B$800=Risk_Rank_Keys!B111))+1)/2)/COUNT(Risk_Rank_Keys!$B$2:$B$800))</f>
        <v/>
      </c>
      <c r="N111">
        <f>IF(OR(B111="NW",COUNT(Risk_Rank_Keys!C111)=0),0.5,(SUMPRODUCT(--ISNUMBER(Risk_Rank_Keys!$C$2:$C$800),--(Risk_Rank_Keys!$C$2:$C$800&lt;Risk_Rank_Keys!C111))+(SUMPRODUCT(--ISNUMBER(Risk_Rank_Keys!$C$2:$C$800),--(Risk_Rank_Keys!$C$2:$C$800=Risk_Rank_Keys!C111))+1)/2)/COUNT(Risk_Rank_Keys!$C$2:$C$800))</f>
        <v/>
      </c>
      <c r="O111">
        <f>IF(OR(B111="NW",COUNT(Risk_Rank_Keys!D111)=0),0.5,(SUMPRODUCT(--ISNUMBER(Risk_Rank_Keys!$D$2:$D$800),--(Risk_Rank_Keys!$D$2:$D$800&lt;Risk_Rank_Keys!D111))+(SUMPRODUCT(--ISNUMBER(Risk_Rank_Keys!$D$2:$D$800),--(Risk_Rank_Keys!$D$2:$D$800=Risk_Rank_Keys!D111))+1)/2)/COUNT(Risk_Rank_Keys!$D$2:$D$800))</f>
        <v/>
      </c>
      <c r="P111">
        <f>AVERAGE(M111:O111)</f>
        <v/>
      </c>
      <c r="Q111">
        <f>0.4*H111+0.4*I111+0.2*P111</f>
        <v/>
      </c>
      <c r="R111">
        <f>PERCENTILE($Q$2:$Q$800,0.75)</f>
        <v/>
      </c>
      <c r="S111">
        <f>OR(Q111&gt;=R111,AND(B111="CW",COUNT(J111:L111)&lt;3))</f>
        <v/>
      </c>
      <c r="T111" t="n">
        <v>0.3316770313478548</v>
      </c>
      <c r="U111" t="n">
        <v>8.777316551778922</v>
      </c>
      <c r="V111" t="n">
        <v>0.5743620716039167</v>
      </c>
      <c r="W111">
        <f>Q111-V111</f>
        <v/>
      </c>
    </row>
    <row r="112">
      <c r="A112" t="inlineStr">
        <is>
          <t>2021-08-04</t>
        </is>
      </c>
      <c r="B112" t="inlineStr">
        <is>
          <t>CW</t>
        </is>
      </c>
      <c r="C112" t="n">
        <v>35.58490955934822</v>
      </c>
      <c r="D112">
        <f>SUMPRODUCT(Risk_Inputs!B112:AJ112,Risk_Coefs!$B$2:$AJ$2)</f>
        <v/>
      </c>
      <c r="E112">
        <f>1/(1+EXP(-MAX(-25,MIN(25,D112))))</f>
        <v/>
      </c>
      <c r="F112">
        <f>SUMPRODUCT(Risk_Inputs!B112:AJ112,Risk_Coefs!$B$3:$AJ$3)</f>
        <v/>
      </c>
      <c r="G112">
        <f>MAX(0,F112)</f>
        <v/>
      </c>
      <c r="H112">
        <f>(SUMPRODUCT(--ISNUMBER($E$2:$E$800),--($E$2:$E$800&lt;E112))+(SUMPRODUCT(--ISNUMBER($E$2:$E$800),--($E$2:$E$800=E112))+1)/2)/COUNT($E$2:$E$800)</f>
        <v/>
      </c>
      <c r="I112">
        <f>(SUMPRODUCT(--ISNUMBER($G$2:$G$800),--($G$2:$G$800&lt;G112))+(SUMPRODUCT(--ISNUMBER($G$2:$G$800),--($G$2:$G$800=G112))+1)/2)/COUNT($G$2:$G$800)</f>
        <v/>
      </c>
      <c r="J112" t="n">
        <v>33.7456429871365</v>
      </c>
      <c r="K112" t="n">
        <v>21.80616740088104</v>
      </c>
      <c r="L112" t="n">
        <v>0.5873715124816479</v>
      </c>
      <c r="M112">
        <f>IF(OR(B112="NW",COUNT(Risk_Rank_Keys!B112)=0),0.5,(SUMPRODUCT(--ISNUMBER(Risk_Rank_Keys!$B$2:$B$800),--(Risk_Rank_Keys!$B$2:$B$800&lt;Risk_Rank_Keys!B112))+(SUMPRODUCT(--ISNUMBER(Risk_Rank_Keys!$B$2:$B$800),--(Risk_Rank_Keys!$B$2:$B$800=Risk_Rank_Keys!B112))+1)/2)/COUNT(Risk_Rank_Keys!$B$2:$B$800))</f>
        <v/>
      </c>
      <c r="N112">
        <f>IF(OR(B112="NW",COUNT(Risk_Rank_Keys!C112)=0),0.5,(SUMPRODUCT(--ISNUMBER(Risk_Rank_Keys!$C$2:$C$800),--(Risk_Rank_Keys!$C$2:$C$800&lt;Risk_Rank_Keys!C112))+(SUMPRODUCT(--ISNUMBER(Risk_Rank_Keys!$C$2:$C$800),--(Risk_Rank_Keys!$C$2:$C$800=Risk_Rank_Keys!C112))+1)/2)/COUNT(Risk_Rank_Keys!$C$2:$C$800))</f>
        <v/>
      </c>
      <c r="O112">
        <f>IF(OR(B112="NW",COUNT(Risk_Rank_Keys!D112)=0),0.5,(SUMPRODUCT(--ISNUMBER(Risk_Rank_Keys!$D$2:$D$800),--(Risk_Rank_Keys!$D$2:$D$800&lt;Risk_Rank_Keys!D112))+(SUMPRODUCT(--ISNUMBER(Risk_Rank_Keys!$D$2:$D$800),--(Risk_Rank_Keys!$D$2:$D$800=Risk_Rank_Keys!D112))+1)/2)/COUNT(Risk_Rank_Keys!$D$2:$D$800))</f>
        <v/>
      </c>
      <c r="P112">
        <f>AVERAGE(M112:O112)</f>
        <v/>
      </c>
      <c r="Q112">
        <f>0.4*H112+0.4*I112+0.2*P112</f>
        <v/>
      </c>
      <c r="R112">
        <f>PERCENTILE($Q$2:$Q$800,0.75)</f>
        <v/>
      </c>
      <c r="S112">
        <f>OR(Q112&gt;=R112,AND(B112="CW",COUNT(J112:L112)&lt;3))</f>
        <v/>
      </c>
      <c r="T112" t="n">
        <v>0.11889454363661</v>
      </c>
      <c r="U112" t="n">
        <v>5.150446726572726</v>
      </c>
      <c r="V112" t="n">
        <v>0.2547820991953564</v>
      </c>
      <c r="W112">
        <f>Q112-V112</f>
        <v/>
      </c>
    </row>
    <row r="113">
      <c r="A113" t="inlineStr">
        <is>
          <t>2021-08-05</t>
        </is>
      </c>
      <c r="B113" t="inlineStr">
        <is>
          <t>NW</t>
        </is>
      </c>
      <c r="C113" t="n">
        <v>13.95740437851098</v>
      </c>
      <c r="D113">
        <f>SUMPRODUCT(Risk_Inputs!B113:AJ113,Risk_Coefs!$B$2:$AJ$2)</f>
        <v/>
      </c>
      <c r="E113">
        <f>1/(1+EXP(-MAX(-25,MIN(25,D113))))</f>
        <v/>
      </c>
      <c r="F113">
        <f>SUMPRODUCT(Risk_Inputs!B113:AJ113,Risk_Coefs!$B$3:$AJ$3)</f>
        <v/>
      </c>
      <c r="G113">
        <f>MAX(0,F113)</f>
        <v/>
      </c>
      <c r="H113">
        <f>(SUMPRODUCT(--ISNUMBER($E$2:$E$800),--($E$2:$E$800&lt;E113))+(SUMPRODUCT(--ISNUMBER($E$2:$E$800),--($E$2:$E$800=E113))+1)/2)/COUNT($E$2:$E$800)</f>
        <v/>
      </c>
      <c r="I113">
        <f>(SUMPRODUCT(--ISNUMBER($G$2:$G$800),--($G$2:$G$800&lt;G113))+(SUMPRODUCT(--ISNUMBER($G$2:$G$800),--($G$2:$G$800=G113))+1)/2)/COUNT($G$2:$G$800)</f>
        <v/>
      </c>
      <c r="M113">
        <f>IF(OR(B113="NW",COUNT(Risk_Rank_Keys!B113)=0),0.5,(SUMPRODUCT(--ISNUMBER(Risk_Rank_Keys!$B$2:$B$800),--(Risk_Rank_Keys!$B$2:$B$800&lt;Risk_Rank_Keys!B113))+(SUMPRODUCT(--ISNUMBER(Risk_Rank_Keys!$B$2:$B$800),--(Risk_Rank_Keys!$B$2:$B$800=Risk_Rank_Keys!B113))+1)/2)/COUNT(Risk_Rank_Keys!$B$2:$B$800))</f>
        <v/>
      </c>
      <c r="N113">
        <f>IF(OR(B113="NW",COUNT(Risk_Rank_Keys!C113)=0),0.5,(SUMPRODUCT(--ISNUMBER(Risk_Rank_Keys!$C$2:$C$800),--(Risk_Rank_Keys!$C$2:$C$800&lt;Risk_Rank_Keys!C113))+(SUMPRODUCT(--ISNUMBER(Risk_Rank_Keys!$C$2:$C$800),--(Risk_Rank_Keys!$C$2:$C$800=Risk_Rank_Keys!C113))+1)/2)/COUNT(Risk_Rank_Keys!$C$2:$C$800))</f>
        <v/>
      </c>
      <c r="O113">
        <f>IF(OR(B113="NW",COUNT(Risk_Rank_Keys!D113)=0),0.5,(SUMPRODUCT(--ISNUMBER(Risk_Rank_Keys!$D$2:$D$800),--(Risk_Rank_Keys!$D$2:$D$800&lt;Risk_Rank_Keys!D113))+(SUMPRODUCT(--ISNUMBER(Risk_Rank_Keys!$D$2:$D$800),--(Risk_Rank_Keys!$D$2:$D$800=Risk_Rank_Keys!D113))+1)/2)/COUNT(Risk_Rank_Keys!$D$2:$D$800))</f>
        <v/>
      </c>
      <c r="P113">
        <f>AVERAGE(M113:O113)</f>
        <v/>
      </c>
      <c r="Q113">
        <f>0.4*H113+0.4*I113+0.2*P113</f>
        <v/>
      </c>
      <c r="R113">
        <f>PERCENTILE($Q$2:$Q$800,0.75)</f>
        <v/>
      </c>
      <c r="S113">
        <f>OR(Q113&gt;=R113,AND(B113="CW",COUNT(J113:L113)&lt;3))</f>
        <v/>
      </c>
      <c r="T113" t="n">
        <v>0.3399971163042783</v>
      </c>
      <c r="U113" t="n">
        <v>9.719301576914402</v>
      </c>
      <c r="V113" t="n">
        <v>0.7147684605757197</v>
      </c>
      <c r="W113">
        <f>Q113-V113</f>
        <v/>
      </c>
    </row>
    <row r="114">
      <c r="A114" t="inlineStr">
        <is>
          <t>2021-08-11</t>
        </is>
      </c>
      <c r="B114" t="inlineStr">
        <is>
          <t>CW</t>
        </is>
      </c>
      <c r="C114" t="n">
        <v>36.58325434952603</v>
      </c>
      <c r="D114">
        <f>SUMPRODUCT(Risk_Inputs!B114:AJ114,Risk_Coefs!$B$2:$AJ$2)</f>
        <v/>
      </c>
      <c r="E114">
        <f>1/(1+EXP(-MAX(-25,MIN(25,D114))))</f>
        <v/>
      </c>
      <c r="F114">
        <f>SUMPRODUCT(Risk_Inputs!B114:AJ114,Risk_Coefs!$B$3:$AJ$3)</f>
        <v/>
      </c>
      <c r="G114">
        <f>MAX(0,F114)</f>
        <v/>
      </c>
      <c r="H114">
        <f>(SUMPRODUCT(--ISNUMBER($E$2:$E$800),--($E$2:$E$800&lt;E114))+(SUMPRODUCT(--ISNUMBER($E$2:$E$800),--($E$2:$E$800=E114))+1)/2)/COUNT($E$2:$E$800)</f>
        <v/>
      </c>
      <c r="I114">
        <f>(SUMPRODUCT(--ISNUMBER($G$2:$G$800),--($G$2:$G$800&lt;G114))+(SUMPRODUCT(--ISNUMBER($G$2:$G$800),--($G$2:$G$800=G114))+1)/2)/COUNT($G$2:$G$800)</f>
        <v/>
      </c>
      <c r="J114" t="n">
        <v>7.615514768879233</v>
      </c>
      <c r="K114" t="n">
        <v>4.890604890604906</v>
      </c>
      <c r="L114" t="n">
        <v>0.2574002574002672</v>
      </c>
      <c r="M114">
        <f>IF(OR(B114="NW",COUNT(Risk_Rank_Keys!B114)=0),0.5,(SUMPRODUCT(--ISNUMBER(Risk_Rank_Keys!$B$2:$B$800),--(Risk_Rank_Keys!$B$2:$B$800&lt;Risk_Rank_Keys!B114))+(SUMPRODUCT(--ISNUMBER(Risk_Rank_Keys!$B$2:$B$800),--(Risk_Rank_Keys!$B$2:$B$800=Risk_Rank_Keys!B114))+1)/2)/COUNT(Risk_Rank_Keys!$B$2:$B$800))</f>
        <v/>
      </c>
      <c r="N114">
        <f>IF(OR(B114="NW",COUNT(Risk_Rank_Keys!C114)=0),0.5,(SUMPRODUCT(--ISNUMBER(Risk_Rank_Keys!$C$2:$C$800),--(Risk_Rank_Keys!$C$2:$C$800&lt;Risk_Rank_Keys!C114))+(SUMPRODUCT(--ISNUMBER(Risk_Rank_Keys!$C$2:$C$800),--(Risk_Rank_Keys!$C$2:$C$800=Risk_Rank_Keys!C114))+1)/2)/COUNT(Risk_Rank_Keys!$C$2:$C$800))</f>
        <v/>
      </c>
      <c r="O114">
        <f>IF(OR(B114="NW",COUNT(Risk_Rank_Keys!D114)=0),0.5,(SUMPRODUCT(--ISNUMBER(Risk_Rank_Keys!$D$2:$D$800),--(Risk_Rank_Keys!$D$2:$D$800&lt;Risk_Rank_Keys!D114))+(SUMPRODUCT(--ISNUMBER(Risk_Rank_Keys!$D$2:$D$800),--(Risk_Rank_Keys!$D$2:$D$800=Risk_Rank_Keys!D114))+1)/2)/COUNT(Risk_Rank_Keys!$D$2:$D$800))</f>
        <v/>
      </c>
      <c r="P114">
        <f>AVERAGE(M114:O114)</f>
        <v/>
      </c>
      <c r="Q114">
        <f>0.4*H114+0.4*I114+0.2*P114</f>
        <v/>
      </c>
      <c r="R114">
        <f>PERCENTILE($Q$2:$Q$800,0.75)</f>
        <v/>
      </c>
      <c r="S114">
        <f>OR(Q114&gt;=R114,AND(B114="CW",COUNT(J114:L114)&lt;3))</f>
        <v/>
      </c>
      <c r="T114" t="n">
        <v>0.3175792159845068</v>
      </c>
      <c r="U114" t="n">
        <v>10.46056631484146</v>
      </c>
      <c r="V114" t="n">
        <v>0.7082646892995603</v>
      </c>
      <c r="W114">
        <f>Q114-V114</f>
        <v/>
      </c>
    </row>
    <row r="115">
      <c r="A115" t="inlineStr">
        <is>
          <t>2021-08-12</t>
        </is>
      </c>
      <c r="B115" t="inlineStr">
        <is>
          <t>NW</t>
        </is>
      </c>
      <c r="C115" t="n">
        <v>21.64078277673477</v>
      </c>
      <c r="D115">
        <f>SUMPRODUCT(Risk_Inputs!B115:AJ115,Risk_Coefs!$B$2:$AJ$2)</f>
        <v/>
      </c>
      <c r="E115">
        <f>1/(1+EXP(-MAX(-25,MIN(25,D115))))</f>
        <v/>
      </c>
      <c r="F115">
        <f>SUMPRODUCT(Risk_Inputs!B115:AJ115,Risk_Coefs!$B$3:$AJ$3)</f>
        <v/>
      </c>
      <c r="G115">
        <f>MAX(0,F115)</f>
        <v/>
      </c>
      <c r="H115">
        <f>(SUMPRODUCT(--ISNUMBER($E$2:$E$800),--($E$2:$E$800&lt;E115))+(SUMPRODUCT(--ISNUMBER($E$2:$E$800),--($E$2:$E$800=E115))+1)/2)/COUNT($E$2:$E$800)</f>
        <v/>
      </c>
      <c r="I115">
        <f>(SUMPRODUCT(--ISNUMBER($G$2:$G$800),--($G$2:$G$800&lt;G115))+(SUMPRODUCT(--ISNUMBER($G$2:$G$800),--($G$2:$G$800=G115))+1)/2)/COUNT($G$2:$G$800)</f>
        <v/>
      </c>
      <c r="M115">
        <f>IF(OR(B115="NW",COUNT(Risk_Rank_Keys!B115)=0),0.5,(SUMPRODUCT(--ISNUMBER(Risk_Rank_Keys!$B$2:$B$800),--(Risk_Rank_Keys!$B$2:$B$800&lt;Risk_Rank_Keys!B115))+(SUMPRODUCT(--ISNUMBER(Risk_Rank_Keys!$B$2:$B$800),--(Risk_Rank_Keys!$B$2:$B$800=Risk_Rank_Keys!B115))+1)/2)/COUNT(Risk_Rank_Keys!$B$2:$B$800))</f>
        <v/>
      </c>
      <c r="N115">
        <f>IF(OR(B115="NW",COUNT(Risk_Rank_Keys!C115)=0),0.5,(SUMPRODUCT(--ISNUMBER(Risk_Rank_Keys!$C$2:$C$800),--(Risk_Rank_Keys!$C$2:$C$800&lt;Risk_Rank_Keys!C115))+(SUMPRODUCT(--ISNUMBER(Risk_Rank_Keys!$C$2:$C$800),--(Risk_Rank_Keys!$C$2:$C$800=Risk_Rank_Keys!C115))+1)/2)/COUNT(Risk_Rank_Keys!$C$2:$C$800))</f>
        <v/>
      </c>
      <c r="O115">
        <f>IF(OR(B115="NW",COUNT(Risk_Rank_Keys!D115)=0),0.5,(SUMPRODUCT(--ISNUMBER(Risk_Rank_Keys!$D$2:$D$800),--(Risk_Rank_Keys!$D$2:$D$800&lt;Risk_Rank_Keys!D115))+(SUMPRODUCT(--ISNUMBER(Risk_Rank_Keys!$D$2:$D$800),--(Risk_Rank_Keys!$D$2:$D$800=Risk_Rank_Keys!D115))+1)/2)/COUNT(Risk_Rank_Keys!$D$2:$D$800))</f>
        <v/>
      </c>
      <c r="P115">
        <f>AVERAGE(M115:O115)</f>
        <v/>
      </c>
      <c r="Q115">
        <f>0.4*H115+0.4*I115+0.2*P115</f>
        <v/>
      </c>
      <c r="R115">
        <f>PERCENTILE($Q$2:$Q$800,0.75)</f>
        <v/>
      </c>
      <c r="S115">
        <f>OR(Q115&gt;=R115,AND(B115="CW",COUNT(J115:L115)&lt;3))</f>
        <v/>
      </c>
      <c r="T115" t="n">
        <v>0.3210237390045462</v>
      </c>
      <c r="U115" t="n">
        <v>9.129902095813984</v>
      </c>
      <c r="V115" t="n">
        <v>0.6496871088861077</v>
      </c>
      <c r="W115">
        <f>Q115-V115</f>
        <v/>
      </c>
    </row>
    <row r="116">
      <c r="A116" t="inlineStr">
        <is>
          <t>2021-08-16</t>
        </is>
      </c>
      <c r="B116" t="inlineStr">
        <is>
          <t>CW</t>
        </is>
      </c>
      <c r="C116" t="n">
        <v>11.30336195600621</v>
      </c>
      <c r="D116">
        <f>SUMPRODUCT(Risk_Inputs!B116:AJ116,Risk_Coefs!$B$2:$AJ$2)</f>
        <v/>
      </c>
      <c r="E116">
        <f>1/(1+EXP(-MAX(-25,MIN(25,D116))))</f>
        <v/>
      </c>
      <c r="F116">
        <f>SUMPRODUCT(Risk_Inputs!B116:AJ116,Risk_Coefs!$B$3:$AJ$3)</f>
        <v/>
      </c>
      <c r="G116">
        <f>MAX(0,F116)</f>
        <v/>
      </c>
      <c r="H116">
        <f>(SUMPRODUCT(--ISNUMBER($E$2:$E$800),--($E$2:$E$800&lt;E116))+(SUMPRODUCT(--ISNUMBER($E$2:$E$800),--($E$2:$E$800=E116))+1)/2)/COUNT($E$2:$E$800)</f>
        <v/>
      </c>
      <c r="I116">
        <f>(SUMPRODUCT(--ISNUMBER($G$2:$G$800),--($G$2:$G$800&lt;G116))+(SUMPRODUCT(--ISNUMBER($G$2:$G$800),--($G$2:$G$800=G116))+1)/2)/COUNT($G$2:$G$800)</f>
        <v/>
      </c>
      <c r="J116" t="n">
        <v>8.519282076157696</v>
      </c>
      <c r="K116" t="n">
        <v>1.980830670926514</v>
      </c>
      <c r="L116" t="n">
        <v>0.1916932907348224</v>
      </c>
      <c r="M116">
        <f>IF(OR(B116="NW",COUNT(Risk_Rank_Keys!B116)=0),0.5,(SUMPRODUCT(--ISNUMBER(Risk_Rank_Keys!$B$2:$B$800),--(Risk_Rank_Keys!$B$2:$B$800&lt;Risk_Rank_Keys!B116))+(SUMPRODUCT(--ISNUMBER(Risk_Rank_Keys!$B$2:$B$800),--(Risk_Rank_Keys!$B$2:$B$800=Risk_Rank_Keys!B116))+1)/2)/COUNT(Risk_Rank_Keys!$B$2:$B$800))</f>
        <v/>
      </c>
      <c r="N116">
        <f>IF(OR(B116="NW",COUNT(Risk_Rank_Keys!C116)=0),0.5,(SUMPRODUCT(--ISNUMBER(Risk_Rank_Keys!$C$2:$C$800),--(Risk_Rank_Keys!$C$2:$C$800&lt;Risk_Rank_Keys!C116))+(SUMPRODUCT(--ISNUMBER(Risk_Rank_Keys!$C$2:$C$800),--(Risk_Rank_Keys!$C$2:$C$800=Risk_Rank_Keys!C116))+1)/2)/COUNT(Risk_Rank_Keys!$C$2:$C$800))</f>
        <v/>
      </c>
      <c r="O116">
        <f>IF(OR(B116="NW",COUNT(Risk_Rank_Keys!D116)=0),0.5,(SUMPRODUCT(--ISNUMBER(Risk_Rank_Keys!$D$2:$D$800),--(Risk_Rank_Keys!$D$2:$D$800&lt;Risk_Rank_Keys!D116))+(SUMPRODUCT(--ISNUMBER(Risk_Rank_Keys!$D$2:$D$800),--(Risk_Rank_Keys!$D$2:$D$800=Risk_Rank_Keys!D116))+1)/2)/COUNT(Risk_Rank_Keys!$D$2:$D$800))</f>
        <v/>
      </c>
      <c r="P116">
        <f>AVERAGE(M116:O116)</f>
        <v/>
      </c>
      <c r="Q116">
        <f>0.4*H116+0.4*I116+0.2*P116</f>
        <v/>
      </c>
      <c r="R116">
        <f>PERCENTILE($Q$2:$Q$800,0.75)</f>
        <v/>
      </c>
      <c r="S116">
        <f>OR(Q116&gt;=R116,AND(B116="CW",COUNT(J116:L116)&lt;3))</f>
        <v/>
      </c>
      <c r="T116" t="n">
        <v>0.3029458986411203</v>
      </c>
      <c r="U116" t="n">
        <v>6.537792469939458</v>
      </c>
      <c r="V116" t="n">
        <v>0.4355060282815166</v>
      </c>
      <c r="W116">
        <f>Q116-V116</f>
        <v/>
      </c>
    </row>
    <row r="117">
      <c r="A117" t="inlineStr">
        <is>
          <t>2021-08-17</t>
        </is>
      </c>
      <c r="B117" t="inlineStr">
        <is>
          <t>CW</t>
        </is>
      </c>
      <c r="C117" t="n">
        <v>-4.976756064130234</v>
      </c>
      <c r="D117">
        <f>SUMPRODUCT(Risk_Inputs!B117:AJ117,Risk_Coefs!$B$2:$AJ$2)</f>
        <v/>
      </c>
      <c r="E117">
        <f>1/(1+EXP(-MAX(-25,MIN(25,D117))))</f>
        <v/>
      </c>
      <c r="F117">
        <f>SUMPRODUCT(Risk_Inputs!B117:AJ117,Risk_Coefs!$B$3:$AJ$3)</f>
        <v/>
      </c>
      <c r="G117">
        <f>MAX(0,F117)</f>
        <v/>
      </c>
      <c r="H117">
        <f>(SUMPRODUCT(--ISNUMBER($E$2:$E$800),--($E$2:$E$800&lt;E117))+(SUMPRODUCT(--ISNUMBER($E$2:$E$800),--($E$2:$E$800=E117))+1)/2)/COUNT($E$2:$E$800)</f>
        <v/>
      </c>
      <c r="I117">
        <f>(SUMPRODUCT(--ISNUMBER($G$2:$G$800),--($G$2:$G$800&lt;G117))+(SUMPRODUCT(--ISNUMBER($G$2:$G$800),--($G$2:$G$800=G117))+1)/2)/COUNT($G$2:$G$800)</f>
        <v/>
      </c>
      <c r="J117" t="n">
        <v>11.65130812413719</v>
      </c>
      <c r="K117" t="n">
        <v>8.079669297256691</v>
      </c>
      <c r="L117" t="n">
        <v>0.3006388575723455</v>
      </c>
      <c r="M117">
        <f>IF(OR(B117="NW",COUNT(Risk_Rank_Keys!B117)=0),0.5,(SUMPRODUCT(--ISNUMBER(Risk_Rank_Keys!$B$2:$B$800),--(Risk_Rank_Keys!$B$2:$B$800&lt;Risk_Rank_Keys!B117))+(SUMPRODUCT(--ISNUMBER(Risk_Rank_Keys!$B$2:$B$800),--(Risk_Rank_Keys!$B$2:$B$800=Risk_Rank_Keys!B117))+1)/2)/COUNT(Risk_Rank_Keys!$B$2:$B$800))</f>
        <v/>
      </c>
      <c r="N117">
        <f>IF(OR(B117="NW",COUNT(Risk_Rank_Keys!C117)=0),0.5,(SUMPRODUCT(--ISNUMBER(Risk_Rank_Keys!$C$2:$C$800),--(Risk_Rank_Keys!$C$2:$C$800&lt;Risk_Rank_Keys!C117))+(SUMPRODUCT(--ISNUMBER(Risk_Rank_Keys!$C$2:$C$800),--(Risk_Rank_Keys!$C$2:$C$800=Risk_Rank_Keys!C117))+1)/2)/COUNT(Risk_Rank_Keys!$C$2:$C$800))</f>
        <v/>
      </c>
      <c r="O117">
        <f>IF(OR(B117="NW",COUNT(Risk_Rank_Keys!D117)=0),0.5,(SUMPRODUCT(--ISNUMBER(Risk_Rank_Keys!$D$2:$D$800),--(Risk_Rank_Keys!$D$2:$D$800&lt;Risk_Rank_Keys!D117))+(SUMPRODUCT(--ISNUMBER(Risk_Rank_Keys!$D$2:$D$800),--(Risk_Rank_Keys!$D$2:$D$800=Risk_Rank_Keys!D117))+1)/2)/COUNT(Risk_Rank_Keys!$D$2:$D$800))</f>
        <v/>
      </c>
      <c r="P117">
        <f>AVERAGE(M117:O117)</f>
        <v/>
      </c>
      <c r="Q117">
        <f>0.4*H117+0.4*I117+0.2*P117</f>
        <v/>
      </c>
      <c r="R117">
        <f>PERCENTILE($Q$2:$Q$800,0.75)</f>
        <v/>
      </c>
      <c r="S117">
        <f>OR(Q117&gt;=R117,AND(B117="CW",COUNT(J117:L117)&lt;3))</f>
        <v/>
      </c>
      <c r="T117" t="n">
        <v>0.2598213445422023</v>
      </c>
      <c r="U117" t="n">
        <v>5.792859727028087</v>
      </c>
      <c r="V117" t="n">
        <v>0.3729407226257369</v>
      </c>
      <c r="W117">
        <f>Q117-V117</f>
        <v/>
      </c>
    </row>
    <row r="118">
      <c r="A118" t="inlineStr">
        <is>
          <t>2021-08-30</t>
        </is>
      </c>
      <c r="B118" t="inlineStr">
        <is>
          <t>CW</t>
        </is>
      </c>
      <c r="C118" t="n">
        <v>-25.48318067941238</v>
      </c>
      <c r="D118">
        <f>SUMPRODUCT(Risk_Inputs!B118:AJ118,Risk_Coefs!$B$2:$AJ$2)</f>
        <v/>
      </c>
      <c r="E118">
        <f>1/(1+EXP(-MAX(-25,MIN(25,D118))))</f>
        <v/>
      </c>
      <c r="F118">
        <f>SUMPRODUCT(Risk_Inputs!B118:AJ118,Risk_Coefs!$B$3:$AJ$3)</f>
        <v/>
      </c>
      <c r="G118">
        <f>MAX(0,F118)</f>
        <v/>
      </c>
      <c r="H118">
        <f>(SUMPRODUCT(--ISNUMBER($E$2:$E$800),--($E$2:$E$800&lt;E118))+(SUMPRODUCT(--ISNUMBER($E$2:$E$800),--($E$2:$E$800=E118))+1)/2)/COUNT($E$2:$E$800)</f>
        <v/>
      </c>
      <c r="I118">
        <f>(SUMPRODUCT(--ISNUMBER($G$2:$G$800),--($G$2:$G$800&lt;G118))+(SUMPRODUCT(--ISNUMBER($G$2:$G$800),--($G$2:$G$800=G118))+1)/2)/COUNT($G$2:$G$800)</f>
        <v/>
      </c>
      <c r="J118" t="n">
        <v>7.237592592041898</v>
      </c>
      <c r="K118" t="n">
        <v>1.452344931921352</v>
      </c>
      <c r="L118" t="n">
        <v>0.2118003025718574</v>
      </c>
      <c r="M118">
        <f>IF(OR(B118="NW",COUNT(Risk_Rank_Keys!B118)=0),0.5,(SUMPRODUCT(--ISNUMBER(Risk_Rank_Keys!$B$2:$B$800),--(Risk_Rank_Keys!$B$2:$B$800&lt;Risk_Rank_Keys!B118))+(SUMPRODUCT(--ISNUMBER(Risk_Rank_Keys!$B$2:$B$800),--(Risk_Rank_Keys!$B$2:$B$800=Risk_Rank_Keys!B118))+1)/2)/COUNT(Risk_Rank_Keys!$B$2:$B$800))</f>
        <v/>
      </c>
      <c r="N118">
        <f>IF(OR(B118="NW",COUNT(Risk_Rank_Keys!C118)=0),0.5,(SUMPRODUCT(--ISNUMBER(Risk_Rank_Keys!$C$2:$C$800),--(Risk_Rank_Keys!$C$2:$C$800&lt;Risk_Rank_Keys!C118))+(SUMPRODUCT(--ISNUMBER(Risk_Rank_Keys!$C$2:$C$800),--(Risk_Rank_Keys!$C$2:$C$800=Risk_Rank_Keys!C118))+1)/2)/COUNT(Risk_Rank_Keys!$C$2:$C$800))</f>
        <v/>
      </c>
      <c r="O118">
        <f>IF(OR(B118="NW",COUNT(Risk_Rank_Keys!D118)=0),0.5,(SUMPRODUCT(--ISNUMBER(Risk_Rank_Keys!$D$2:$D$800),--(Risk_Rank_Keys!$D$2:$D$800&lt;Risk_Rank_Keys!D118))+(SUMPRODUCT(--ISNUMBER(Risk_Rank_Keys!$D$2:$D$800),--(Risk_Rank_Keys!$D$2:$D$800=Risk_Rank_Keys!D118))+1)/2)/COUNT(Risk_Rank_Keys!$D$2:$D$800))</f>
        <v/>
      </c>
      <c r="P118">
        <f>AVERAGE(M118:O118)</f>
        <v/>
      </c>
      <c r="Q118">
        <f>0.4*H118+0.4*I118+0.2*P118</f>
        <v/>
      </c>
      <c r="R118">
        <f>PERCENTILE($Q$2:$Q$800,0.75)</f>
        <v/>
      </c>
      <c r="S118">
        <f>OR(Q118&gt;=R118,AND(B118="CW",COUNT(J118:L118)&lt;3))</f>
        <v/>
      </c>
      <c r="T118" t="n">
        <v>0.3269638190629369</v>
      </c>
      <c r="U118" t="n">
        <v>9.22720508231175</v>
      </c>
      <c r="V118" t="n">
        <v>0.6258720657912116</v>
      </c>
      <c r="W118">
        <f>Q118-V118</f>
        <v/>
      </c>
    </row>
    <row r="119">
      <c r="A119" t="inlineStr">
        <is>
          <t>2021-08-31</t>
        </is>
      </c>
      <c r="B119" t="inlineStr">
        <is>
          <t>CW</t>
        </is>
      </c>
      <c r="C119" t="n">
        <v>-39.39564160522611</v>
      </c>
      <c r="D119">
        <f>SUMPRODUCT(Risk_Inputs!B119:AJ119,Risk_Coefs!$B$2:$AJ$2)</f>
        <v/>
      </c>
      <c r="E119">
        <f>1/(1+EXP(-MAX(-25,MIN(25,D119))))</f>
        <v/>
      </c>
      <c r="F119">
        <f>SUMPRODUCT(Risk_Inputs!B119:AJ119,Risk_Coefs!$B$3:$AJ$3)</f>
        <v/>
      </c>
      <c r="G119">
        <f>MAX(0,F119)</f>
        <v/>
      </c>
      <c r="H119">
        <f>(SUMPRODUCT(--ISNUMBER($E$2:$E$800),--($E$2:$E$800&lt;E119))+(SUMPRODUCT(--ISNUMBER($E$2:$E$800),--($E$2:$E$800=E119))+1)/2)/COUNT($E$2:$E$800)</f>
        <v/>
      </c>
      <c r="I119">
        <f>(SUMPRODUCT(--ISNUMBER($G$2:$G$800),--($G$2:$G$800&lt;G119))+(SUMPRODUCT(--ISNUMBER($G$2:$G$800),--($G$2:$G$800=G119))+1)/2)/COUNT($G$2:$G$800)</f>
        <v/>
      </c>
      <c r="J119" t="n">
        <v>6.960933236981003</v>
      </c>
      <c r="K119" t="n">
        <v>3.973727422003292</v>
      </c>
      <c r="L119" t="n">
        <v>0.2298850574712699</v>
      </c>
      <c r="M119">
        <f>IF(OR(B119="NW",COUNT(Risk_Rank_Keys!B119)=0),0.5,(SUMPRODUCT(--ISNUMBER(Risk_Rank_Keys!$B$2:$B$800),--(Risk_Rank_Keys!$B$2:$B$800&lt;Risk_Rank_Keys!B119))+(SUMPRODUCT(--ISNUMBER(Risk_Rank_Keys!$B$2:$B$800),--(Risk_Rank_Keys!$B$2:$B$800=Risk_Rank_Keys!B119))+1)/2)/COUNT(Risk_Rank_Keys!$B$2:$B$800))</f>
        <v/>
      </c>
      <c r="N119">
        <f>IF(OR(B119="NW",COUNT(Risk_Rank_Keys!C119)=0),0.5,(SUMPRODUCT(--ISNUMBER(Risk_Rank_Keys!$C$2:$C$800),--(Risk_Rank_Keys!$C$2:$C$800&lt;Risk_Rank_Keys!C119))+(SUMPRODUCT(--ISNUMBER(Risk_Rank_Keys!$C$2:$C$800),--(Risk_Rank_Keys!$C$2:$C$800=Risk_Rank_Keys!C119))+1)/2)/COUNT(Risk_Rank_Keys!$C$2:$C$800))</f>
        <v/>
      </c>
      <c r="O119">
        <f>IF(OR(B119="NW",COUNT(Risk_Rank_Keys!D119)=0),0.5,(SUMPRODUCT(--ISNUMBER(Risk_Rank_Keys!$D$2:$D$800),--(Risk_Rank_Keys!$D$2:$D$800&lt;Risk_Rank_Keys!D119))+(SUMPRODUCT(--ISNUMBER(Risk_Rank_Keys!$D$2:$D$800),--(Risk_Rank_Keys!$D$2:$D$800=Risk_Rank_Keys!D119))+1)/2)/COUNT(Risk_Rank_Keys!$D$2:$D$800))</f>
        <v/>
      </c>
      <c r="P119">
        <f>AVERAGE(M119:O119)</f>
        <v/>
      </c>
      <c r="Q119">
        <f>0.4*H119+0.4*I119+0.2*P119</f>
        <v/>
      </c>
      <c r="R119">
        <f>PERCENTILE($Q$2:$Q$800,0.75)</f>
        <v/>
      </c>
      <c r="S119">
        <f>OR(Q119&gt;=R119,AND(B119="CW",COUNT(J119:L119)&lt;3))</f>
        <v/>
      </c>
      <c r="T119" t="n">
        <v>0.2461915759433144</v>
      </c>
      <c r="U119" t="n">
        <v>6.405477229819196</v>
      </c>
      <c r="V119" t="n">
        <v>0.323918729187868</v>
      </c>
      <c r="W119">
        <f>Q119-V119</f>
        <v/>
      </c>
    </row>
    <row r="120">
      <c r="A120" t="inlineStr">
        <is>
          <t>2021-09-02</t>
        </is>
      </c>
      <c r="B120" t="inlineStr">
        <is>
          <t>NW</t>
        </is>
      </c>
      <c r="C120" t="n">
        <v>-8.554281140347468</v>
      </c>
      <c r="D120">
        <f>SUMPRODUCT(Risk_Inputs!B120:AJ120,Risk_Coefs!$B$2:$AJ$2)</f>
        <v/>
      </c>
      <c r="E120">
        <f>1/(1+EXP(-MAX(-25,MIN(25,D120))))</f>
        <v/>
      </c>
      <c r="F120">
        <f>SUMPRODUCT(Risk_Inputs!B120:AJ120,Risk_Coefs!$B$3:$AJ$3)</f>
        <v/>
      </c>
      <c r="G120">
        <f>MAX(0,F120)</f>
        <v/>
      </c>
      <c r="H120">
        <f>(SUMPRODUCT(--ISNUMBER($E$2:$E$800),--($E$2:$E$800&lt;E120))+(SUMPRODUCT(--ISNUMBER($E$2:$E$800),--($E$2:$E$800=E120))+1)/2)/COUNT($E$2:$E$800)</f>
        <v/>
      </c>
      <c r="I120">
        <f>(SUMPRODUCT(--ISNUMBER($G$2:$G$800),--($G$2:$G$800&lt;G120))+(SUMPRODUCT(--ISNUMBER($G$2:$G$800),--($G$2:$G$800=G120))+1)/2)/COUNT($G$2:$G$800)</f>
        <v/>
      </c>
      <c r="M120">
        <f>IF(OR(B120="NW",COUNT(Risk_Rank_Keys!B120)=0),0.5,(SUMPRODUCT(--ISNUMBER(Risk_Rank_Keys!$B$2:$B$800),--(Risk_Rank_Keys!$B$2:$B$800&lt;Risk_Rank_Keys!B120))+(SUMPRODUCT(--ISNUMBER(Risk_Rank_Keys!$B$2:$B$800),--(Risk_Rank_Keys!$B$2:$B$800=Risk_Rank_Keys!B120))+1)/2)/COUNT(Risk_Rank_Keys!$B$2:$B$800))</f>
        <v/>
      </c>
      <c r="N120">
        <f>IF(OR(B120="NW",COUNT(Risk_Rank_Keys!C120)=0),0.5,(SUMPRODUCT(--ISNUMBER(Risk_Rank_Keys!$C$2:$C$800),--(Risk_Rank_Keys!$C$2:$C$800&lt;Risk_Rank_Keys!C120))+(SUMPRODUCT(--ISNUMBER(Risk_Rank_Keys!$C$2:$C$800),--(Risk_Rank_Keys!$C$2:$C$800=Risk_Rank_Keys!C120))+1)/2)/COUNT(Risk_Rank_Keys!$C$2:$C$800))</f>
        <v/>
      </c>
      <c r="O120">
        <f>IF(OR(B120="NW",COUNT(Risk_Rank_Keys!D120)=0),0.5,(SUMPRODUCT(--ISNUMBER(Risk_Rank_Keys!$D$2:$D$800),--(Risk_Rank_Keys!$D$2:$D$800&lt;Risk_Rank_Keys!D120))+(SUMPRODUCT(--ISNUMBER(Risk_Rank_Keys!$D$2:$D$800),--(Risk_Rank_Keys!$D$2:$D$800=Risk_Rank_Keys!D120))+1)/2)/COUNT(Risk_Rank_Keys!$D$2:$D$800))</f>
        <v/>
      </c>
      <c r="P120">
        <f>AVERAGE(M120:O120)</f>
        <v/>
      </c>
      <c r="Q120">
        <f>0.4*H120+0.4*I120+0.2*P120</f>
        <v/>
      </c>
      <c r="R120">
        <f>PERCENTILE($Q$2:$Q$800,0.75)</f>
        <v/>
      </c>
      <c r="S120">
        <f>OR(Q120&gt;=R120,AND(B120="CW",COUNT(J120:L120)&lt;3))</f>
        <v/>
      </c>
      <c r="T120" t="n">
        <v>0.3440059281351929</v>
      </c>
      <c r="U120" t="n">
        <v>10.72792739075483</v>
      </c>
      <c r="V120" t="n">
        <v>0.7633291614518148</v>
      </c>
      <c r="W120">
        <f>Q120-V120</f>
        <v/>
      </c>
    </row>
    <row r="121">
      <c r="A121" t="inlineStr">
        <is>
          <t>2021-09-03</t>
        </is>
      </c>
      <c r="B121" t="inlineStr">
        <is>
          <t>CW</t>
        </is>
      </c>
      <c r="C121" t="n">
        <v>9.628290258616023</v>
      </c>
      <c r="D121">
        <f>SUMPRODUCT(Risk_Inputs!B121:AJ121,Risk_Coefs!$B$2:$AJ$2)</f>
        <v/>
      </c>
      <c r="E121">
        <f>1/(1+EXP(-MAX(-25,MIN(25,D121))))</f>
        <v/>
      </c>
      <c r="F121">
        <f>SUMPRODUCT(Risk_Inputs!B121:AJ121,Risk_Coefs!$B$3:$AJ$3)</f>
        <v/>
      </c>
      <c r="G121">
        <f>MAX(0,F121)</f>
        <v/>
      </c>
      <c r="H121">
        <f>(SUMPRODUCT(--ISNUMBER($E$2:$E$800),--($E$2:$E$800&lt;E121))+(SUMPRODUCT(--ISNUMBER($E$2:$E$800),--($E$2:$E$800=E121))+1)/2)/COUNT($E$2:$E$800)</f>
        <v/>
      </c>
      <c r="I121">
        <f>(SUMPRODUCT(--ISNUMBER($G$2:$G$800),--($G$2:$G$800&lt;G121))+(SUMPRODUCT(--ISNUMBER($G$2:$G$800),--($G$2:$G$800=G121))+1)/2)/COUNT($G$2:$G$800)</f>
        <v/>
      </c>
      <c r="J121" t="n">
        <v>14.54837841980767</v>
      </c>
      <c r="K121" t="n">
        <v>7.928278245841444</v>
      </c>
      <c r="L121" t="n">
        <v>0.3888528839922192</v>
      </c>
      <c r="M121">
        <f>IF(OR(B121="NW",COUNT(Risk_Rank_Keys!B121)=0),0.5,(SUMPRODUCT(--ISNUMBER(Risk_Rank_Keys!$B$2:$B$800),--(Risk_Rank_Keys!$B$2:$B$800&lt;Risk_Rank_Keys!B121))+(SUMPRODUCT(--ISNUMBER(Risk_Rank_Keys!$B$2:$B$800),--(Risk_Rank_Keys!$B$2:$B$800=Risk_Rank_Keys!B121))+1)/2)/COUNT(Risk_Rank_Keys!$B$2:$B$800))</f>
        <v/>
      </c>
      <c r="N121">
        <f>IF(OR(B121="NW",COUNT(Risk_Rank_Keys!C121)=0),0.5,(SUMPRODUCT(--ISNUMBER(Risk_Rank_Keys!$C$2:$C$800),--(Risk_Rank_Keys!$C$2:$C$800&lt;Risk_Rank_Keys!C121))+(SUMPRODUCT(--ISNUMBER(Risk_Rank_Keys!$C$2:$C$800),--(Risk_Rank_Keys!$C$2:$C$800=Risk_Rank_Keys!C121))+1)/2)/COUNT(Risk_Rank_Keys!$C$2:$C$800))</f>
        <v/>
      </c>
      <c r="O121">
        <f>IF(OR(B121="NW",COUNT(Risk_Rank_Keys!D121)=0),0.5,(SUMPRODUCT(--ISNUMBER(Risk_Rank_Keys!$D$2:$D$800),--(Risk_Rank_Keys!$D$2:$D$800&lt;Risk_Rank_Keys!D121))+(SUMPRODUCT(--ISNUMBER(Risk_Rank_Keys!$D$2:$D$800),--(Risk_Rank_Keys!$D$2:$D$800=Risk_Rank_Keys!D121))+1)/2)/COUNT(Risk_Rank_Keys!$D$2:$D$800))</f>
        <v/>
      </c>
      <c r="P121">
        <f>AVERAGE(M121:O121)</f>
        <v/>
      </c>
      <c r="Q121">
        <f>0.4*H121+0.4*I121+0.2*P121</f>
        <v/>
      </c>
      <c r="R121">
        <f>PERCENTILE($Q$2:$Q$800,0.75)</f>
        <v/>
      </c>
      <c r="S121">
        <f>OR(Q121&gt;=R121,AND(B121="CW",COUNT(J121:L121)&lt;3))</f>
        <v/>
      </c>
      <c r="T121" t="n">
        <v>0.1748940015031521</v>
      </c>
      <c r="U121" t="n">
        <v>6.773507680642926</v>
      </c>
      <c r="V121" t="n">
        <v>0.3358096970352876</v>
      </c>
      <c r="W121">
        <f>Q121-V121</f>
        <v/>
      </c>
    </row>
    <row r="122">
      <c r="A122" t="inlineStr">
        <is>
          <t>2021-09-06</t>
        </is>
      </c>
      <c r="B122" t="inlineStr">
        <is>
          <t>CW</t>
        </is>
      </c>
      <c r="C122" t="n">
        <v>22.11719554594082</v>
      </c>
      <c r="D122">
        <f>SUMPRODUCT(Risk_Inputs!B122:AJ122,Risk_Coefs!$B$2:$AJ$2)</f>
        <v/>
      </c>
      <c r="E122">
        <f>1/(1+EXP(-MAX(-25,MIN(25,D122))))</f>
        <v/>
      </c>
      <c r="F122">
        <f>SUMPRODUCT(Risk_Inputs!B122:AJ122,Risk_Coefs!$B$3:$AJ$3)</f>
        <v/>
      </c>
      <c r="G122">
        <f>MAX(0,F122)</f>
        <v/>
      </c>
      <c r="H122">
        <f>(SUMPRODUCT(--ISNUMBER($E$2:$E$800),--($E$2:$E$800&lt;E122))+(SUMPRODUCT(--ISNUMBER($E$2:$E$800),--($E$2:$E$800=E122))+1)/2)/COUNT($E$2:$E$800)</f>
        <v/>
      </c>
      <c r="I122">
        <f>(SUMPRODUCT(--ISNUMBER($G$2:$G$800),--($G$2:$G$800&lt;G122))+(SUMPRODUCT(--ISNUMBER($G$2:$G$800),--($G$2:$G$800=G122))+1)/2)/COUNT($G$2:$G$800)</f>
        <v/>
      </c>
      <c r="J122" t="n">
        <v>6.901966197620546</v>
      </c>
      <c r="K122" t="n">
        <v>4.692680438663601</v>
      </c>
      <c r="L122" t="n">
        <v>0.2805406783983735</v>
      </c>
      <c r="M122">
        <f>IF(OR(B122="NW",COUNT(Risk_Rank_Keys!B122)=0),0.5,(SUMPRODUCT(--ISNUMBER(Risk_Rank_Keys!$B$2:$B$800),--(Risk_Rank_Keys!$B$2:$B$800&lt;Risk_Rank_Keys!B122))+(SUMPRODUCT(--ISNUMBER(Risk_Rank_Keys!$B$2:$B$800),--(Risk_Rank_Keys!$B$2:$B$800=Risk_Rank_Keys!B122))+1)/2)/COUNT(Risk_Rank_Keys!$B$2:$B$800))</f>
        <v/>
      </c>
      <c r="N122">
        <f>IF(OR(B122="NW",COUNT(Risk_Rank_Keys!C122)=0),0.5,(SUMPRODUCT(--ISNUMBER(Risk_Rank_Keys!$C$2:$C$800),--(Risk_Rank_Keys!$C$2:$C$800&lt;Risk_Rank_Keys!C122))+(SUMPRODUCT(--ISNUMBER(Risk_Rank_Keys!$C$2:$C$800),--(Risk_Rank_Keys!$C$2:$C$800=Risk_Rank_Keys!C122))+1)/2)/COUNT(Risk_Rank_Keys!$C$2:$C$800))</f>
        <v/>
      </c>
      <c r="O122">
        <f>IF(OR(B122="NW",COUNT(Risk_Rank_Keys!D122)=0),0.5,(SUMPRODUCT(--ISNUMBER(Risk_Rank_Keys!$D$2:$D$800),--(Risk_Rank_Keys!$D$2:$D$800&lt;Risk_Rank_Keys!D122))+(SUMPRODUCT(--ISNUMBER(Risk_Rank_Keys!$D$2:$D$800),--(Risk_Rank_Keys!$D$2:$D$800=Risk_Rank_Keys!D122))+1)/2)/COUNT(Risk_Rank_Keys!$D$2:$D$800))</f>
        <v/>
      </c>
      <c r="P122">
        <f>AVERAGE(M122:O122)</f>
        <v/>
      </c>
      <c r="Q122">
        <f>0.4*H122+0.4*I122+0.2*P122</f>
        <v/>
      </c>
      <c r="R122">
        <f>PERCENTILE($Q$2:$Q$800,0.75)</f>
        <v/>
      </c>
      <c r="S122">
        <f>OR(Q122&gt;=R122,AND(B122="CW",COUNT(J122:L122)&lt;3))</f>
        <v/>
      </c>
      <c r="T122" t="n">
        <v>0.2771248995812307</v>
      </c>
      <c r="U122" t="n">
        <v>8.269467289290949</v>
      </c>
      <c r="V122" t="n">
        <v>0.5197147294182816</v>
      </c>
      <c r="W122">
        <f>Q122-V122</f>
        <v/>
      </c>
    </row>
    <row r="123">
      <c r="A123" t="inlineStr">
        <is>
          <t>2021-09-07</t>
        </is>
      </c>
      <c r="B123" t="inlineStr">
        <is>
          <t>CW</t>
        </is>
      </c>
      <c r="C123" t="n">
        <v>28.57961948255728</v>
      </c>
      <c r="D123">
        <f>SUMPRODUCT(Risk_Inputs!B123:AJ123,Risk_Coefs!$B$2:$AJ$2)</f>
        <v/>
      </c>
      <c r="E123">
        <f>1/(1+EXP(-MAX(-25,MIN(25,D123))))</f>
        <v/>
      </c>
      <c r="F123">
        <f>SUMPRODUCT(Risk_Inputs!B123:AJ123,Risk_Coefs!$B$3:$AJ$3)</f>
        <v/>
      </c>
      <c r="G123">
        <f>MAX(0,F123)</f>
        <v/>
      </c>
      <c r="H123">
        <f>(SUMPRODUCT(--ISNUMBER($E$2:$E$800),--($E$2:$E$800&lt;E123))+(SUMPRODUCT(--ISNUMBER($E$2:$E$800),--($E$2:$E$800=E123))+1)/2)/COUNT($E$2:$E$800)</f>
        <v/>
      </c>
      <c r="I123">
        <f>(SUMPRODUCT(--ISNUMBER($G$2:$G$800),--($G$2:$G$800&lt;G123))+(SUMPRODUCT(--ISNUMBER($G$2:$G$800),--($G$2:$G$800=G123))+1)/2)/COUNT($G$2:$G$800)</f>
        <v/>
      </c>
      <c r="J123" t="n">
        <v>5.549868298462977</v>
      </c>
      <c r="K123" t="n">
        <v>1.170759565962314</v>
      </c>
      <c r="L123" t="n">
        <v>0.2284408909194778</v>
      </c>
      <c r="M123">
        <f>IF(OR(B123="NW",COUNT(Risk_Rank_Keys!B123)=0),0.5,(SUMPRODUCT(--ISNUMBER(Risk_Rank_Keys!$B$2:$B$800),--(Risk_Rank_Keys!$B$2:$B$800&lt;Risk_Rank_Keys!B123))+(SUMPRODUCT(--ISNUMBER(Risk_Rank_Keys!$B$2:$B$800),--(Risk_Rank_Keys!$B$2:$B$800=Risk_Rank_Keys!B123))+1)/2)/COUNT(Risk_Rank_Keys!$B$2:$B$800))</f>
        <v/>
      </c>
      <c r="N123">
        <f>IF(OR(B123="NW",COUNT(Risk_Rank_Keys!C123)=0),0.5,(SUMPRODUCT(--ISNUMBER(Risk_Rank_Keys!$C$2:$C$800),--(Risk_Rank_Keys!$C$2:$C$800&lt;Risk_Rank_Keys!C123))+(SUMPRODUCT(--ISNUMBER(Risk_Rank_Keys!$C$2:$C$800),--(Risk_Rank_Keys!$C$2:$C$800=Risk_Rank_Keys!C123))+1)/2)/COUNT(Risk_Rank_Keys!$C$2:$C$800))</f>
        <v/>
      </c>
      <c r="O123">
        <f>IF(OR(B123="NW",COUNT(Risk_Rank_Keys!D123)=0),0.5,(SUMPRODUCT(--ISNUMBER(Risk_Rank_Keys!$D$2:$D$800),--(Risk_Rank_Keys!$D$2:$D$800&lt;Risk_Rank_Keys!D123))+(SUMPRODUCT(--ISNUMBER(Risk_Rank_Keys!$D$2:$D$800),--(Risk_Rank_Keys!$D$2:$D$800=Risk_Rank_Keys!D123))+1)/2)/COUNT(Risk_Rank_Keys!$D$2:$D$800))</f>
        <v/>
      </c>
      <c r="P123">
        <f>AVERAGE(M123:O123)</f>
        <v/>
      </c>
      <c r="Q123">
        <f>0.4*H123+0.4*I123+0.2*P123</f>
        <v/>
      </c>
      <c r="R123">
        <f>PERCENTILE($Q$2:$Q$800,0.75)</f>
        <v/>
      </c>
      <c r="S123">
        <f>OR(Q123&gt;=R123,AND(B123="CW",COUNT(J123:L123)&lt;3))</f>
        <v/>
      </c>
      <c r="T123" t="n">
        <v>0.278224177466624</v>
      </c>
      <c r="U123" t="n">
        <v>7.31855120229942</v>
      </c>
      <c r="V123" t="n">
        <v>0.4111173369315084</v>
      </c>
      <c r="W123">
        <f>Q123-V123</f>
        <v/>
      </c>
    </row>
    <row r="124">
      <c r="A124" t="inlineStr">
        <is>
          <t>2021-09-08</t>
        </is>
      </c>
      <c r="B124" t="inlineStr">
        <is>
          <t>CW</t>
        </is>
      </c>
      <c r="C124" t="n">
        <v>45.37425733664639</v>
      </c>
      <c r="D124">
        <f>SUMPRODUCT(Risk_Inputs!B124:AJ124,Risk_Coefs!$B$2:$AJ$2)</f>
        <v/>
      </c>
      <c r="E124">
        <f>1/(1+EXP(-MAX(-25,MIN(25,D124))))</f>
        <v/>
      </c>
      <c r="F124">
        <f>SUMPRODUCT(Risk_Inputs!B124:AJ124,Risk_Coefs!$B$3:$AJ$3)</f>
        <v/>
      </c>
      <c r="G124">
        <f>MAX(0,F124)</f>
        <v/>
      </c>
      <c r="H124">
        <f>(SUMPRODUCT(--ISNUMBER($E$2:$E$800),--($E$2:$E$800&lt;E124))+(SUMPRODUCT(--ISNUMBER($E$2:$E$800),--($E$2:$E$800=E124))+1)/2)/COUNT($E$2:$E$800)</f>
        <v/>
      </c>
      <c r="I124">
        <f>(SUMPRODUCT(--ISNUMBER($G$2:$G$800),--($G$2:$G$800&lt;G124))+(SUMPRODUCT(--ISNUMBER($G$2:$G$800),--($G$2:$G$800=G124))+1)/2)/COUNT($G$2:$G$800)</f>
        <v/>
      </c>
      <c r="J124" t="n">
        <v>10.31521927044399</v>
      </c>
      <c r="K124" t="n">
        <v>3.208955223880605</v>
      </c>
      <c r="L124" t="n">
        <v>0.3358208955223902</v>
      </c>
      <c r="M124">
        <f>IF(OR(B124="NW",COUNT(Risk_Rank_Keys!B124)=0),0.5,(SUMPRODUCT(--ISNUMBER(Risk_Rank_Keys!$B$2:$B$800),--(Risk_Rank_Keys!$B$2:$B$800&lt;Risk_Rank_Keys!B124))+(SUMPRODUCT(--ISNUMBER(Risk_Rank_Keys!$B$2:$B$800),--(Risk_Rank_Keys!$B$2:$B$800=Risk_Rank_Keys!B124))+1)/2)/COUNT(Risk_Rank_Keys!$B$2:$B$800))</f>
        <v/>
      </c>
      <c r="N124">
        <f>IF(OR(B124="NW",COUNT(Risk_Rank_Keys!C124)=0),0.5,(SUMPRODUCT(--ISNUMBER(Risk_Rank_Keys!$C$2:$C$800),--(Risk_Rank_Keys!$C$2:$C$800&lt;Risk_Rank_Keys!C124))+(SUMPRODUCT(--ISNUMBER(Risk_Rank_Keys!$C$2:$C$800),--(Risk_Rank_Keys!$C$2:$C$800=Risk_Rank_Keys!C124))+1)/2)/COUNT(Risk_Rank_Keys!$C$2:$C$800))</f>
        <v/>
      </c>
      <c r="O124">
        <f>IF(OR(B124="NW",COUNT(Risk_Rank_Keys!D124)=0),0.5,(SUMPRODUCT(--ISNUMBER(Risk_Rank_Keys!$D$2:$D$800),--(Risk_Rank_Keys!$D$2:$D$800&lt;Risk_Rank_Keys!D124))+(SUMPRODUCT(--ISNUMBER(Risk_Rank_Keys!$D$2:$D$800),--(Risk_Rank_Keys!$D$2:$D$800=Risk_Rank_Keys!D124))+1)/2)/COUNT(Risk_Rank_Keys!$D$2:$D$800))</f>
        <v/>
      </c>
      <c r="P124">
        <f>AVERAGE(M124:O124)</f>
        <v/>
      </c>
      <c r="Q124">
        <f>0.4*H124+0.4*I124+0.2*P124</f>
        <v/>
      </c>
      <c r="R124">
        <f>PERCENTILE($Q$2:$Q$800,0.75)</f>
        <v/>
      </c>
      <c r="S124">
        <f>OR(Q124&gt;=R124,AND(B124="CW",COUNT(J124:L124)&lt;3))</f>
        <v/>
      </c>
      <c r="T124" t="n">
        <v>0.2763594248168408</v>
      </c>
      <c r="U124" t="n">
        <v>8.257416042997136</v>
      </c>
      <c r="V124" t="n">
        <v>0.5261234842018353</v>
      </c>
      <c r="W124">
        <f>Q124-V124</f>
        <v/>
      </c>
    </row>
    <row r="125">
      <c r="A125" t="inlineStr">
        <is>
          <t>2021-09-09</t>
        </is>
      </c>
      <c r="B125" t="inlineStr">
        <is>
          <t>NW</t>
        </is>
      </c>
      <c r="C125" t="n">
        <v>12.34978216967332</v>
      </c>
      <c r="D125">
        <f>SUMPRODUCT(Risk_Inputs!B125:AJ125,Risk_Coefs!$B$2:$AJ$2)</f>
        <v/>
      </c>
      <c r="E125">
        <f>1/(1+EXP(-MAX(-25,MIN(25,D125))))</f>
        <v/>
      </c>
      <c r="F125">
        <f>SUMPRODUCT(Risk_Inputs!B125:AJ125,Risk_Coefs!$B$3:$AJ$3)</f>
        <v/>
      </c>
      <c r="G125">
        <f>MAX(0,F125)</f>
        <v/>
      </c>
      <c r="H125">
        <f>(SUMPRODUCT(--ISNUMBER($E$2:$E$800),--($E$2:$E$800&lt;E125))+(SUMPRODUCT(--ISNUMBER($E$2:$E$800),--($E$2:$E$800=E125))+1)/2)/COUNT($E$2:$E$800)</f>
        <v/>
      </c>
      <c r="I125">
        <f>(SUMPRODUCT(--ISNUMBER($G$2:$G$800),--($G$2:$G$800&lt;G125))+(SUMPRODUCT(--ISNUMBER($G$2:$G$800),--($G$2:$G$800=G125))+1)/2)/COUNT($G$2:$G$800)</f>
        <v/>
      </c>
      <c r="M125">
        <f>IF(OR(B125="NW",COUNT(Risk_Rank_Keys!B125)=0),0.5,(SUMPRODUCT(--ISNUMBER(Risk_Rank_Keys!$B$2:$B$800),--(Risk_Rank_Keys!$B$2:$B$800&lt;Risk_Rank_Keys!B125))+(SUMPRODUCT(--ISNUMBER(Risk_Rank_Keys!$B$2:$B$800),--(Risk_Rank_Keys!$B$2:$B$800=Risk_Rank_Keys!B125))+1)/2)/COUNT(Risk_Rank_Keys!$B$2:$B$800))</f>
        <v/>
      </c>
      <c r="N125">
        <f>IF(OR(B125="NW",COUNT(Risk_Rank_Keys!C125)=0),0.5,(SUMPRODUCT(--ISNUMBER(Risk_Rank_Keys!$C$2:$C$800),--(Risk_Rank_Keys!$C$2:$C$800&lt;Risk_Rank_Keys!C125))+(SUMPRODUCT(--ISNUMBER(Risk_Rank_Keys!$C$2:$C$800),--(Risk_Rank_Keys!$C$2:$C$800=Risk_Rank_Keys!C125))+1)/2)/COUNT(Risk_Rank_Keys!$C$2:$C$800))</f>
        <v/>
      </c>
      <c r="O125">
        <f>IF(OR(B125="NW",COUNT(Risk_Rank_Keys!D125)=0),0.5,(SUMPRODUCT(--ISNUMBER(Risk_Rank_Keys!$D$2:$D$800),--(Risk_Rank_Keys!$D$2:$D$800&lt;Risk_Rank_Keys!D125))+(SUMPRODUCT(--ISNUMBER(Risk_Rank_Keys!$D$2:$D$800),--(Risk_Rank_Keys!$D$2:$D$800=Risk_Rank_Keys!D125))+1)/2)/COUNT(Risk_Rank_Keys!$D$2:$D$800))</f>
        <v/>
      </c>
      <c r="P125">
        <f>AVERAGE(M125:O125)</f>
        <v/>
      </c>
      <c r="Q125">
        <f>0.4*H125+0.4*I125+0.2*P125</f>
        <v/>
      </c>
      <c r="R125">
        <f>PERCENTILE($Q$2:$Q$800,0.75)</f>
        <v/>
      </c>
      <c r="S125">
        <f>OR(Q125&gt;=R125,AND(B125="CW",COUNT(J125:L125)&lt;3))</f>
        <v/>
      </c>
      <c r="T125" t="n">
        <v>0.3431033000968597</v>
      </c>
      <c r="U125" t="n">
        <v>10.10351646039357</v>
      </c>
      <c r="V125" t="n">
        <v>0.7382978723404255</v>
      </c>
      <c r="W125">
        <f>Q125-V125</f>
        <v/>
      </c>
    </row>
    <row r="126">
      <c r="A126" t="inlineStr">
        <is>
          <t>2021-09-13</t>
        </is>
      </c>
      <c r="B126" t="inlineStr">
        <is>
          <t>CW</t>
        </is>
      </c>
      <c r="C126" t="n">
        <v>37.21134696502732</v>
      </c>
      <c r="D126">
        <f>SUMPRODUCT(Risk_Inputs!B126:AJ126,Risk_Coefs!$B$2:$AJ$2)</f>
        <v/>
      </c>
      <c r="E126">
        <f>1/(1+EXP(-MAX(-25,MIN(25,D126))))</f>
        <v/>
      </c>
      <c r="F126">
        <f>SUMPRODUCT(Risk_Inputs!B126:AJ126,Risk_Coefs!$B$3:$AJ$3)</f>
        <v/>
      </c>
      <c r="G126">
        <f>MAX(0,F126)</f>
        <v/>
      </c>
      <c r="H126">
        <f>(SUMPRODUCT(--ISNUMBER($E$2:$E$800),--($E$2:$E$800&lt;E126))+(SUMPRODUCT(--ISNUMBER($E$2:$E$800),--($E$2:$E$800=E126))+1)/2)/COUNT($E$2:$E$800)</f>
        <v/>
      </c>
      <c r="I126">
        <f>(SUMPRODUCT(--ISNUMBER($G$2:$G$800),--($G$2:$G$800&lt;G126))+(SUMPRODUCT(--ISNUMBER($G$2:$G$800),--($G$2:$G$800=G126))+1)/2)/COUNT($G$2:$G$800)</f>
        <v/>
      </c>
      <c r="J126" t="n">
        <v>21.5836264532145</v>
      </c>
      <c r="K126" t="n">
        <v>3.946706887883356</v>
      </c>
      <c r="L126" t="n">
        <v>0.3016591251885412</v>
      </c>
      <c r="M126">
        <f>IF(OR(B126="NW",COUNT(Risk_Rank_Keys!B126)=0),0.5,(SUMPRODUCT(--ISNUMBER(Risk_Rank_Keys!$B$2:$B$800),--(Risk_Rank_Keys!$B$2:$B$800&lt;Risk_Rank_Keys!B126))+(SUMPRODUCT(--ISNUMBER(Risk_Rank_Keys!$B$2:$B$800),--(Risk_Rank_Keys!$B$2:$B$800=Risk_Rank_Keys!B126))+1)/2)/COUNT(Risk_Rank_Keys!$B$2:$B$800))</f>
        <v/>
      </c>
      <c r="N126">
        <f>IF(OR(B126="NW",COUNT(Risk_Rank_Keys!C126)=0),0.5,(SUMPRODUCT(--ISNUMBER(Risk_Rank_Keys!$C$2:$C$800),--(Risk_Rank_Keys!$C$2:$C$800&lt;Risk_Rank_Keys!C126))+(SUMPRODUCT(--ISNUMBER(Risk_Rank_Keys!$C$2:$C$800),--(Risk_Rank_Keys!$C$2:$C$800=Risk_Rank_Keys!C126))+1)/2)/COUNT(Risk_Rank_Keys!$C$2:$C$800))</f>
        <v/>
      </c>
      <c r="O126">
        <f>IF(OR(B126="NW",COUNT(Risk_Rank_Keys!D126)=0),0.5,(SUMPRODUCT(--ISNUMBER(Risk_Rank_Keys!$D$2:$D$800),--(Risk_Rank_Keys!$D$2:$D$800&lt;Risk_Rank_Keys!D126))+(SUMPRODUCT(--ISNUMBER(Risk_Rank_Keys!$D$2:$D$800),--(Risk_Rank_Keys!$D$2:$D$800=Risk_Rank_Keys!D126))+1)/2)/COUNT(Risk_Rank_Keys!$D$2:$D$800))</f>
        <v/>
      </c>
      <c r="P126">
        <f>AVERAGE(M126:O126)</f>
        <v/>
      </c>
      <c r="Q126">
        <f>0.4*H126+0.4*I126+0.2*P126</f>
        <v/>
      </c>
      <c r="R126">
        <f>PERCENTILE($Q$2:$Q$800,0.75)</f>
        <v/>
      </c>
      <c r="S126">
        <f>OR(Q126&gt;=R126,AND(B126="CW",COUNT(J126:L126)&lt;3))</f>
        <v/>
      </c>
      <c r="T126" t="n">
        <v>0.2836952885270208</v>
      </c>
      <c r="U126" t="n">
        <v>7.724765695357069</v>
      </c>
      <c r="V126" t="n">
        <v>0.5427458428102538</v>
      </c>
      <c r="W126">
        <f>Q126-V126</f>
        <v/>
      </c>
    </row>
    <row r="127">
      <c r="A127" t="inlineStr">
        <is>
          <t>2021-09-22</t>
        </is>
      </c>
      <c r="B127" t="inlineStr">
        <is>
          <t>NW</t>
        </is>
      </c>
      <c r="C127" t="n">
        <v>10.09502286112348</v>
      </c>
      <c r="D127">
        <f>SUMPRODUCT(Risk_Inputs!B127:AJ127,Risk_Coefs!$B$2:$AJ$2)</f>
        <v/>
      </c>
      <c r="E127">
        <f>1/(1+EXP(-MAX(-25,MIN(25,D127))))</f>
        <v/>
      </c>
      <c r="F127">
        <f>SUMPRODUCT(Risk_Inputs!B127:AJ127,Risk_Coefs!$B$3:$AJ$3)</f>
        <v/>
      </c>
      <c r="G127">
        <f>MAX(0,F127)</f>
        <v/>
      </c>
      <c r="H127">
        <f>(SUMPRODUCT(--ISNUMBER($E$2:$E$800),--($E$2:$E$800&lt;E127))+(SUMPRODUCT(--ISNUMBER($E$2:$E$800),--($E$2:$E$800=E127))+1)/2)/COUNT($E$2:$E$800)</f>
        <v/>
      </c>
      <c r="I127">
        <f>(SUMPRODUCT(--ISNUMBER($G$2:$G$800),--($G$2:$G$800&lt;G127))+(SUMPRODUCT(--ISNUMBER($G$2:$G$800),--($G$2:$G$800=G127))+1)/2)/COUNT($G$2:$G$800)</f>
        <v/>
      </c>
      <c r="M127">
        <f>IF(OR(B127="NW",COUNT(Risk_Rank_Keys!B127)=0),0.5,(SUMPRODUCT(--ISNUMBER(Risk_Rank_Keys!$B$2:$B$800),--(Risk_Rank_Keys!$B$2:$B$800&lt;Risk_Rank_Keys!B127))+(SUMPRODUCT(--ISNUMBER(Risk_Rank_Keys!$B$2:$B$800),--(Risk_Rank_Keys!$B$2:$B$800=Risk_Rank_Keys!B127))+1)/2)/COUNT(Risk_Rank_Keys!$B$2:$B$800))</f>
        <v/>
      </c>
      <c r="N127">
        <f>IF(OR(B127="NW",COUNT(Risk_Rank_Keys!C127)=0),0.5,(SUMPRODUCT(--ISNUMBER(Risk_Rank_Keys!$C$2:$C$800),--(Risk_Rank_Keys!$C$2:$C$800&lt;Risk_Rank_Keys!C127))+(SUMPRODUCT(--ISNUMBER(Risk_Rank_Keys!$C$2:$C$800),--(Risk_Rank_Keys!$C$2:$C$800=Risk_Rank_Keys!C127))+1)/2)/COUNT(Risk_Rank_Keys!$C$2:$C$800))</f>
        <v/>
      </c>
      <c r="O127">
        <f>IF(OR(B127="NW",COUNT(Risk_Rank_Keys!D127)=0),0.5,(SUMPRODUCT(--ISNUMBER(Risk_Rank_Keys!$D$2:$D$800),--(Risk_Rank_Keys!$D$2:$D$800&lt;Risk_Rank_Keys!D127))+(SUMPRODUCT(--ISNUMBER(Risk_Rank_Keys!$D$2:$D$800),--(Risk_Rank_Keys!$D$2:$D$800=Risk_Rank_Keys!D127))+1)/2)/COUNT(Risk_Rank_Keys!$D$2:$D$800))</f>
        <v/>
      </c>
      <c r="P127">
        <f>AVERAGE(M127:O127)</f>
        <v/>
      </c>
      <c r="Q127">
        <f>0.4*H127+0.4*I127+0.2*P127</f>
        <v/>
      </c>
      <c r="R127">
        <f>PERCENTILE($Q$2:$Q$800,0.75)</f>
        <v/>
      </c>
      <c r="S127">
        <f>OR(Q127&gt;=R127,AND(B127="CW",COUNT(J127:L127)&lt;3))</f>
        <v/>
      </c>
      <c r="T127" t="n">
        <v>0.4007027297538704</v>
      </c>
      <c r="U127" t="n">
        <v>12.38145796965575</v>
      </c>
      <c r="V127" t="n">
        <v>0.8534418022528161</v>
      </c>
      <c r="W127">
        <f>Q127-V127</f>
        <v/>
      </c>
    </row>
    <row r="128">
      <c r="A128" t="inlineStr">
        <is>
          <t>2021-09-23</t>
        </is>
      </c>
      <c r="B128" t="inlineStr">
        <is>
          <t>NW</t>
        </is>
      </c>
      <c r="C128" t="n">
        <v>-38.82769664189917</v>
      </c>
      <c r="D128">
        <f>SUMPRODUCT(Risk_Inputs!B128:AJ128,Risk_Coefs!$B$2:$AJ$2)</f>
        <v/>
      </c>
      <c r="E128">
        <f>1/(1+EXP(-MAX(-25,MIN(25,D128))))</f>
        <v/>
      </c>
      <c r="F128">
        <f>SUMPRODUCT(Risk_Inputs!B128:AJ128,Risk_Coefs!$B$3:$AJ$3)</f>
        <v/>
      </c>
      <c r="G128">
        <f>MAX(0,F128)</f>
        <v/>
      </c>
      <c r="H128">
        <f>(SUMPRODUCT(--ISNUMBER($E$2:$E$800),--($E$2:$E$800&lt;E128))+(SUMPRODUCT(--ISNUMBER($E$2:$E$800),--($E$2:$E$800=E128))+1)/2)/COUNT($E$2:$E$800)</f>
        <v/>
      </c>
      <c r="I128">
        <f>(SUMPRODUCT(--ISNUMBER($G$2:$G$800),--($G$2:$G$800&lt;G128))+(SUMPRODUCT(--ISNUMBER($G$2:$G$800),--($G$2:$G$800=G128))+1)/2)/COUNT($G$2:$G$800)</f>
        <v/>
      </c>
      <c r="M128">
        <f>IF(OR(B128="NW",COUNT(Risk_Rank_Keys!B128)=0),0.5,(SUMPRODUCT(--ISNUMBER(Risk_Rank_Keys!$B$2:$B$800),--(Risk_Rank_Keys!$B$2:$B$800&lt;Risk_Rank_Keys!B128))+(SUMPRODUCT(--ISNUMBER(Risk_Rank_Keys!$B$2:$B$800),--(Risk_Rank_Keys!$B$2:$B$800=Risk_Rank_Keys!B128))+1)/2)/COUNT(Risk_Rank_Keys!$B$2:$B$800))</f>
        <v/>
      </c>
      <c r="N128">
        <f>IF(OR(B128="NW",COUNT(Risk_Rank_Keys!C128)=0),0.5,(SUMPRODUCT(--ISNUMBER(Risk_Rank_Keys!$C$2:$C$800),--(Risk_Rank_Keys!$C$2:$C$800&lt;Risk_Rank_Keys!C128))+(SUMPRODUCT(--ISNUMBER(Risk_Rank_Keys!$C$2:$C$800),--(Risk_Rank_Keys!$C$2:$C$800=Risk_Rank_Keys!C128))+1)/2)/COUNT(Risk_Rank_Keys!$C$2:$C$800))</f>
        <v/>
      </c>
      <c r="O128">
        <f>IF(OR(B128="NW",COUNT(Risk_Rank_Keys!D128)=0),0.5,(SUMPRODUCT(--ISNUMBER(Risk_Rank_Keys!$D$2:$D$800),--(Risk_Rank_Keys!$D$2:$D$800&lt;Risk_Rank_Keys!D128))+(SUMPRODUCT(--ISNUMBER(Risk_Rank_Keys!$D$2:$D$800),--(Risk_Rank_Keys!$D$2:$D$800=Risk_Rank_Keys!D128))+1)/2)/COUNT(Risk_Rank_Keys!$D$2:$D$800))</f>
        <v/>
      </c>
      <c r="P128">
        <f>AVERAGE(M128:O128)</f>
        <v/>
      </c>
      <c r="Q128">
        <f>0.4*H128+0.4*I128+0.2*P128</f>
        <v/>
      </c>
      <c r="R128">
        <f>PERCENTILE($Q$2:$Q$800,0.75)</f>
        <v/>
      </c>
      <c r="S128">
        <f>OR(Q128&gt;=R128,AND(B128="CW",COUNT(J128:L128)&lt;3))</f>
        <v/>
      </c>
      <c r="T128" t="n">
        <v>0.3843176576684627</v>
      </c>
      <c r="U128" t="n">
        <v>11.61461470564914</v>
      </c>
      <c r="V128" t="n">
        <v>0.827909887359199</v>
      </c>
      <c r="W128">
        <f>Q128-V128</f>
        <v/>
      </c>
    </row>
    <row r="129">
      <c r="A129" t="inlineStr">
        <is>
          <t>2021-09-24</t>
        </is>
      </c>
      <c r="B129" t="inlineStr">
        <is>
          <t>CW</t>
        </is>
      </c>
      <c r="C129" t="n">
        <v>30.7386816852367</v>
      </c>
      <c r="D129">
        <f>SUMPRODUCT(Risk_Inputs!B129:AJ129,Risk_Coefs!$B$2:$AJ$2)</f>
        <v/>
      </c>
      <c r="E129">
        <f>1/(1+EXP(-MAX(-25,MIN(25,D129))))</f>
        <v/>
      </c>
      <c r="F129">
        <f>SUMPRODUCT(Risk_Inputs!B129:AJ129,Risk_Coefs!$B$3:$AJ$3)</f>
        <v/>
      </c>
      <c r="G129">
        <f>MAX(0,F129)</f>
        <v/>
      </c>
      <c r="H129">
        <f>(SUMPRODUCT(--ISNUMBER($E$2:$E$800),--($E$2:$E$800&lt;E129))+(SUMPRODUCT(--ISNUMBER($E$2:$E$800),--($E$2:$E$800=E129))+1)/2)/COUNT($E$2:$E$800)</f>
        <v/>
      </c>
      <c r="I129">
        <f>(SUMPRODUCT(--ISNUMBER($G$2:$G$800),--($G$2:$G$800&lt;G129))+(SUMPRODUCT(--ISNUMBER($G$2:$G$800),--($G$2:$G$800=G129))+1)/2)/COUNT($G$2:$G$800)</f>
        <v/>
      </c>
      <c r="J129" t="n">
        <v>69.57211750702707</v>
      </c>
      <c r="K129" t="n">
        <v>7.947387921452408</v>
      </c>
      <c r="L129" t="n">
        <v>0.2593553167839899</v>
      </c>
      <c r="M129">
        <f>IF(OR(B129="NW",COUNT(Risk_Rank_Keys!B129)=0),0.5,(SUMPRODUCT(--ISNUMBER(Risk_Rank_Keys!$B$2:$B$800),--(Risk_Rank_Keys!$B$2:$B$800&lt;Risk_Rank_Keys!B129))+(SUMPRODUCT(--ISNUMBER(Risk_Rank_Keys!$B$2:$B$800),--(Risk_Rank_Keys!$B$2:$B$800=Risk_Rank_Keys!B129))+1)/2)/COUNT(Risk_Rank_Keys!$B$2:$B$800))</f>
        <v/>
      </c>
      <c r="N129">
        <f>IF(OR(B129="NW",COUNT(Risk_Rank_Keys!C129)=0),0.5,(SUMPRODUCT(--ISNUMBER(Risk_Rank_Keys!$C$2:$C$800),--(Risk_Rank_Keys!$C$2:$C$800&lt;Risk_Rank_Keys!C129))+(SUMPRODUCT(--ISNUMBER(Risk_Rank_Keys!$C$2:$C$800),--(Risk_Rank_Keys!$C$2:$C$800=Risk_Rank_Keys!C129))+1)/2)/COUNT(Risk_Rank_Keys!$C$2:$C$800))</f>
        <v/>
      </c>
      <c r="O129">
        <f>IF(OR(B129="NW",COUNT(Risk_Rank_Keys!D129)=0),0.5,(SUMPRODUCT(--ISNUMBER(Risk_Rank_Keys!$D$2:$D$800),--(Risk_Rank_Keys!$D$2:$D$800&lt;Risk_Rank_Keys!D129))+(SUMPRODUCT(--ISNUMBER(Risk_Rank_Keys!$D$2:$D$800),--(Risk_Rank_Keys!$D$2:$D$800=Risk_Rank_Keys!D129))+1)/2)/COUNT(Risk_Rank_Keys!$D$2:$D$800))</f>
        <v/>
      </c>
      <c r="P129">
        <f>AVERAGE(M129:O129)</f>
        <v/>
      </c>
      <c r="Q129">
        <f>0.4*H129+0.4*I129+0.2*P129</f>
        <v/>
      </c>
      <c r="R129">
        <f>PERCENTILE($Q$2:$Q$800,0.75)</f>
        <v/>
      </c>
      <c r="S129">
        <f>OR(Q129&gt;=R129,AND(B129="CW",COUNT(J129:L129)&lt;3))</f>
        <v/>
      </c>
      <c r="T129" t="n">
        <v>0.1596396020023321</v>
      </c>
      <c r="U129" t="n">
        <v>6.668294338935691</v>
      </c>
      <c r="V129" t="n">
        <v>0.3246960839589701</v>
      </c>
      <c r="W129">
        <f>Q129-V129</f>
        <v/>
      </c>
    </row>
    <row r="130">
      <c r="A130" t="inlineStr">
        <is>
          <t>2021-09-27</t>
        </is>
      </c>
      <c r="B130" t="inlineStr">
        <is>
          <t>CW</t>
        </is>
      </c>
      <c r="C130" t="n">
        <v>11.3188751398951</v>
      </c>
      <c r="D130">
        <f>SUMPRODUCT(Risk_Inputs!B130:AJ130,Risk_Coefs!$B$2:$AJ$2)</f>
        <v/>
      </c>
      <c r="E130">
        <f>1/(1+EXP(-MAX(-25,MIN(25,D130))))</f>
        <v/>
      </c>
      <c r="F130">
        <f>SUMPRODUCT(Risk_Inputs!B130:AJ130,Risk_Coefs!$B$3:$AJ$3)</f>
        <v/>
      </c>
      <c r="G130">
        <f>MAX(0,F130)</f>
        <v/>
      </c>
      <c r="H130">
        <f>(SUMPRODUCT(--ISNUMBER($E$2:$E$800),--($E$2:$E$800&lt;E130))+(SUMPRODUCT(--ISNUMBER($E$2:$E$800),--($E$2:$E$800=E130))+1)/2)/COUNT($E$2:$E$800)</f>
        <v/>
      </c>
      <c r="I130">
        <f>(SUMPRODUCT(--ISNUMBER($G$2:$G$800),--($G$2:$G$800&lt;G130))+(SUMPRODUCT(--ISNUMBER($G$2:$G$800),--($G$2:$G$800=G130))+1)/2)/COUNT($G$2:$G$800)</f>
        <v/>
      </c>
      <c r="J130" t="n">
        <v>9.041439933026776</v>
      </c>
      <c r="K130" t="n">
        <v>1.054284432480918</v>
      </c>
      <c r="L130" t="n">
        <v>0.2691790040376825</v>
      </c>
      <c r="M130">
        <f>IF(OR(B130="NW",COUNT(Risk_Rank_Keys!B130)=0),0.5,(SUMPRODUCT(--ISNUMBER(Risk_Rank_Keys!$B$2:$B$800),--(Risk_Rank_Keys!$B$2:$B$800&lt;Risk_Rank_Keys!B130))+(SUMPRODUCT(--ISNUMBER(Risk_Rank_Keys!$B$2:$B$800),--(Risk_Rank_Keys!$B$2:$B$800=Risk_Rank_Keys!B130))+1)/2)/COUNT(Risk_Rank_Keys!$B$2:$B$800))</f>
        <v/>
      </c>
      <c r="N130">
        <f>IF(OR(B130="NW",COUNT(Risk_Rank_Keys!C130)=0),0.5,(SUMPRODUCT(--ISNUMBER(Risk_Rank_Keys!$C$2:$C$800),--(Risk_Rank_Keys!$C$2:$C$800&lt;Risk_Rank_Keys!C130))+(SUMPRODUCT(--ISNUMBER(Risk_Rank_Keys!$C$2:$C$800),--(Risk_Rank_Keys!$C$2:$C$800=Risk_Rank_Keys!C130))+1)/2)/COUNT(Risk_Rank_Keys!$C$2:$C$800))</f>
        <v/>
      </c>
      <c r="O130">
        <f>IF(OR(B130="NW",COUNT(Risk_Rank_Keys!D130)=0),0.5,(SUMPRODUCT(--ISNUMBER(Risk_Rank_Keys!$D$2:$D$800),--(Risk_Rank_Keys!$D$2:$D$800&lt;Risk_Rank_Keys!D130))+(SUMPRODUCT(--ISNUMBER(Risk_Rank_Keys!$D$2:$D$800),--(Risk_Rank_Keys!$D$2:$D$800=Risk_Rank_Keys!D130))+1)/2)/COUNT(Risk_Rank_Keys!$D$2:$D$800))</f>
        <v/>
      </c>
      <c r="P130">
        <f>AVERAGE(M130:O130)</f>
        <v/>
      </c>
      <c r="Q130">
        <f>0.4*H130+0.4*I130+0.2*P130</f>
        <v/>
      </c>
      <c r="R130">
        <f>PERCENTILE($Q$2:$Q$800,0.75)</f>
        <v/>
      </c>
      <c r="S130">
        <f>OR(Q130&gt;=R130,AND(B130="CW",COUNT(J130:L130)&lt;3))</f>
        <v/>
      </c>
      <c r="T130" t="n">
        <v>0.3210472632679235</v>
      </c>
      <c r="U130" t="n">
        <v>9.664452500280184</v>
      </c>
      <c r="V130" t="n">
        <v>0.6461417078181757</v>
      </c>
      <c r="W130">
        <f>Q130-V130</f>
        <v/>
      </c>
    </row>
    <row r="131">
      <c r="A131" t="inlineStr">
        <is>
          <t>2021-09-28</t>
        </is>
      </c>
      <c r="B131" t="inlineStr">
        <is>
          <t>CW</t>
        </is>
      </c>
      <c r="C131" t="n">
        <v>-46.73617850908662</v>
      </c>
      <c r="D131">
        <f>SUMPRODUCT(Risk_Inputs!B131:AJ131,Risk_Coefs!$B$2:$AJ$2)</f>
        <v/>
      </c>
      <c r="E131">
        <f>1/(1+EXP(-MAX(-25,MIN(25,D131))))</f>
        <v/>
      </c>
      <c r="F131">
        <f>SUMPRODUCT(Risk_Inputs!B131:AJ131,Risk_Coefs!$B$3:$AJ$3)</f>
        <v/>
      </c>
      <c r="G131">
        <f>MAX(0,F131)</f>
        <v/>
      </c>
      <c r="H131">
        <f>(SUMPRODUCT(--ISNUMBER($E$2:$E$800),--($E$2:$E$800&lt;E131))+(SUMPRODUCT(--ISNUMBER($E$2:$E$800),--($E$2:$E$800=E131))+1)/2)/COUNT($E$2:$E$800)</f>
        <v/>
      </c>
      <c r="I131">
        <f>(SUMPRODUCT(--ISNUMBER($G$2:$G$800),--($G$2:$G$800&lt;G131))+(SUMPRODUCT(--ISNUMBER($G$2:$G$800),--($G$2:$G$800=G131))+1)/2)/COUNT($G$2:$G$800)</f>
        <v/>
      </c>
      <c r="J131" t="n">
        <v>10.03404307650865</v>
      </c>
      <c r="K131" t="n">
        <v>2.020725388601054</v>
      </c>
      <c r="L131" t="n">
        <v>0.1813471502590717</v>
      </c>
      <c r="M131">
        <f>IF(OR(B131="NW",COUNT(Risk_Rank_Keys!B131)=0),0.5,(SUMPRODUCT(--ISNUMBER(Risk_Rank_Keys!$B$2:$B$800),--(Risk_Rank_Keys!$B$2:$B$800&lt;Risk_Rank_Keys!B131))+(SUMPRODUCT(--ISNUMBER(Risk_Rank_Keys!$B$2:$B$800),--(Risk_Rank_Keys!$B$2:$B$800=Risk_Rank_Keys!B131))+1)/2)/COUNT(Risk_Rank_Keys!$B$2:$B$800))</f>
        <v/>
      </c>
      <c r="N131">
        <f>IF(OR(B131="NW",COUNT(Risk_Rank_Keys!C131)=0),0.5,(SUMPRODUCT(--ISNUMBER(Risk_Rank_Keys!$C$2:$C$800),--(Risk_Rank_Keys!$C$2:$C$800&lt;Risk_Rank_Keys!C131))+(SUMPRODUCT(--ISNUMBER(Risk_Rank_Keys!$C$2:$C$800),--(Risk_Rank_Keys!$C$2:$C$800=Risk_Rank_Keys!C131))+1)/2)/COUNT(Risk_Rank_Keys!$C$2:$C$800))</f>
        <v/>
      </c>
      <c r="O131">
        <f>IF(OR(B131="NW",COUNT(Risk_Rank_Keys!D131)=0),0.5,(SUMPRODUCT(--ISNUMBER(Risk_Rank_Keys!$D$2:$D$800),--(Risk_Rank_Keys!$D$2:$D$800&lt;Risk_Rank_Keys!D131))+(SUMPRODUCT(--ISNUMBER(Risk_Rank_Keys!$D$2:$D$800),--(Risk_Rank_Keys!$D$2:$D$800=Risk_Rank_Keys!D131))+1)/2)/COUNT(Risk_Rank_Keys!$D$2:$D$800))</f>
        <v/>
      </c>
      <c r="P131">
        <f>AVERAGE(M131:O131)</f>
        <v/>
      </c>
      <c r="Q131">
        <f>0.4*H131+0.4*I131+0.2*P131</f>
        <v/>
      </c>
      <c r="R131">
        <f>PERCENTILE($Q$2:$Q$800,0.75)</f>
        <v/>
      </c>
      <c r="S131">
        <f>OR(Q131&gt;=R131,AND(B131="CW",COUNT(J131:L131)&lt;3))</f>
        <v/>
      </c>
      <c r="T131" t="n">
        <v>0.2765872642157788</v>
      </c>
      <c r="U131" t="n">
        <v>7.403301534091349</v>
      </c>
      <c r="V131" t="n">
        <v>0.4259300182876202</v>
      </c>
      <c r="W131">
        <f>Q131-V131</f>
        <v/>
      </c>
    </row>
    <row r="132">
      <c r="A132" t="inlineStr">
        <is>
          <t>2021-09-29</t>
        </is>
      </c>
      <c r="B132" t="inlineStr">
        <is>
          <t>CW</t>
        </is>
      </c>
      <c r="C132" t="n">
        <v>53.89079930941845</v>
      </c>
      <c r="D132">
        <f>SUMPRODUCT(Risk_Inputs!B132:AJ132,Risk_Coefs!$B$2:$AJ$2)</f>
        <v/>
      </c>
      <c r="E132">
        <f>1/(1+EXP(-MAX(-25,MIN(25,D132))))</f>
        <v/>
      </c>
      <c r="F132">
        <f>SUMPRODUCT(Risk_Inputs!B132:AJ132,Risk_Coefs!$B$3:$AJ$3)</f>
        <v/>
      </c>
      <c r="G132">
        <f>MAX(0,F132)</f>
        <v/>
      </c>
      <c r="H132">
        <f>(SUMPRODUCT(--ISNUMBER($E$2:$E$800),--($E$2:$E$800&lt;E132))+(SUMPRODUCT(--ISNUMBER($E$2:$E$800),--($E$2:$E$800=E132))+1)/2)/COUNT($E$2:$E$800)</f>
        <v/>
      </c>
      <c r="I132">
        <f>(SUMPRODUCT(--ISNUMBER($G$2:$G$800),--($G$2:$G$800&lt;G132))+(SUMPRODUCT(--ISNUMBER($G$2:$G$800),--($G$2:$G$800=G132))+1)/2)/COUNT($G$2:$G$800)</f>
        <v/>
      </c>
      <c r="J132" t="n">
        <v>28.14641806359529</v>
      </c>
      <c r="K132" t="n">
        <v>11.67326172979084</v>
      </c>
      <c r="L132" t="n">
        <v>0.4239683436970039</v>
      </c>
      <c r="M132">
        <f>IF(OR(B132="NW",COUNT(Risk_Rank_Keys!B132)=0),0.5,(SUMPRODUCT(--ISNUMBER(Risk_Rank_Keys!$B$2:$B$800),--(Risk_Rank_Keys!$B$2:$B$800&lt;Risk_Rank_Keys!B132))+(SUMPRODUCT(--ISNUMBER(Risk_Rank_Keys!$B$2:$B$800),--(Risk_Rank_Keys!$B$2:$B$800=Risk_Rank_Keys!B132))+1)/2)/COUNT(Risk_Rank_Keys!$B$2:$B$800))</f>
        <v/>
      </c>
      <c r="N132">
        <f>IF(OR(B132="NW",COUNT(Risk_Rank_Keys!C132)=0),0.5,(SUMPRODUCT(--ISNUMBER(Risk_Rank_Keys!$C$2:$C$800),--(Risk_Rank_Keys!$C$2:$C$800&lt;Risk_Rank_Keys!C132))+(SUMPRODUCT(--ISNUMBER(Risk_Rank_Keys!$C$2:$C$800),--(Risk_Rank_Keys!$C$2:$C$800=Risk_Rank_Keys!C132))+1)/2)/COUNT(Risk_Rank_Keys!$C$2:$C$800))</f>
        <v/>
      </c>
      <c r="O132">
        <f>IF(OR(B132="NW",COUNT(Risk_Rank_Keys!D132)=0),0.5,(SUMPRODUCT(--ISNUMBER(Risk_Rank_Keys!$D$2:$D$800),--(Risk_Rank_Keys!$D$2:$D$800&lt;Risk_Rank_Keys!D132))+(SUMPRODUCT(--ISNUMBER(Risk_Rank_Keys!$D$2:$D$800),--(Risk_Rank_Keys!$D$2:$D$800=Risk_Rank_Keys!D132))+1)/2)/COUNT(Risk_Rank_Keys!$D$2:$D$800))</f>
        <v/>
      </c>
      <c r="P132">
        <f>AVERAGE(M132:O132)</f>
        <v/>
      </c>
      <c r="Q132">
        <f>0.4*H132+0.4*I132+0.2*P132</f>
        <v/>
      </c>
      <c r="R132">
        <f>PERCENTILE($Q$2:$Q$800,0.75)</f>
        <v/>
      </c>
      <c r="S132">
        <f>OR(Q132&gt;=R132,AND(B132="CW",COUNT(J132:L132)&lt;3))</f>
        <v/>
      </c>
      <c r="T132" t="n">
        <v>0.1869238356075551</v>
      </c>
      <c r="U132" t="n">
        <v>5.019462075184048</v>
      </c>
      <c r="V132" t="n">
        <v>0.265709286771179</v>
      </c>
      <c r="W132">
        <f>Q132-V132</f>
        <v/>
      </c>
    </row>
    <row r="133">
      <c r="A133" t="inlineStr">
        <is>
          <t>2021-09-30</t>
        </is>
      </c>
      <c r="B133" t="inlineStr">
        <is>
          <t>CW</t>
        </is>
      </c>
      <c r="C133" t="n">
        <v>33.31170030221569</v>
      </c>
      <c r="D133">
        <f>SUMPRODUCT(Risk_Inputs!B133:AJ133,Risk_Coefs!$B$2:$AJ$2)</f>
        <v/>
      </c>
      <c r="E133">
        <f>1/(1+EXP(-MAX(-25,MIN(25,D133))))</f>
        <v/>
      </c>
      <c r="F133">
        <f>SUMPRODUCT(Risk_Inputs!B133:AJ133,Risk_Coefs!$B$3:$AJ$3)</f>
        <v/>
      </c>
      <c r="G133">
        <f>MAX(0,F133)</f>
        <v/>
      </c>
      <c r="H133">
        <f>(SUMPRODUCT(--ISNUMBER($E$2:$E$800),--($E$2:$E$800&lt;E133))+(SUMPRODUCT(--ISNUMBER($E$2:$E$800),--($E$2:$E$800=E133))+1)/2)/COUNT($E$2:$E$800)</f>
        <v/>
      </c>
      <c r="I133">
        <f>(SUMPRODUCT(--ISNUMBER($G$2:$G$800),--($G$2:$G$800&lt;G133))+(SUMPRODUCT(--ISNUMBER($G$2:$G$800),--($G$2:$G$800=G133))+1)/2)/COUNT($G$2:$G$800)</f>
        <v/>
      </c>
      <c r="J133" t="n">
        <v>9.52426709775639</v>
      </c>
      <c r="K133" t="n">
        <v>4.748603351955301</v>
      </c>
      <c r="L133" t="n">
        <v>0.2793296089385448</v>
      </c>
      <c r="M133">
        <f>IF(OR(B133="NW",COUNT(Risk_Rank_Keys!B133)=0),0.5,(SUMPRODUCT(--ISNUMBER(Risk_Rank_Keys!$B$2:$B$800),--(Risk_Rank_Keys!$B$2:$B$800&lt;Risk_Rank_Keys!B133))+(SUMPRODUCT(--ISNUMBER(Risk_Rank_Keys!$B$2:$B$800),--(Risk_Rank_Keys!$B$2:$B$800=Risk_Rank_Keys!B133))+1)/2)/COUNT(Risk_Rank_Keys!$B$2:$B$800))</f>
        <v/>
      </c>
      <c r="N133">
        <f>IF(OR(B133="NW",COUNT(Risk_Rank_Keys!C133)=0),0.5,(SUMPRODUCT(--ISNUMBER(Risk_Rank_Keys!$C$2:$C$800),--(Risk_Rank_Keys!$C$2:$C$800&lt;Risk_Rank_Keys!C133))+(SUMPRODUCT(--ISNUMBER(Risk_Rank_Keys!$C$2:$C$800),--(Risk_Rank_Keys!$C$2:$C$800=Risk_Rank_Keys!C133))+1)/2)/COUNT(Risk_Rank_Keys!$C$2:$C$800))</f>
        <v/>
      </c>
      <c r="O133">
        <f>IF(OR(B133="NW",COUNT(Risk_Rank_Keys!D133)=0),0.5,(SUMPRODUCT(--ISNUMBER(Risk_Rank_Keys!$D$2:$D$800),--(Risk_Rank_Keys!$D$2:$D$800&lt;Risk_Rank_Keys!D133))+(SUMPRODUCT(--ISNUMBER(Risk_Rank_Keys!$D$2:$D$800),--(Risk_Rank_Keys!$D$2:$D$800=Risk_Rank_Keys!D133))+1)/2)/COUNT(Risk_Rank_Keys!$D$2:$D$800))</f>
        <v/>
      </c>
      <c r="P133">
        <f>AVERAGE(M133:O133)</f>
        <v/>
      </c>
      <c r="Q133">
        <f>0.4*H133+0.4*I133+0.2*P133</f>
        <v/>
      </c>
      <c r="R133">
        <f>PERCENTILE($Q$2:$Q$800,0.75)</f>
        <v/>
      </c>
      <c r="S133">
        <f>OR(Q133&gt;=R133,AND(B133="CW",COUNT(J133:L133)&lt;3))</f>
        <v/>
      </c>
      <c r="T133" t="n">
        <v>0.3339303541754652</v>
      </c>
      <c r="U133" t="n">
        <v>10.06081049937612</v>
      </c>
      <c r="V133" t="n">
        <v>0.7431949164721826</v>
      </c>
      <c r="W133">
        <f>Q133-V133</f>
        <v/>
      </c>
    </row>
    <row r="134">
      <c r="A134" t="inlineStr">
        <is>
          <t>2021-10-01</t>
        </is>
      </c>
      <c r="B134" t="inlineStr">
        <is>
          <t>CW</t>
        </is>
      </c>
      <c r="C134" t="n">
        <v>37.70791405625039</v>
      </c>
      <c r="D134">
        <f>SUMPRODUCT(Risk_Inputs!B134:AJ134,Risk_Coefs!$B$2:$AJ$2)</f>
        <v/>
      </c>
      <c r="E134">
        <f>1/(1+EXP(-MAX(-25,MIN(25,D134))))</f>
        <v/>
      </c>
      <c r="F134">
        <f>SUMPRODUCT(Risk_Inputs!B134:AJ134,Risk_Coefs!$B$3:$AJ$3)</f>
        <v/>
      </c>
      <c r="G134">
        <f>MAX(0,F134)</f>
        <v/>
      </c>
      <c r="H134">
        <f>(SUMPRODUCT(--ISNUMBER($E$2:$E$800),--($E$2:$E$800&lt;E134))+(SUMPRODUCT(--ISNUMBER($E$2:$E$800),--($E$2:$E$800=E134))+1)/2)/COUNT($E$2:$E$800)</f>
        <v/>
      </c>
      <c r="I134">
        <f>(SUMPRODUCT(--ISNUMBER($G$2:$G$800),--($G$2:$G$800&lt;G134))+(SUMPRODUCT(--ISNUMBER($G$2:$G$800),--($G$2:$G$800=G134))+1)/2)/COUNT($G$2:$G$800)</f>
        <v/>
      </c>
      <c r="J134" t="n">
        <v>15.15311796845292</v>
      </c>
      <c r="K134" t="n">
        <v>1.337182798966716</v>
      </c>
      <c r="L134" t="n">
        <v>0.2431241452666716</v>
      </c>
      <c r="M134">
        <f>IF(OR(B134="NW",COUNT(Risk_Rank_Keys!B134)=0),0.5,(SUMPRODUCT(--ISNUMBER(Risk_Rank_Keys!$B$2:$B$800),--(Risk_Rank_Keys!$B$2:$B$800&lt;Risk_Rank_Keys!B134))+(SUMPRODUCT(--ISNUMBER(Risk_Rank_Keys!$B$2:$B$800),--(Risk_Rank_Keys!$B$2:$B$800=Risk_Rank_Keys!B134))+1)/2)/COUNT(Risk_Rank_Keys!$B$2:$B$800))</f>
        <v/>
      </c>
      <c r="N134">
        <f>IF(OR(B134="NW",COUNT(Risk_Rank_Keys!C134)=0),0.5,(SUMPRODUCT(--ISNUMBER(Risk_Rank_Keys!$C$2:$C$800),--(Risk_Rank_Keys!$C$2:$C$800&lt;Risk_Rank_Keys!C134))+(SUMPRODUCT(--ISNUMBER(Risk_Rank_Keys!$C$2:$C$800),--(Risk_Rank_Keys!$C$2:$C$800=Risk_Rank_Keys!C134))+1)/2)/COUNT(Risk_Rank_Keys!$C$2:$C$800))</f>
        <v/>
      </c>
      <c r="O134">
        <f>IF(OR(B134="NW",COUNT(Risk_Rank_Keys!D134)=0),0.5,(SUMPRODUCT(--ISNUMBER(Risk_Rank_Keys!$D$2:$D$800),--(Risk_Rank_Keys!$D$2:$D$800&lt;Risk_Rank_Keys!D134))+(SUMPRODUCT(--ISNUMBER(Risk_Rank_Keys!$D$2:$D$800),--(Risk_Rank_Keys!$D$2:$D$800=Risk_Rank_Keys!D134))+1)/2)/COUNT(Risk_Rank_Keys!$D$2:$D$800))</f>
        <v/>
      </c>
      <c r="P134">
        <f>AVERAGE(M134:O134)</f>
        <v/>
      </c>
      <c r="Q134">
        <f>0.4*H134+0.4*I134+0.2*P134</f>
        <v/>
      </c>
      <c r="R134">
        <f>PERCENTILE($Q$2:$Q$800,0.75)</f>
        <v/>
      </c>
      <c r="S134">
        <f>OR(Q134&gt;=R134,AND(B134="CW",COUNT(J134:L134)&lt;3))</f>
        <v/>
      </c>
      <c r="T134" t="n">
        <v>0.2405641785621221</v>
      </c>
      <c r="U134" t="n">
        <v>7.571471452934421</v>
      </c>
      <c r="V134" t="n">
        <v>0.3798885054481747</v>
      </c>
      <c r="W134">
        <f>Q134-V134</f>
        <v/>
      </c>
    </row>
    <row r="135">
      <c r="A135" t="inlineStr">
        <is>
          <t>2021-10-05</t>
        </is>
      </c>
      <c r="B135" t="inlineStr">
        <is>
          <t>CW</t>
        </is>
      </c>
      <c r="C135" t="n">
        <v>7.060106146372766</v>
      </c>
      <c r="D135">
        <f>SUMPRODUCT(Risk_Inputs!B135:AJ135,Risk_Coefs!$B$2:$AJ$2)</f>
        <v/>
      </c>
      <c r="E135">
        <f>1/(1+EXP(-MAX(-25,MIN(25,D135))))</f>
        <v/>
      </c>
      <c r="F135">
        <f>SUMPRODUCT(Risk_Inputs!B135:AJ135,Risk_Coefs!$B$3:$AJ$3)</f>
        <v/>
      </c>
      <c r="G135">
        <f>MAX(0,F135)</f>
        <v/>
      </c>
      <c r="H135">
        <f>(SUMPRODUCT(--ISNUMBER($E$2:$E$800),--($E$2:$E$800&lt;E135))+(SUMPRODUCT(--ISNUMBER($E$2:$E$800),--($E$2:$E$800=E135))+1)/2)/COUNT($E$2:$E$800)</f>
        <v/>
      </c>
      <c r="I135">
        <f>(SUMPRODUCT(--ISNUMBER($G$2:$G$800),--($G$2:$G$800&lt;G135))+(SUMPRODUCT(--ISNUMBER($G$2:$G$800),--($G$2:$G$800=G135))+1)/2)/COUNT($G$2:$G$800)</f>
        <v/>
      </c>
      <c r="J135" t="n">
        <v>16.09402537642535</v>
      </c>
      <c r="K135" t="n">
        <v>2.657195474875039</v>
      </c>
      <c r="L135" t="n">
        <v>0.3420152591423264</v>
      </c>
      <c r="M135">
        <f>IF(OR(B135="NW",COUNT(Risk_Rank_Keys!B135)=0),0.5,(SUMPRODUCT(--ISNUMBER(Risk_Rank_Keys!$B$2:$B$800),--(Risk_Rank_Keys!$B$2:$B$800&lt;Risk_Rank_Keys!B135))+(SUMPRODUCT(--ISNUMBER(Risk_Rank_Keys!$B$2:$B$800),--(Risk_Rank_Keys!$B$2:$B$800=Risk_Rank_Keys!B135))+1)/2)/COUNT(Risk_Rank_Keys!$B$2:$B$800))</f>
        <v/>
      </c>
      <c r="N135">
        <f>IF(OR(B135="NW",COUNT(Risk_Rank_Keys!C135)=0),0.5,(SUMPRODUCT(--ISNUMBER(Risk_Rank_Keys!$C$2:$C$800),--(Risk_Rank_Keys!$C$2:$C$800&lt;Risk_Rank_Keys!C135))+(SUMPRODUCT(--ISNUMBER(Risk_Rank_Keys!$C$2:$C$800),--(Risk_Rank_Keys!$C$2:$C$800=Risk_Rank_Keys!C135))+1)/2)/COUNT(Risk_Rank_Keys!$C$2:$C$800))</f>
        <v/>
      </c>
      <c r="O135">
        <f>IF(OR(B135="NW",COUNT(Risk_Rank_Keys!D135)=0),0.5,(SUMPRODUCT(--ISNUMBER(Risk_Rank_Keys!$D$2:$D$800),--(Risk_Rank_Keys!$D$2:$D$800&lt;Risk_Rank_Keys!D135))+(SUMPRODUCT(--ISNUMBER(Risk_Rank_Keys!$D$2:$D$800),--(Risk_Rank_Keys!$D$2:$D$800=Risk_Rank_Keys!D135))+1)/2)/COUNT(Risk_Rank_Keys!$D$2:$D$800))</f>
        <v/>
      </c>
      <c r="P135">
        <f>AVERAGE(M135:O135)</f>
        <v/>
      </c>
      <c r="Q135">
        <f>0.4*H135+0.4*I135+0.2*P135</f>
        <v/>
      </c>
      <c r="R135">
        <f>PERCENTILE($Q$2:$Q$800,0.75)</f>
        <v/>
      </c>
      <c r="S135">
        <f>OR(Q135&gt;=R135,AND(B135="CW",COUNT(J135:L135)&lt;3))</f>
        <v/>
      </c>
      <c r="T135" t="n">
        <v>0.2213327552338246</v>
      </c>
      <c r="U135" t="n">
        <v>4.536460587726515</v>
      </c>
      <c r="V135" t="n">
        <v>0.2254054201876008</v>
      </c>
      <c r="W135">
        <f>Q135-V135</f>
        <v/>
      </c>
    </row>
    <row r="136">
      <c r="A136" t="inlineStr">
        <is>
          <t>2021-10-06</t>
        </is>
      </c>
      <c r="B136" t="inlineStr">
        <is>
          <t>CW</t>
        </is>
      </c>
      <c r="C136" t="n">
        <v>-38.88049184449815</v>
      </c>
      <c r="D136">
        <f>SUMPRODUCT(Risk_Inputs!B136:AJ136,Risk_Coefs!$B$2:$AJ$2)</f>
        <v/>
      </c>
      <c r="E136">
        <f>1/(1+EXP(-MAX(-25,MIN(25,D136))))</f>
        <v/>
      </c>
      <c r="F136">
        <f>SUMPRODUCT(Risk_Inputs!B136:AJ136,Risk_Coefs!$B$3:$AJ$3)</f>
        <v/>
      </c>
      <c r="G136">
        <f>MAX(0,F136)</f>
        <v/>
      </c>
      <c r="H136">
        <f>(SUMPRODUCT(--ISNUMBER($E$2:$E$800),--($E$2:$E$800&lt;E136))+(SUMPRODUCT(--ISNUMBER($E$2:$E$800),--($E$2:$E$800=E136))+1)/2)/COUNT($E$2:$E$800)</f>
        <v/>
      </c>
      <c r="I136">
        <f>(SUMPRODUCT(--ISNUMBER($G$2:$G$800),--($G$2:$G$800&lt;G136))+(SUMPRODUCT(--ISNUMBER($G$2:$G$800),--($G$2:$G$800=G136))+1)/2)/COUNT($G$2:$G$800)</f>
        <v/>
      </c>
      <c r="J136" t="n">
        <v>10.4797424337084</v>
      </c>
      <c r="K136" t="n">
        <v>1.677972152802566</v>
      </c>
      <c r="L136" t="n">
        <v>0.321313816494101</v>
      </c>
      <c r="M136">
        <f>IF(OR(B136="NW",COUNT(Risk_Rank_Keys!B136)=0),0.5,(SUMPRODUCT(--ISNUMBER(Risk_Rank_Keys!$B$2:$B$800),--(Risk_Rank_Keys!$B$2:$B$800&lt;Risk_Rank_Keys!B136))+(SUMPRODUCT(--ISNUMBER(Risk_Rank_Keys!$B$2:$B$800),--(Risk_Rank_Keys!$B$2:$B$800=Risk_Rank_Keys!B136))+1)/2)/COUNT(Risk_Rank_Keys!$B$2:$B$800))</f>
        <v/>
      </c>
      <c r="N136">
        <f>IF(OR(B136="NW",COUNT(Risk_Rank_Keys!C136)=0),0.5,(SUMPRODUCT(--ISNUMBER(Risk_Rank_Keys!$C$2:$C$800),--(Risk_Rank_Keys!$C$2:$C$800&lt;Risk_Rank_Keys!C136))+(SUMPRODUCT(--ISNUMBER(Risk_Rank_Keys!$C$2:$C$800),--(Risk_Rank_Keys!$C$2:$C$800=Risk_Rank_Keys!C136))+1)/2)/COUNT(Risk_Rank_Keys!$C$2:$C$800))</f>
        <v/>
      </c>
      <c r="O136">
        <f>IF(OR(B136="NW",COUNT(Risk_Rank_Keys!D136)=0),0.5,(SUMPRODUCT(--ISNUMBER(Risk_Rank_Keys!$D$2:$D$800),--(Risk_Rank_Keys!$D$2:$D$800&lt;Risk_Rank_Keys!D136))+(SUMPRODUCT(--ISNUMBER(Risk_Rank_Keys!$D$2:$D$800),--(Risk_Rank_Keys!$D$2:$D$800=Risk_Rank_Keys!D136))+1)/2)/COUNT(Risk_Rank_Keys!$D$2:$D$800))</f>
        <v/>
      </c>
      <c r="P136">
        <f>AVERAGE(M136:O136)</f>
        <v/>
      </c>
      <c r="Q136">
        <f>0.4*H136+0.4*I136+0.2*P136</f>
        <v/>
      </c>
      <c r="R136">
        <f>PERCENTILE($Q$2:$Q$800,0.75)</f>
        <v/>
      </c>
      <c r="S136">
        <f>OR(Q136&gt;=R136,AND(B136="CW",COUNT(J136:L136)&lt;3))</f>
        <v/>
      </c>
      <c r="T136" t="n">
        <v>0.279086969948207</v>
      </c>
      <c r="U136" t="n">
        <v>8.321875071022014</v>
      </c>
      <c r="V136" t="n">
        <v>0.5167315722989395</v>
      </c>
      <c r="W136">
        <f>Q136-V136</f>
        <v/>
      </c>
    </row>
    <row r="137">
      <c r="A137" t="inlineStr">
        <is>
          <t>2021-10-07</t>
        </is>
      </c>
      <c r="B137" t="inlineStr">
        <is>
          <t>NW</t>
        </is>
      </c>
      <c r="C137" t="n">
        <v>36.66958758129626</v>
      </c>
      <c r="D137">
        <f>SUMPRODUCT(Risk_Inputs!B137:AJ137,Risk_Coefs!$B$2:$AJ$2)</f>
        <v/>
      </c>
      <c r="E137">
        <f>1/(1+EXP(-MAX(-25,MIN(25,D137))))</f>
        <v/>
      </c>
      <c r="F137">
        <f>SUMPRODUCT(Risk_Inputs!B137:AJ137,Risk_Coefs!$B$3:$AJ$3)</f>
        <v/>
      </c>
      <c r="G137">
        <f>MAX(0,F137)</f>
        <v/>
      </c>
      <c r="H137">
        <f>(SUMPRODUCT(--ISNUMBER($E$2:$E$800),--($E$2:$E$800&lt;E137))+(SUMPRODUCT(--ISNUMBER($E$2:$E$800),--($E$2:$E$800=E137))+1)/2)/COUNT($E$2:$E$800)</f>
        <v/>
      </c>
      <c r="I137">
        <f>(SUMPRODUCT(--ISNUMBER($G$2:$G$800),--($G$2:$G$800&lt;G137))+(SUMPRODUCT(--ISNUMBER($G$2:$G$800),--($G$2:$G$800=G137))+1)/2)/COUNT($G$2:$G$800)</f>
        <v/>
      </c>
      <c r="M137">
        <f>IF(OR(B137="NW",COUNT(Risk_Rank_Keys!B137)=0),0.5,(SUMPRODUCT(--ISNUMBER(Risk_Rank_Keys!$B$2:$B$800),--(Risk_Rank_Keys!$B$2:$B$800&lt;Risk_Rank_Keys!B137))+(SUMPRODUCT(--ISNUMBER(Risk_Rank_Keys!$B$2:$B$800),--(Risk_Rank_Keys!$B$2:$B$800=Risk_Rank_Keys!B137))+1)/2)/COUNT(Risk_Rank_Keys!$B$2:$B$800))</f>
        <v/>
      </c>
      <c r="N137">
        <f>IF(OR(B137="NW",COUNT(Risk_Rank_Keys!C137)=0),0.5,(SUMPRODUCT(--ISNUMBER(Risk_Rank_Keys!$C$2:$C$800),--(Risk_Rank_Keys!$C$2:$C$800&lt;Risk_Rank_Keys!C137))+(SUMPRODUCT(--ISNUMBER(Risk_Rank_Keys!$C$2:$C$800),--(Risk_Rank_Keys!$C$2:$C$800=Risk_Rank_Keys!C137))+1)/2)/COUNT(Risk_Rank_Keys!$C$2:$C$800))</f>
        <v/>
      </c>
      <c r="O137">
        <f>IF(OR(B137="NW",COUNT(Risk_Rank_Keys!D137)=0),0.5,(SUMPRODUCT(--ISNUMBER(Risk_Rank_Keys!$D$2:$D$800),--(Risk_Rank_Keys!$D$2:$D$800&lt;Risk_Rank_Keys!D137))+(SUMPRODUCT(--ISNUMBER(Risk_Rank_Keys!$D$2:$D$800),--(Risk_Rank_Keys!$D$2:$D$800=Risk_Rank_Keys!D137))+1)/2)/COUNT(Risk_Rank_Keys!$D$2:$D$800))</f>
        <v/>
      </c>
      <c r="P137">
        <f>AVERAGE(M137:O137)</f>
        <v/>
      </c>
      <c r="Q137">
        <f>0.4*H137+0.4*I137+0.2*P137</f>
        <v/>
      </c>
      <c r="R137">
        <f>PERCENTILE($Q$2:$Q$800,0.75)</f>
        <v/>
      </c>
      <c r="S137">
        <f>OR(Q137&gt;=R137,AND(B137="CW",COUNT(J137:L137)&lt;3))</f>
        <v/>
      </c>
      <c r="T137" t="n">
        <v>0.357544769714237</v>
      </c>
      <c r="U137" t="n">
        <v>10.89941628741433</v>
      </c>
      <c r="V137" t="n">
        <v>0.7838548185231541</v>
      </c>
      <c r="W137">
        <f>Q137-V137</f>
        <v/>
      </c>
    </row>
    <row r="138">
      <c r="A138" t="inlineStr">
        <is>
          <t>2021-10-11</t>
        </is>
      </c>
      <c r="B138" t="inlineStr">
        <is>
          <t>CW</t>
        </is>
      </c>
      <c r="C138" t="n">
        <v>-2.145929188792393</v>
      </c>
      <c r="D138">
        <f>SUMPRODUCT(Risk_Inputs!B138:AJ138,Risk_Coefs!$B$2:$AJ$2)</f>
        <v/>
      </c>
      <c r="E138">
        <f>1/(1+EXP(-MAX(-25,MIN(25,D138))))</f>
        <v/>
      </c>
      <c r="F138">
        <f>SUMPRODUCT(Risk_Inputs!B138:AJ138,Risk_Coefs!$B$3:$AJ$3)</f>
        <v/>
      </c>
      <c r="G138">
        <f>MAX(0,F138)</f>
        <v/>
      </c>
      <c r="H138">
        <f>(SUMPRODUCT(--ISNUMBER($E$2:$E$800),--($E$2:$E$800&lt;E138))+(SUMPRODUCT(--ISNUMBER($E$2:$E$800),--($E$2:$E$800=E138))+1)/2)/COUNT($E$2:$E$800)</f>
        <v/>
      </c>
      <c r="I138">
        <f>(SUMPRODUCT(--ISNUMBER($G$2:$G$800),--($G$2:$G$800&lt;G138))+(SUMPRODUCT(--ISNUMBER($G$2:$G$800),--($G$2:$G$800=G138))+1)/2)/COUNT($G$2:$G$800)</f>
        <v/>
      </c>
      <c r="J138" t="n">
        <v>5.786244391956385</v>
      </c>
      <c r="K138" t="n">
        <v>2.086791557979609</v>
      </c>
      <c r="L138" t="n">
        <v>0.2134218638842792</v>
      </c>
      <c r="M138">
        <f>IF(OR(B138="NW",COUNT(Risk_Rank_Keys!B138)=0),0.5,(SUMPRODUCT(--ISNUMBER(Risk_Rank_Keys!$B$2:$B$800),--(Risk_Rank_Keys!$B$2:$B$800&lt;Risk_Rank_Keys!B138))+(SUMPRODUCT(--ISNUMBER(Risk_Rank_Keys!$B$2:$B$800),--(Risk_Rank_Keys!$B$2:$B$800=Risk_Rank_Keys!B138))+1)/2)/COUNT(Risk_Rank_Keys!$B$2:$B$800))</f>
        <v/>
      </c>
      <c r="N138">
        <f>IF(OR(B138="NW",COUNT(Risk_Rank_Keys!C138)=0),0.5,(SUMPRODUCT(--ISNUMBER(Risk_Rank_Keys!$C$2:$C$800),--(Risk_Rank_Keys!$C$2:$C$800&lt;Risk_Rank_Keys!C138))+(SUMPRODUCT(--ISNUMBER(Risk_Rank_Keys!$C$2:$C$800),--(Risk_Rank_Keys!$C$2:$C$800=Risk_Rank_Keys!C138))+1)/2)/COUNT(Risk_Rank_Keys!$C$2:$C$800))</f>
        <v/>
      </c>
      <c r="O138">
        <f>IF(OR(B138="NW",COUNT(Risk_Rank_Keys!D138)=0),0.5,(SUMPRODUCT(--ISNUMBER(Risk_Rank_Keys!$D$2:$D$800),--(Risk_Rank_Keys!$D$2:$D$800&lt;Risk_Rank_Keys!D138))+(SUMPRODUCT(--ISNUMBER(Risk_Rank_Keys!$D$2:$D$800),--(Risk_Rank_Keys!$D$2:$D$800=Risk_Rank_Keys!D138))+1)/2)/COUNT(Risk_Rank_Keys!$D$2:$D$800))</f>
        <v/>
      </c>
      <c r="P138">
        <f>AVERAGE(M138:O138)</f>
        <v/>
      </c>
      <c r="Q138">
        <f>0.4*H138+0.4*I138+0.2*P138</f>
        <v/>
      </c>
      <c r="R138">
        <f>PERCENTILE($Q$2:$Q$800,0.75)</f>
        <v/>
      </c>
      <c r="S138">
        <f>OR(Q138&gt;=R138,AND(B138="CW",COUNT(J138:L138)&lt;3))</f>
        <v/>
      </c>
      <c r="T138" t="n">
        <v>0.3061673463566343</v>
      </c>
      <c r="U138" t="n">
        <v>7.450339907076718</v>
      </c>
      <c r="V138" t="n">
        <v>0.4902313386852115</v>
      </c>
      <c r="W138">
        <f>Q138-V138</f>
        <v/>
      </c>
    </row>
    <row r="139">
      <c r="A139" t="inlineStr">
        <is>
          <t>2021-10-12</t>
        </is>
      </c>
      <c r="B139" t="inlineStr">
        <is>
          <t>CW</t>
        </is>
      </c>
      <c r="C139" t="n">
        <v>5.322638940661466</v>
      </c>
      <c r="D139">
        <f>SUMPRODUCT(Risk_Inputs!B139:AJ139,Risk_Coefs!$B$2:$AJ$2)</f>
        <v/>
      </c>
      <c r="E139">
        <f>1/(1+EXP(-MAX(-25,MIN(25,D139))))</f>
        <v/>
      </c>
      <c r="F139">
        <f>SUMPRODUCT(Risk_Inputs!B139:AJ139,Risk_Coefs!$B$3:$AJ$3)</f>
        <v/>
      </c>
      <c r="G139">
        <f>MAX(0,F139)</f>
        <v/>
      </c>
      <c r="H139">
        <f>(SUMPRODUCT(--ISNUMBER($E$2:$E$800),--($E$2:$E$800&lt;E139))+(SUMPRODUCT(--ISNUMBER($E$2:$E$800),--($E$2:$E$800=E139))+1)/2)/COUNT($E$2:$E$800)</f>
        <v/>
      </c>
      <c r="I139">
        <f>(SUMPRODUCT(--ISNUMBER($G$2:$G$800),--($G$2:$G$800&lt;G139))+(SUMPRODUCT(--ISNUMBER($G$2:$G$800),--($G$2:$G$800=G139))+1)/2)/COUNT($G$2:$G$800)</f>
        <v/>
      </c>
      <c r="J139" t="n">
        <v>20.63592100346349</v>
      </c>
      <c r="K139" t="n">
        <v>11.52285637002974</v>
      </c>
      <c r="L139" t="n">
        <v>0.3245875033811167</v>
      </c>
      <c r="M139">
        <f>IF(OR(B139="NW",COUNT(Risk_Rank_Keys!B139)=0),0.5,(SUMPRODUCT(--ISNUMBER(Risk_Rank_Keys!$B$2:$B$800),--(Risk_Rank_Keys!$B$2:$B$800&lt;Risk_Rank_Keys!B139))+(SUMPRODUCT(--ISNUMBER(Risk_Rank_Keys!$B$2:$B$800),--(Risk_Rank_Keys!$B$2:$B$800=Risk_Rank_Keys!B139))+1)/2)/COUNT(Risk_Rank_Keys!$B$2:$B$800))</f>
        <v/>
      </c>
      <c r="N139">
        <f>IF(OR(B139="NW",COUNT(Risk_Rank_Keys!C139)=0),0.5,(SUMPRODUCT(--ISNUMBER(Risk_Rank_Keys!$C$2:$C$800),--(Risk_Rank_Keys!$C$2:$C$800&lt;Risk_Rank_Keys!C139))+(SUMPRODUCT(--ISNUMBER(Risk_Rank_Keys!$C$2:$C$800),--(Risk_Rank_Keys!$C$2:$C$800=Risk_Rank_Keys!C139))+1)/2)/COUNT(Risk_Rank_Keys!$C$2:$C$800))</f>
        <v/>
      </c>
      <c r="O139">
        <f>IF(OR(B139="NW",COUNT(Risk_Rank_Keys!D139)=0),0.5,(SUMPRODUCT(--ISNUMBER(Risk_Rank_Keys!$D$2:$D$800),--(Risk_Rank_Keys!$D$2:$D$800&lt;Risk_Rank_Keys!D139))+(SUMPRODUCT(--ISNUMBER(Risk_Rank_Keys!$D$2:$D$800),--(Risk_Rank_Keys!$D$2:$D$800=Risk_Rank_Keys!D139))+1)/2)/COUNT(Risk_Rank_Keys!$D$2:$D$800))</f>
        <v/>
      </c>
      <c r="P139">
        <f>AVERAGE(M139:O139)</f>
        <v/>
      </c>
      <c r="Q139">
        <f>0.4*H139+0.4*I139+0.2*P139</f>
        <v/>
      </c>
      <c r="R139">
        <f>PERCENTILE($Q$2:$Q$800,0.75)</f>
        <v/>
      </c>
      <c r="S139">
        <f>OR(Q139&gt;=R139,AND(B139="CW",COUNT(J139:L139)&lt;3))</f>
        <v/>
      </c>
      <c r="T139" t="n">
        <v>0.1745080775677982</v>
      </c>
      <c r="U139" t="n">
        <v>2.823931491891548</v>
      </c>
      <c r="V139" t="n">
        <v>0.1943190261653194</v>
      </c>
      <c r="W139">
        <f>Q139-V139</f>
        <v/>
      </c>
    </row>
    <row r="140">
      <c r="A140" t="inlineStr">
        <is>
          <t>2021-10-13</t>
        </is>
      </c>
      <c r="B140" t="inlineStr">
        <is>
          <t>CW</t>
        </is>
      </c>
      <c r="C140" t="n">
        <v>3.490091965780733</v>
      </c>
      <c r="D140">
        <f>SUMPRODUCT(Risk_Inputs!B140:AJ140,Risk_Coefs!$B$2:$AJ$2)</f>
        <v/>
      </c>
      <c r="E140">
        <f>1/(1+EXP(-MAX(-25,MIN(25,D140))))</f>
        <v/>
      </c>
      <c r="F140">
        <f>SUMPRODUCT(Risk_Inputs!B140:AJ140,Risk_Coefs!$B$3:$AJ$3)</f>
        <v/>
      </c>
      <c r="G140">
        <f>MAX(0,F140)</f>
        <v/>
      </c>
      <c r="H140">
        <f>(SUMPRODUCT(--ISNUMBER($E$2:$E$800),--($E$2:$E$800&lt;E140))+(SUMPRODUCT(--ISNUMBER($E$2:$E$800),--($E$2:$E$800=E140))+1)/2)/COUNT($E$2:$E$800)</f>
        <v/>
      </c>
      <c r="I140">
        <f>(SUMPRODUCT(--ISNUMBER($G$2:$G$800),--($G$2:$G$800&lt;G140))+(SUMPRODUCT(--ISNUMBER($G$2:$G$800),--($G$2:$G$800=G140))+1)/2)/COUNT($G$2:$G$800)</f>
        <v/>
      </c>
      <c r="J140" t="n">
        <v>4.873564236899124</v>
      </c>
      <c r="K140" t="n">
        <v>1.443298969072161</v>
      </c>
      <c r="L140" t="n">
        <v>0.4123711340206243</v>
      </c>
      <c r="M140">
        <f>IF(OR(B140="NW",COUNT(Risk_Rank_Keys!B140)=0),0.5,(SUMPRODUCT(--ISNUMBER(Risk_Rank_Keys!$B$2:$B$800),--(Risk_Rank_Keys!$B$2:$B$800&lt;Risk_Rank_Keys!B140))+(SUMPRODUCT(--ISNUMBER(Risk_Rank_Keys!$B$2:$B$800),--(Risk_Rank_Keys!$B$2:$B$800=Risk_Rank_Keys!B140))+1)/2)/COUNT(Risk_Rank_Keys!$B$2:$B$800))</f>
        <v/>
      </c>
      <c r="N140">
        <f>IF(OR(B140="NW",COUNT(Risk_Rank_Keys!C140)=0),0.5,(SUMPRODUCT(--ISNUMBER(Risk_Rank_Keys!$C$2:$C$800),--(Risk_Rank_Keys!$C$2:$C$800&lt;Risk_Rank_Keys!C140))+(SUMPRODUCT(--ISNUMBER(Risk_Rank_Keys!$C$2:$C$800),--(Risk_Rank_Keys!$C$2:$C$800=Risk_Rank_Keys!C140))+1)/2)/COUNT(Risk_Rank_Keys!$C$2:$C$800))</f>
        <v/>
      </c>
      <c r="O140">
        <f>IF(OR(B140="NW",COUNT(Risk_Rank_Keys!D140)=0),0.5,(SUMPRODUCT(--ISNUMBER(Risk_Rank_Keys!$D$2:$D$800),--(Risk_Rank_Keys!$D$2:$D$800&lt;Risk_Rank_Keys!D140))+(SUMPRODUCT(--ISNUMBER(Risk_Rank_Keys!$D$2:$D$800),--(Risk_Rank_Keys!$D$2:$D$800=Risk_Rank_Keys!D140))+1)/2)/COUNT(Risk_Rank_Keys!$D$2:$D$800))</f>
        <v/>
      </c>
      <c r="P140">
        <f>AVERAGE(M140:O140)</f>
        <v/>
      </c>
      <c r="Q140">
        <f>0.4*H140+0.4*I140+0.2*P140</f>
        <v/>
      </c>
      <c r="R140">
        <f>PERCENTILE($Q$2:$Q$800,0.75)</f>
        <v/>
      </c>
      <c r="S140">
        <f>OR(Q140&gt;=R140,AND(B140="CW",COUNT(J140:L140)&lt;3))</f>
        <v/>
      </c>
      <c r="T140" t="n">
        <v>0.2744657784902835</v>
      </c>
      <c r="U140" t="n">
        <v>8.692627699025469</v>
      </c>
      <c r="V140" t="n">
        <v>0.4953388388204921</v>
      </c>
      <c r="W140">
        <f>Q140-V140</f>
        <v/>
      </c>
    </row>
    <row r="141">
      <c r="A141" t="inlineStr">
        <is>
          <t>2021-10-19</t>
        </is>
      </c>
      <c r="B141" t="inlineStr">
        <is>
          <t>CW</t>
        </is>
      </c>
      <c r="C141" t="n">
        <v>-31.26215489246904</v>
      </c>
      <c r="D141">
        <f>SUMPRODUCT(Risk_Inputs!B141:AJ141,Risk_Coefs!$B$2:$AJ$2)</f>
        <v/>
      </c>
      <c r="E141">
        <f>1/(1+EXP(-MAX(-25,MIN(25,D141))))</f>
        <v/>
      </c>
      <c r="F141">
        <f>SUMPRODUCT(Risk_Inputs!B141:AJ141,Risk_Coefs!$B$3:$AJ$3)</f>
        <v/>
      </c>
      <c r="G141">
        <f>MAX(0,F141)</f>
        <v/>
      </c>
      <c r="H141">
        <f>(SUMPRODUCT(--ISNUMBER($E$2:$E$800),--($E$2:$E$800&lt;E141))+(SUMPRODUCT(--ISNUMBER($E$2:$E$800),--($E$2:$E$800=E141))+1)/2)/COUNT($E$2:$E$800)</f>
        <v/>
      </c>
      <c r="I141">
        <f>(SUMPRODUCT(--ISNUMBER($G$2:$G$800),--($G$2:$G$800&lt;G141))+(SUMPRODUCT(--ISNUMBER($G$2:$G$800),--($G$2:$G$800=G141))+1)/2)/COUNT($G$2:$G$800)</f>
        <v/>
      </c>
      <c r="J141" t="n">
        <v>6.551295565879048</v>
      </c>
      <c r="K141" t="n">
        <v>2.367650971002921</v>
      </c>
      <c r="L141" t="n">
        <v>0.239425379090185</v>
      </c>
      <c r="M141">
        <f>IF(OR(B141="NW",COUNT(Risk_Rank_Keys!B141)=0),0.5,(SUMPRODUCT(--ISNUMBER(Risk_Rank_Keys!$B$2:$B$800),--(Risk_Rank_Keys!$B$2:$B$800&lt;Risk_Rank_Keys!B141))+(SUMPRODUCT(--ISNUMBER(Risk_Rank_Keys!$B$2:$B$800),--(Risk_Rank_Keys!$B$2:$B$800=Risk_Rank_Keys!B141))+1)/2)/COUNT(Risk_Rank_Keys!$B$2:$B$800))</f>
        <v/>
      </c>
      <c r="N141">
        <f>IF(OR(B141="NW",COUNT(Risk_Rank_Keys!C141)=0),0.5,(SUMPRODUCT(--ISNUMBER(Risk_Rank_Keys!$C$2:$C$800),--(Risk_Rank_Keys!$C$2:$C$800&lt;Risk_Rank_Keys!C141))+(SUMPRODUCT(--ISNUMBER(Risk_Rank_Keys!$C$2:$C$800),--(Risk_Rank_Keys!$C$2:$C$800=Risk_Rank_Keys!C141))+1)/2)/COUNT(Risk_Rank_Keys!$C$2:$C$800))</f>
        <v/>
      </c>
      <c r="O141">
        <f>IF(OR(B141="NW",COUNT(Risk_Rank_Keys!D141)=0),0.5,(SUMPRODUCT(--ISNUMBER(Risk_Rank_Keys!$D$2:$D$800),--(Risk_Rank_Keys!$D$2:$D$800&lt;Risk_Rank_Keys!D141))+(SUMPRODUCT(--ISNUMBER(Risk_Rank_Keys!$D$2:$D$800),--(Risk_Rank_Keys!$D$2:$D$800=Risk_Rank_Keys!D141))+1)/2)/COUNT(Risk_Rank_Keys!$D$2:$D$800))</f>
        <v/>
      </c>
      <c r="P141">
        <f>AVERAGE(M141:O141)</f>
        <v/>
      </c>
      <c r="Q141">
        <f>0.4*H141+0.4*I141+0.2*P141</f>
        <v/>
      </c>
      <c r="R141">
        <f>PERCENTILE($Q$2:$Q$800,0.75)</f>
        <v/>
      </c>
      <c r="S141">
        <f>OR(Q141&gt;=R141,AND(B141="CW",COUNT(J141:L141)&lt;3))</f>
        <v/>
      </c>
      <c r="T141" t="n">
        <v>0.2440869531249228</v>
      </c>
      <c r="U141" t="n">
        <v>6.295099569182733</v>
      </c>
      <c r="V141" t="n">
        <v>0.2985645120091421</v>
      </c>
      <c r="W141">
        <f>Q141-V141</f>
        <v/>
      </c>
    </row>
    <row r="142">
      <c r="A142" t="inlineStr">
        <is>
          <t>2021-10-20</t>
        </is>
      </c>
      <c r="B142" t="inlineStr">
        <is>
          <t>CW</t>
        </is>
      </c>
      <c r="C142" t="n">
        <v>53.7682442162164</v>
      </c>
      <c r="D142">
        <f>SUMPRODUCT(Risk_Inputs!B142:AJ142,Risk_Coefs!$B$2:$AJ$2)</f>
        <v/>
      </c>
      <c r="E142">
        <f>1/(1+EXP(-MAX(-25,MIN(25,D142))))</f>
        <v/>
      </c>
      <c r="F142">
        <f>SUMPRODUCT(Risk_Inputs!B142:AJ142,Risk_Coefs!$B$3:$AJ$3)</f>
        <v/>
      </c>
      <c r="G142">
        <f>MAX(0,F142)</f>
        <v/>
      </c>
      <c r="H142">
        <f>(SUMPRODUCT(--ISNUMBER($E$2:$E$800),--($E$2:$E$800&lt;E142))+(SUMPRODUCT(--ISNUMBER($E$2:$E$800),--($E$2:$E$800=E142))+1)/2)/COUNT($E$2:$E$800)</f>
        <v/>
      </c>
      <c r="I142">
        <f>(SUMPRODUCT(--ISNUMBER($G$2:$G$800),--($G$2:$G$800&lt;G142))+(SUMPRODUCT(--ISNUMBER($G$2:$G$800),--($G$2:$G$800=G142))+1)/2)/COUNT($G$2:$G$800)</f>
        <v/>
      </c>
      <c r="J142" t="n">
        <v>13.68527665166937</v>
      </c>
      <c r="K142" t="n">
        <v>4.248453885453067</v>
      </c>
      <c r="L142" t="n">
        <v>0.2420005377789743</v>
      </c>
      <c r="M142">
        <f>IF(OR(B142="NW",COUNT(Risk_Rank_Keys!B142)=0),0.5,(SUMPRODUCT(--ISNUMBER(Risk_Rank_Keys!$B$2:$B$800),--(Risk_Rank_Keys!$B$2:$B$800&lt;Risk_Rank_Keys!B142))+(SUMPRODUCT(--ISNUMBER(Risk_Rank_Keys!$B$2:$B$800),--(Risk_Rank_Keys!$B$2:$B$800=Risk_Rank_Keys!B142))+1)/2)/COUNT(Risk_Rank_Keys!$B$2:$B$800))</f>
        <v/>
      </c>
      <c r="N142">
        <f>IF(OR(B142="NW",COUNT(Risk_Rank_Keys!C142)=0),0.5,(SUMPRODUCT(--ISNUMBER(Risk_Rank_Keys!$C$2:$C$800),--(Risk_Rank_Keys!$C$2:$C$800&lt;Risk_Rank_Keys!C142))+(SUMPRODUCT(--ISNUMBER(Risk_Rank_Keys!$C$2:$C$800),--(Risk_Rank_Keys!$C$2:$C$800=Risk_Rank_Keys!C142))+1)/2)/COUNT(Risk_Rank_Keys!$C$2:$C$800))</f>
        <v/>
      </c>
      <c r="O142">
        <f>IF(OR(B142="NW",COUNT(Risk_Rank_Keys!D142)=0),0.5,(SUMPRODUCT(--ISNUMBER(Risk_Rank_Keys!$D$2:$D$800),--(Risk_Rank_Keys!$D$2:$D$800&lt;Risk_Rank_Keys!D142))+(SUMPRODUCT(--ISNUMBER(Risk_Rank_Keys!$D$2:$D$800),--(Risk_Rank_Keys!$D$2:$D$800=Risk_Rank_Keys!D142))+1)/2)/COUNT(Risk_Rank_Keys!$D$2:$D$800))</f>
        <v/>
      </c>
      <c r="P142">
        <f>AVERAGE(M142:O142)</f>
        <v/>
      </c>
      <c r="Q142">
        <f>0.4*H142+0.4*I142+0.2*P142</f>
        <v/>
      </c>
      <c r="R142">
        <f>PERCENTILE($Q$2:$Q$800,0.75)</f>
        <v/>
      </c>
      <c r="S142">
        <f>OR(Q142&gt;=R142,AND(B142="CW",COUNT(J142:L142)&lt;3))</f>
        <v/>
      </c>
      <c r="T142" t="n">
        <v>0.2806302331832386</v>
      </c>
      <c r="U142" t="n">
        <v>9.574760374570921</v>
      </c>
      <c r="V142" t="n">
        <v>0.6028337374298068</v>
      </c>
      <c r="W142">
        <f>Q142-V142</f>
        <v/>
      </c>
    </row>
    <row r="143">
      <c r="A143" t="inlineStr">
        <is>
          <t>2021-10-21</t>
        </is>
      </c>
      <c r="B143" t="inlineStr">
        <is>
          <t>CW</t>
        </is>
      </c>
      <c r="C143" t="n">
        <v>-38.38780410794247</v>
      </c>
      <c r="D143">
        <f>SUMPRODUCT(Risk_Inputs!B143:AJ143,Risk_Coefs!$B$2:$AJ$2)</f>
        <v/>
      </c>
      <c r="E143">
        <f>1/(1+EXP(-MAX(-25,MIN(25,D143))))</f>
        <v/>
      </c>
      <c r="F143">
        <f>SUMPRODUCT(Risk_Inputs!B143:AJ143,Risk_Coefs!$B$3:$AJ$3)</f>
        <v/>
      </c>
      <c r="G143">
        <f>MAX(0,F143)</f>
        <v/>
      </c>
      <c r="H143">
        <f>(SUMPRODUCT(--ISNUMBER($E$2:$E$800),--($E$2:$E$800&lt;E143))+(SUMPRODUCT(--ISNUMBER($E$2:$E$800),--($E$2:$E$800=E143))+1)/2)/COUNT($E$2:$E$800)</f>
        <v/>
      </c>
      <c r="I143">
        <f>(SUMPRODUCT(--ISNUMBER($G$2:$G$800),--($G$2:$G$800&lt;G143))+(SUMPRODUCT(--ISNUMBER($G$2:$G$800),--($G$2:$G$800=G143))+1)/2)/COUNT($G$2:$G$800)</f>
        <v/>
      </c>
      <c r="J143" t="n">
        <v>7.194734762287996</v>
      </c>
      <c r="K143" t="n">
        <v>4.602713178294573</v>
      </c>
      <c r="L143" t="n">
        <v>0.1937984496123989</v>
      </c>
      <c r="M143">
        <f>IF(OR(B143="NW",COUNT(Risk_Rank_Keys!B143)=0),0.5,(SUMPRODUCT(--ISNUMBER(Risk_Rank_Keys!$B$2:$B$800),--(Risk_Rank_Keys!$B$2:$B$800&lt;Risk_Rank_Keys!B143))+(SUMPRODUCT(--ISNUMBER(Risk_Rank_Keys!$B$2:$B$800),--(Risk_Rank_Keys!$B$2:$B$800=Risk_Rank_Keys!B143))+1)/2)/COUNT(Risk_Rank_Keys!$B$2:$B$800))</f>
        <v/>
      </c>
      <c r="N143">
        <f>IF(OR(B143="NW",COUNT(Risk_Rank_Keys!C143)=0),0.5,(SUMPRODUCT(--ISNUMBER(Risk_Rank_Keys!$C$2:$C$800),--(Risk_Rank_Keys!$C$2:$C$800&lt;Risk_Rank_Keys!C143))+(SUMPRODUCT(--ISNUMBER(Risk_Rank_Keys!$C$2:$C$800),--(Risk_Rank_Keys!$C$2:$C$800=Risk_Rank_Keys!C143))+1)/2)/COUNT(Risk_Rank_Keys!$C$2:$C$800))</f>
        <v/>
      </c>
      <c r="O143">
        <f>IF(OR(B143="NW",COUNT(Risk_Rank_Keys!D143)=0),0.5,(SUMPRODUCT(--ISNUMBER(Risk_Rank_Keys!$D$2:$D$800),--(Risk_Rank_Keys!$D$2:$D$800&lt;Risk_Rank_Keys!D143))+(SUMPRODUCT(--ISNUMBER(Risk_Rank_Keys!$D$2:$D$800),--(Risk_Rank_Keys!$D$2:$D$800=Risk_Rank_Keys!D143))+1)/2)/COUNT(Risk_Rank_Keys!$D$2:$D$800))</f>
        <v/>
      </c>
      <c r="P143">
        <f>AVERAGE(M143:O143)</f>
        <v/>
      </c>
      <c r="Q143">
        <f>0.4*H143+0.4*I143+0.2*P143</f>
        <v/>
      </c>
      <c r="R143">
        <f>PERCENTILE($Q$2:$Q$800,0.75)</f>
        <v/>
      </c>
      <c r="S143">
        <f>OR(Q143&gt;=R143,AND(B143="CW",COUNT(J143:L143)&lt;3))</f>
        <v/>
      </c>
      <c r="T143" t="n">
        <v>0.3046998186135064</v>
      </c>
      <c r="U143" t="n">
        <v>10.00575389536653</v>
      </c>
      <c r="V143" t="n">
        <v>0.6364658519569732</v>
      </c>
      <c r="W143">
        <f>Q143-V143</f>
        <v/>
      </c>
    </row>
    <row r="144">
      <c r="A144" t="inlineStr">
        <is>
          <t>2021-10-25</t>
        </is>
      </c>
      <c r="B144" t="inlineStr">
        <is>
          <t>CW</t>
        </is>
      </c>
      <c r="C144" t="n">
        <v>-33.37327585151622</v>
      </c>
      <c r="D144">
        <f>SUMPRODUCT(Risk_Inputs!B144:AJ144,Risk_Coefs!$B$2:$AJ$2)</f>
        <v/>
      </c>
      <c r="E144">
        <f>1/(1+EXP(-MAX(-25,MIN(25,D144))))</f>
        <v/>
      </c>
      <c r="F144">
        <f>SUMPRODUCT(Risk_Inputs!B144:AJ144,Risk_Coefs!$B$3:$AJ$3)</f>
        <v/>
      </c>
      <c r="G144">
        <f>MAX(0,F144)</f>
        <v/>
      </c>
      <c r="H144">
        <f>(SUMPRODUCT(--ISNUMBER($E$2:$E$800),--($E$2:$E$800&lt;E144))+(SUMPRODUCT(--ISNUMBER($E$2:$E$800),--($E$2:$E$800=E144))+1)/2)/COUNT($E$2:$E$800)</f>
        <v/>
      </c>
      <c r="I144">
        <f>(SUMPRODUCT(--ISNUMBER($G$2:$G$800),--($G$2:$G$800&lt;G144))+(SUMPRODUCT(--ISNUMBER($G$2:$G$800),--($G$2:$G$800=G144))+1)/2)/COUNT($G$2:$G$800)</f>
        <v/>
      </c>
      <c r="J144" t="n">
        <v>13.30219389806689</v>
      </c>
      <c r="K144" t="n">
        <v>3.221552373775438</v>
      </c>
      <c r="L144" t="n">
        <v>0.2449133383571988</v>
      </c>
      <c r="M144">
        <f>IF(OR(B144="NW",COUNT(Risk_Rank_Keys!B144)=0),0.5,(SUMPRODUCT(--ISNUMBER(Risk_Rank_Keys!$B$2:$B$800),--(Risk_Rank_Keys!$B$2:$B$800&lt;Risk_Rank_Keys!B144))+(SUMPRODUCT(--ISNUMBER(Risk_Rank_Keys!$B$2:$B$800),--(Risk_Rank_Keys!$B$2:$B$800=Risk_Rank_Keys!B144))+1)/2)/COUNT(Risk_Rank_Keys!$B$2:$B$800))</f>
        <v/>
      </c>
      <c r="N144">
        <f>IF(OR(B144="NW",COUNT(Risk_Rank_Keys!C144)=0),0.5,(SUMPRODUCT(--ISNUMBER(Risk_Rank_Keys!$C$2:$C$800),--(Risk_Rank_Keys!$C$2:$C$800&lt;Risk_Rank_Keys!C144))+(SUMPRODUCT(--ISNUMBER(Risk_Rank_Keys!$C$2:$C$800),--(Risk_Rank_Keys!$C$2:$C$800=Risk_Rank_Keys!C144))+1)/2)/COUNT(Risk_Rank_Keys!$C$2:$C$800))</f>
        <v/>
      </c>
      <c r="O144">
        <f>IF(OR(B144="NW",COUNT(Risk_Rank_Keys!D144)=0),0.5,(SUMPRODUCT(--ISNUMBER(Risk_Rank_Keys!$D$2:$D$800),--(Risk_Rank_Keys!$D$2:$D$800&lt;Risk_Rank_Keys!D144))+(SUMPRODUCT(--ISNUMBER(Risk_Rank_Keys!$D$2:$D$800),--(Risk_Rank_Keys!$D$2:$D$800=Risk_Rank_Keys!D144))+1)/2)/COUNT(Risk_Rank_Keys!$D$2:$D$800))</f>
        <v/>
      </c>
      <c r="P144">
        <f>AVERAGE(M144:O144)</f>
        <v/>
      </c>
      <c r="Q144">
        <f>0.4*H144+0.4*I144+0.2*P144</f>
        <v/>
      </c>
      <c r="R144">
        <f>PERCENTILE($Q$2:$Q$800,0.75)</f>
        <v/>
      </c>
      <c r="S144">
        <f>OR(Q144&gt;=R144,AND(B144="CW",COUNT(J144:L144)&lt;3))</f>
        <v/>
      </c>
      <c r="T144" t="n">
        <v>0.2835410844447695</v>
      </c>
      <c r="U144" t="n">
        <v>8.385176700903376</v>
      </c>
      <c r="V144" t="n">
        <v>0.5426793952691912</v>
      </c>
      <c r="W144">
        <f>Q144-V144</f>
        <v/>
      </c>
    </row>
    <row r="145">
      <c r="A145" t="inlineStr">
        <is>
          <t>2021-10-26</t>
        </is>
      </c>
      <c r="B145" t="inlineStr">
        <is>
          <t>CW</t>
        </is>
      </c>
      <c r="C145" t="n">
        <v>12.71442822357602</v>
      </c>
      <c r="D145">
        <f>SUMPRODUCT(Risk_Inputs!B145:AJ145,Risk_Coefs!$B$2:$AJ$2)</f>
        <v/>
      </c>
      <c r="E145">
        <f>1/(1+EXP(-MAX(-25,MIN(25,D145))))</f>
        <v/>
      </c>
      <c r="F145">
        <f>SUMPRODUCT(Risk_Inputs!B145:AJ145,Risk_Coefs!$B$3:$AJ$3)</f>
        <v/>
      </c>
      <c r="G145">
        <f>MAX(0,F145)</f>
        <v/>
      </c>
      <c r="H145">
        <f>(SUMPRODUCT(--ISNUMBER($E$2:$E$800),--($E$2:$E$800&lt;E145))+(SUMPRODUCT(--ISNUMBER($E$2:$E$800),--($E$2:$E$800=E145))+1)/2)/COUNT($E$2:$E$800)</f>
        <v/>
      </c>
      <c r="I145">
        <f>(SUMPRODUCT(--ISNUMBER($G$2:$G$800),--($G$2:$G$800&lt;G145))+(SUMPRODUCT(--ISNUMBER($G$2:$G$800),--($G$2:$G$800=G145))+1)/2)/COUNT($G$2:$G$800)</f>
        <v/>
      </c>
      <c r="J145" t="n">
        <v>6.789108840135554</v>
      </c>
      <c r="K145" t="n">
        <v>1.473823141223051</v>
      </c>
      <c r="L145" t="n">
        <v>0.2199736031676136</v>
      </c>
      <c r="M145">
        <f>IF(OR(B145="NW",COUNT(Risk_Rank_Keys!B145)=0),0.5,(SUMPRODUCT(--ISNUMBER(Risk_Rank_Keys!$B$2:$B$800),--(Risk_Rank_Keys!$B$2:$B$800&lt;Risk_Rank_Keys!B145))+(SUMPRODUCT(--ISNUMBER(Risk_Rank_Keys!$B$2:$B$800),--(Risk_Rank_Keys!$B$2:$B$800=Risk_Rank_Keys!B145))+1)/2)/COUNT(Risk_Rank_Keys!$B$2:$B$800))</f>
        <v/>
      </c>
      <c r="N145">
        <f>IF(OR(B145="NW",COUNT(Risk_Rank_Keys!C145)=0),0.5,(SUMPRODUCT(--ISNUMBER(Risk_Rank_Keys!$C$2:$C$800),--(Risk_Rank_Keys!$C$2:$C$800&lt;Risk_Rank_Keys!C145))+(SUMPRODUCT(--ISNUMBER(Risk_Rank_Keys!$C$2:$C$800),--(Risk_Rank_Keys!$C$2:$C$800=Risk_Rank_Keys!C145))+1)/2)/COUNT(Risk_Rank_Keys!$C$2:$C$800))</f>
        <v/>
      </c>
      <c r="O145">
        <f>IF(OR(B145="NW",COUNT(Risk_Rank_Keys!D145)=0),0.5,(SUMPRODUCT(--ISNUMBER(Risk_Rank_Keys!$D$2:$D$800),--(Risk_Rank_Keys!$D$2:$D$800&lt;Risk_Rank_Keys!D145))+(SUMPRODUCT(--ISNUMBER(Risk_Rank_Keys!$D$2:$D$800),--(Risk_Rank_Keys!$D$2:$D$800=Risk_Rank_Keys!D145))+1)/2)/COUNT(Risk_Rank_Keys!$D$2:$D$800))</f>
        <v/>
      </c>
      <c r="P145">
        <f>AVERAGE(M145:O145)</f>
        <v/>
      </c>
      <c r="Q145">
        <f>0.4*H145+0.4*I145+0.2*P145</f>
        <v/>
      </c>
      <c r="R145">
        <f>PERCENTILE($Q$2:$Q$800,0.75)</f>
        <v/>
      </c>
      <c r="S145">
        <f>OR(Q145&gt;=R145,AND(B145="CW",COUNT(J145:L145)&lt;3))</f>
        <v/>
      </c>
      <c r="T145" t="n">
        <v>0.243959237767206</v>
      </c>
      <c r="U145" t="n">
        <v>6.630585899805053</v>
      </c>
      <c r="V145" t="n">
        <v>0.2985773127613608</v>
      </c>
      <c r="W145">
        <f>Q145-V145</f>
        <v/>
      </c>
    </row>
    <row r="146">
      <c r="A146" t="inlineStr">
        <is>
          <t>2021-10-27</t>
        </is>
      </c>
      <c r="B146" t="inlineStr">
        <is>
          <t>CW</t>
        </is>
      </c>
      <c r="C146" t="n">
        <v>25.63986496231364</v>
      </c>
      <c r="D146">
        <f>SUMPRODUCT(Risk_Inputs!B146:AJ146,Risk_Coefs!$B$2:$AJ$2)</f>
        <v/>
      </c>
      <c r="E146">
        <f>1/(1+EXP(-MAX(-25,MIN(25,D146))))</f>
        <v/>
      </c>
      <c r="F146">
        <f>SUMPRODUCT(Risk_Inputs!B146:AJ146,Risk_Coefs!$B$3:$AJ$3)</f>
        <v/>
      </c>
      <c r="G146">
        <f>MAX(0,F146)</f>
        <v/>
      </c>
      <c r="H146">
        <f>(SUMPRODUCT(--ISNUMBER($E$2:$E$800),--($E$2:$E$800&lt;E146))+(SUMPRODUCT(--ISNUMBER($E$2:$E$800),--($E$2:$E$800=E146))+1)/2)/COUNT($E$2:$E$800)</f>
        <v/>
      </c>
      <c r="I146">
        <f>(SUMPRODUCT(--ISNUMBER($G$2:$G$800),--($G$2:$G$800&lt;G146))+(SUMPRODUCT(--ISNUMBER($G$2:$G$800),--($G$2:$G$800=G146))+1)/2)/COUNT($G$2:$G$800)</f>
        <v/>
      </c>
      <c r="J146" t="n">
        <v>22.6107022167776</v>
      </c>
      <c r="K146" t="n">
        <v>8.195266272189345</v>
      </c>
      <c r="L146" t="n">
        <v>0.2071005917159813</v>
      </c>
      <c r="M146">
        <f>IF(OR(B146="NW",COUNT(Risk_Rank_Keys!B146)=0),0.5,(SUMPRODUCT(--ISNUMBER(Risk_Rank_Keys!$B$2:$B$800),--(Risk_Rank_Keys!$B$2:$B$800&lt;Risk_Rank_Keys!B146))+(SUMPRODUCT(--ISNUMBER(Risk_Rank_Keys!$B$2:$B$800),--(Risk_Rank_Keys!$B$2:$B$800=Risk_Rank_Keys!B146))+1)/2)/COUNT(Risk_Rank_Keys!$B$2:$B$800))</f>
        <v/>
      </c>
      <c r="N146">
        <f>IF(OR(B146="NW",COUNT(Risk_Rank_Keys!C146)=0),0.5,(SUMPRODUCT(--ISNUMBER(Risk_Rank_Keys!$C$2:$C$800),--(Risk_Rank_Keys!$C$2:$C$800&lt;Risk_Rank_Keys!C146))+(SUMPRODUCT(--ISNUMBER(Risk_Rank_Keys!$C$2:$C$800),--(Risk_Rank_Keys!$C$2:$C$800=Risk_Rank_Keys!C146))+1)/2)/COUNT(Risk_Rank_Keys!$C$2:$C$800))</f>
        <v/>
      </c>
      <c r="O146">
        <f>IF(OR(B146="NW",COUNT(Risk_Rank_Keys!D146)=0),0.5,(SUMPRODUCT(--ISNUMBER(Risk_Rank_Keys!$D$2:$D$800),--(Risk_Rank_Keys!$D$2:$D$800&lt;Risk_Rank_Keys!D146))+(SUMPRODUCT(--ISNUMBER(Risk_Rank_Keys!$D$2:$D$800),--(Risk_Rank_Keys!$D$2:$D$800=Risk_Rank_Keys!D146))+1)/2)/COUNT(Risk_Rank_Keys!$D$2:$D$800))</f>
        <v/>
      </c>
      <c r="P146">
        <f>AVERAGE(M146:O146)</f>
        <v/>
      </c>
      <c r="Q146">
        <f>0.4*H146+0.4*I146+0.2*P146</f>
        <v/>
      </c>
      <c r="R146">
        <f>PERCENTILE($Q$2:$Q$800,0.75)</f>
        <v/>
      </c>
      <c r="S146">
        <f>OR(Q146&gt;=R146,AND(B146="CW",COUNT(J146:L146)&lt;3))</f>
        <v/>
      </c>
      <c r="T146" t="n">
        <v>0.22248459236892</v>
      </c>
      <c r="U146" t="n">
        <v>6.129916243562639</v>
      </c>
      <c r="V146" t="n">
        <v>0.3078872998500566</v>
      </c>
      <c r="W146">
        <f>Q146-V146</f>
        <v/>
      </c>
    </row>
    <row r="147">
      <c r="A147" t="inlineStr">
        <is>
          <t>2021-10-28</t>
        </is>
      </c>
      <c r="B147" t="inlineStr">
        <is>
          <t>CW</t>
        </is>
      </c>
      <c r="C147" t="n">
        <v>11.03533747408352</v>
      </c>
      <c r="D147">
        <f>SUMPRODUCT(Risk_Inputs!B147:AJ147,Risk_Coefs!$B$2:$AJ$2)</f>
        <v/>
      </c>
      <c r="E147">
        <f>1/(1+EXP(-MAX(-25,MIN(25,D147))))</f>
        <v/>
      </c>
      <c r="F147">
        <f>SUMPRODUCT(Risk_Inputs!B147:AJ147,Risk_Coefs!$B$3:$AJ$3)</f>
        <v/>
      </c>
      <c r="G147">
        <f>MAX(0,F147)</f>
        <v/>
      </c>
      <c r="H147">
        <f>(SUMPRODUCT(--ISNUMBER($E$2:$E$800),--($E$2:$E$800&lt;E147))+(SUMPRODUCT(--ISNUMBER($E$2:$E$800),--($E$2:$E$800=E147))+1)/2)/COUNT($E$2:$E$800)</f>
        <v/>
      </c>
      <c r="I147">
        <f>(SUMPRODUCT(--ISNUMBER($G$2:$G$800),--($G$2:$G$800&lt;G147))+(SUMPRODUCT(--ISNUMBER($G$2:$G$800),--($G$2:$G$800=G147))+1)/2)/COUNT($G$2:$G$800)</f>
        <v/>
      </c>
      <c r="J147" t="n">
        <v>25.05196217429008</v>
      </c>
      <c r="K147" t="n">
        <v>6.287787182587652</v>
      </c>
      <c r="L147" t="n">
        <v>0.6045949214026544</v>
      </c>
      <c r="M147">
        <f>IF(OR(B147="NW",COUNT(Risk_Rank_Keys!B147)=0),0.5,(SUMPRODUCT(--ISNUMBER(Risk_Rank_Keys!$B$2:$B$800),--(Risk_Rank_Keys!$B$2:$B$800&lt;Risk_Rank_Keys!B147))+(SUMPRODUCT(--ISNUMBER(Risk_Rank_Keys!$B$2:$B$800),--(Risk_Rank_Keys!$B$2:$B$800=Risk_Rank_Keys!B147))+1)/2)/COUNT(Risk_Rank_Keys!$B$2:$B$800))</f>
        <v/>
      </c>
      <c r="N147">
        <f>IF(OR(B147="NW",COUNT(Risk_Rank_Keys!C147)=0),0.5,(SUMPRODUCT(--ISNUMBER(Risk_Rank_Keys!$C$2:$C$800),--(Risk_Rank_Keys!$C$2:$C$800&lt;Risk_Rank_Keys!C147))+(SUMPRODUCT(--ISNUMBER(Risk_Rank_Keys!$C$2:$C$800),--(Risk_Rank_Keys!$C$2:$C$800=Risk_Rank_Keys!C147))+1)/2)/COUNT(Risk_Rank_Keys!$C$2:$C$800))</f>
        <v/>
      </c>
      <c r="O147">
        <f>IF(OR(B147="NW",COUNT(Risk_Rank_Keys!D147)=0),0.5,(SUMPRODUCT(--ISNUMBER(Risk_Rank_Keys!$D$2:$D$800),--(Risk_Rank_Keys!$D$2:$D$800&lt;Risk_Rank_Keys!D147))+(SUMPRODUCT(--ISNUMBER(Risk_Rank_Keys!$D$2:$D$800),--(Risk_Rank_Keys!$D$2:$D$800=Risk_Rank_Keys!D147))+1)/2)/COUNT(Risk_Rank_Keys!$D$2:$D$800))</f>
        <v/>
      </c>
      <c r="P147">
        <f>AVERAGE(M147:O147)</f>
        <v/>
      </c>
      <c r="Q147">
        <f>0.4*H147+0.4*I147+0.2*P147</f>
        <v/>
      </c>
      <c r="R147">
        <f>PERCENTILE($Q$2:$Q$800,0.75)</f>
        <v/>
      </c>
      <c r="S147">
        <f>OR(Q147&gt;=R147,AND(B147="CW",COUNT(J147:L147)&lt;3))</f>
        <v/>
      </c>
      <c r="T147" t="n">
        <v>0.237773330684138</v>
      </c>
      <c r="U147" t="n">
        <v>8.737029404747897</v>
      </c>
      <c r="V147" t="n">
        <v>0.5139976807364389</v>
      </c>
      <c r="W147">
        <f>Q147-V147</f>
        <v/>
      </c>
    </row>
    <row r="148">
      <c r="A148" t="inlineStr">
        <is>
          <t>2021-10-29</t>
        </is>
      </c>
      <c r="B148" t="inlineStr">
        <is>
          <t>CW</t>
        </is>
      </c>
      <c r="C148" t="n">
        <v>-39.4220352119786</v>
      </c>
      <c r="D148">
        <f>SUMPRODUCT(Risk_Inputs!B148:AJ148,Risk_Coefs!$B$2:$AJ$2)</f>
        <v/>
      </c>
      <c r="E148">
        <f>1/(1+EXP(-MAX(-25,MIN(25,D148))))</f>
        <v/>
      </c>
      <c r="F148">
        <f>SUMPRODUCT(Risk_Inputs!B148:AJ148,Risk_Coefs!$B$3:$AJ$3)</f>
        <v/>
      </c>
      <c r="G148">
        <f>MAX(0,F148)</f>
        <v/>
      </c>
      <c r="H148">
        <f>(SUMPRODUCT(--ISNUMBER($E$2:$E$800),--($E$2:$E$800&lt;E148))+(SUMPRODUCT(--ISNUMBER($E$2:$E$800),--($E$2:$E$800=E148))+1)/2)/COUNT($E$2:$E$800)</f>
        <v/>
      </c>
      <c r="I148">
        <f>(SUMPRODUCT(--ISNUMBER($G$2:$G$800),--($G$2:$G$800&lt;G148))+(SUMPRODUCT(--ISNUMBER($G$2:$G$800),--($G$2:$G$800=G148))+1)/2)/COUNT($G$2:$G$800)</f>
        <v/>
      </c>
      <c r="J148" t="n">
        <v>21.14087639053598</v>
      </c>
      <c r="K148" t="n">
        <v>2.548662652289586</v>
      </c>
      <c r="L148" t="n">
        <v>0.1400364094664533</v>
      </c>
      <c r="M148">
        <f>IF(OR(B148="NW",COUNT(Risk_Rank_Keys!B148)=0),0.5,(SUMPRODUCT(--ISNUMBER(Risk_Rank_Keys!$B$2:$B$800),--(Risk_Rank_Keys!$B$2:$B$800&lt;Risk_Rank_Keys!B148))+(SUMPRODUCT(--ISNUMBER(Risk_Rank_Keys!$B$2:$B$800),--(Risk_Rank_Keys!$B$2:$B$800=Risk_Rank_Keys!B148))+1)/2)/COUNT(Risk_Rank_Keys!$B$2:$B$800))</f>
        <v/>
      </c>
      <c r="N148">
        <f>IF(OR(B148="NW",COUNT(Risk_Rank_Keys!C148)=0),0.5,(SUMPRODUCT(--ISNUMBER(Risk_Rank_Keys!$C$2:$C$800),--(Risk_Rank_Keys!$C$2:$C$800&lt;Risk_Rank_Keys!C148))+(SUMPRODUCT(--ISNUMBER(Risk_Rank_Keys!$C$2:$C$800),--(Risk_Rank_Keys!$C$2:$C$800=Risk_Rank_Keys!C148))+1)/2)/COUNT(Risk_Rank_Keys!$C$2:$C$800))</f>
        <v/>
      </c>
      <c r="O148">
        <f>IF(OR(B148="NW",COUNT(Risk_Rank_Keys!D148)=0),0.5,(SUMPRODUCT(--ISNUMBER(Risk_Rank_Keys!$D$2:$D$800),--(Risk_Rank_Keys!$D$2:$D$800&lt;Risk_Rank_Keys!D148))+(SUMPRODUCT(--ISNUMBER(Risk_Rank_Keys!$D$2:$D$800),--(Risk_Rank_Keys!$D$2:$D$800=Risk_Rank_Keys!D148))+1)/2)/COUNT(Risk_Rank_Keys!$D$2:$D$800))</f>
        <v/>
      </c>
      <c r="P148">
        <f>AVERAGE(M148:O148)</f>
        <v/>
      </c>
      <c r="Q148">
        <f>0.4*H148+0.4*I148+0.2*P148</f>
        <v/>
      </c>
      <c r="R148">
        <f>PERCENTILE($Q$2:$Q$800,0.75)</f>
        <v/>
      </c>
      <c r="S148">
        <f>OR(Q148&gt;=R148,AND(B148="CW",COUNT(J148:L148)&lt;3))</f>
        <v/>
      </c>
      <c r="T148" t="n">
        <v>0.2740219398540234</v>
      </c>
      <c r="U148" t="n">
        <v>9.139272463511867</v>
      </c>
      <c r="V148" t="n">
        <v>0.5318423948112733</v>
      </c>
      <c r="W148">
        <f>Q148-V148</f>
        <v/>
      </c>
    </row>
    <row r="149">
      <c r="A149" t="inlineStr">
        <is>
          <t>2021-11-02</t>
        </is>
      </c>
      <c r="B149" t="inlineStr">
        <is>
          <t>CW</t>
        </is>
      </c>
      <c r="C149" t="n">
        <v>27.95401330607491</v>
      </c>
      <c r="D149">
        <f>SUMPRODUCT(Risk_Inputs!B149:AJ149,Risk_Coefs!$B$2:$AJ$2)</f>
        <v/>
      </c>
      <c r="E149">
        <f>1/(1+EXP(-MAX(-25,MIN(25,D149))))</f>
        <v/>
      </c>
      <c r="F149">
        <f>SUMPRODUCT(Risk_Inputs!B149:AJ149,Risk_Coefs!$B$3:$AJ$3)</f>
        <v/>
      </c>
      <c r="G149">
        <f>MAX(0,F149)</f>
        <v/>
      </c>
      <c r="H149">
        <f>(SUMPRODUCT(--ISNUMBER($E$2:$E$800),--($E$2:$E$800&lt;E149))+(SUMPRODUCT(--ISNUMBER($E$2:$E$800),--($E$2:$E$800=E149))+1)/2)/COUNT($E$2:$E$800)</f>
        <v/>
      </c>
      <c r="I149">
        <f>(SUMPRODUCT(--ISNUMBER($G$2:$G$800),--($G$2:$G$800&lt;G149))+(SUMPRODUCT(--ISNUMBER($G$2:$G$800),--($G$2:$G$800=G149))+1)/2)/COUNT($G$2:$G$800)</f>
        <v/>
      </c>
      <c r="J149" t="n">
        <v>11.24306677548845</v>
      </c>
      <c r="K149" t="n">
        <v>4.228571428571415</v>
      </c>
      <c r="L149" t="n">
        <v>0.2571428571428588</v>
      </c>
      <c r="M149">
        <f>IF(OR(B149="NW",COUNT(Risk_Rank_Keys!B149)=0),0.5,(SUMPRODUCT(--ISNUMBER(Risk_Rank_Keys!$B$2:$B$800),--(Risk_Rank_Keys!$B$2:$B$800&lt;Risk_Rank_Keys!B149))+(SUMPRODUCT(--ISNUMBER(Risk_Rank_Keys!$B$2:$B$800),--(Risk_Rank_Keys!$B$2:$B$800=Risk_Rank_Keys!B149))+1)/2)/COUNT(Risk_Rank_Keys!$B$2:$B$800))</f>
        <v/>
      </c>
      <c r="N149">
        <f>IF(OR(B149="NW",COUNT(Risk_Rank_Keys!C149)=0),0.5,(SUMPRODUCT(--ISNUMBER(Risk_Rank_Keys!$C$2:$C$800),--(Risk_Rank_Keys!$C$2:$C$800&lt;Risk_Rank_Keys!C149))+(SUMPRODUCT(--ISNUMBER(Risk_Rank_Keys!$C$2:$C$800),--(Risk_Rank_Keys!$C$2:$C$800=Risk_Rank_Keys!C149))+1)/2)/COUNT(Risk_Rank_Keys!$C$2:$C$800))</f>
        <v/>
      </c>
      <c r="O149">
        <f>IF(OR(B149="NW",COUNT(Risk_Rank_Keys!D149)=0),0.5,(SUMPRODUCT(--ISNUMBER(Risk_Rank_Keys!$D$2:$D$800),--(Risk_Rank_Keys!$D$2:$D$800&lt;Risk_Rank_Keys!D149))+(SUMPRODUCT(--ISNUMBER(Risk_Rank_Keys!$D$2:$D$800),--(Risk_Rank_Keys!$D$2:$D$800=Risk_Rank_Keys!D149))+1)/2)/COUNT(Risk_Rank_Keys!$D$2:$D$800))</f>
        <v/>
      </c>
      <c r="P149">
        <f>AVERAGE(M149:O149)</f>
        <v/>
      </c>
      <c r="Q149">
        <f>0.4*H149+0.4*I149+0.2*P149</f>
        <v/>
      </c>
      <c r="R149">
        <f>PERCENTILE($Q$2:$Q$800,0.75)</f>
        <v/>
      </c>
      <c r="S149">
        <f>OR(Q149&gt;=R149,AND(B149="CW",COUNT(J149:L149)&lt;3))</f>
        <v/>
      </c>
      <c r="T149" t="n">
        <v>0.2447265333663856</v>
      </c>
      <c r="U149" t="n">
        <v>4.907850992723892</v>
      </c>
      <c r="V149" t="n">
        <v>0.2666060376493397</v>
      </c>
      <c r="W149">
        <f>Q149-V149</f>
        <v/>
      </c>
    </row>
    <row r="150">
      <c r="A150" t="inlineStr">
        <is>
          <t>2021-11-03</t>
        </is>
      </c>
      <c r="B150" t="inlineStr">
        <is>
          <t>CW</t>
        </is>
      </c>
      <c r="C150" t="n">
        <v>-14.98211136384898</v>
      </c>
      <c r="D150">
        <f>SUMPRODUCT(Risk_Inputs!B150:AJ150,Risk_Coefs!$B$2:$AJ$2)</f>
        <v/>
      </c>
      <c r="E150">
        <f>1/(1+EXP(-MAX(-25,MIN(25,D150))))</f>
        <v/>
      </c>
      <c r="F150">
        <f>SUMPRODUCT(Risk_Inputs!B150:AJ150,Risk_Coefs!$B$3:$AJ$3)</f>
        <v/>
      </c>
      <c r="G150">
        <f>MAX(0,F150)</f>
        <v/>
      </c>
      <c r="H150">
        <f>(SUMPRODUCT(--ISNUMBER($E$2:$E$800),--($E$2:$E$800&lt;E150))+(SUMPRODUCT(--ISNUMBER($E$2:$E$800),--($E$2:$E$800=E150))+1)/2)/COUNT($E$2:$E$800)</f>
        <v/>
      </c>
      <c r="I150">
        <f>(SUMPRODUCT(--ISNUMBER($G$2:$G$800),--($G$2:$G$800&lt;G150))+(SUMPRODUCT(--ISNUMBER($G$2:$G$800),--($G$2:$G$800=G150))+1)/2)/COUNT($G$2:$G$800)</f>
        <v/>
      </c>
      <c r="J150" t="n">
        <v>7.93427635223935</v>
      </c>
      <c r="K150" t="n">
        <v>3.084337349397579</v>
      </c>
      <c r="L150" t="n">
        <v>0.3373493975903697</v>
      </c>
      <c r="M150">
        <f>IF(OR(B150="NW",COUNT(Risk_Rank_Keys!B150)=0),0.5,(SUMPRODUCT(--ISNUMBER(Risk_Rank_Keys!$B$2:$B$800),--(Risk_Rank_Keys!$B$2:$B$800&lt;Risk_Rank_Keys!B150))+(SUMPRODUCT(--ISNUMBER(Risk_Rank_Keys!$B$2:$B$800),--(Risk_Rank_Keys!$B$2:$B$800=Risk_Rank_Keys!B150))+1)/2)/COUNT(Risk_Rank_Keys!$B$2:$B$800))</f>
        <v/>
      </c>
      <c r="N150">
        <f>IF(OR(B150="NW",COUNT(Risk_Rank_Keys!C150)=0),0.5,(SUMPRODUCT(--ISNUMBER(Risk_Rank_Keys!$C$2:$C$800),--(Risk_Rank_Keys!$C$2:$C$800&lt;Risk_Rank_Keys!C150))+(SUMPRODUCT(--ISNUMBER(Risk_Rank_Keys!$C$2:$C$800),--(Risk_Rank_Keys!$C$2:$C$800=Risk_Rank_Keys!C150))+1)/2)/COUNT(Risk_Rank_Keys!$C$2:$C$800))</f>
        <v/>
      </c>
      <c r="O150">
        <f>IF(OR(B150="NW",COUNT(Risk_Rank_Keys!D150)=0),0.5,(SUMPRODUCT(--ISNUMBER(Risk_Rank_Keys!$D$2:$D$800),--(Risk_Rank_Keys!$D$2:$D$800&lt;Risk_Rank_Keys!D150))+(SUMPRODUCT(--ISNUMBER(Risk_Rank_Keys!$D$2:$D$800),--(Risk_Rank_Keys!$D$2:$D$800=Risk_Rank_Keys!D150))+1)/2)/COUNT(Risk_Rank_Keys!$D$2:$D$800))</f>
        <v/>
      </c>
      <c r="P150">
        <f>AVERAGE(M150:O150)</f>
        <v/>
      </c>
      <c r="Q150">
        <f>0.4*H150+0.4*I150+0.2*P150</f>
        <v/>
      </c>
      <c r="R150">
        <f>PERCENTILE($Q$2:$Q$800,0.75)</f>
        <v/>
      </c>
      <c r="S150">
        <f>OR(Q150&gt;=R150,AND(B150="CW",COUNT(J150:L150)&lt;3))</f>
        <v/>
      </c>
      <c r="T150" t="n">
        <v>0.2501576045213666</v>
      </c>
      <c r="U150" t="n">
        <v>7.403870802143391</v>
      </c>
      <c r="V150" t="n">
        <v>0.40216065060405</v>
      </c>
      <c r="W150">
        <f>Q150-V150</f>
        <v/>
      </c>
    </row>
    <row r="151">
      <c r="A151" t="inlineStr">
        <is>
          <t>2021-11-08</t>
        </is>
      </c>
      <c r="B151" t="inlineStr">
        <is>
          <t>CW</t>
        </is>
      </c>
      <c r="C151" t="n">
        <v>-9.269903771623644</v>
      </c>
      <c r="D151">
        <f>SUMPRODUCT(Risk_Inputs!B151:AJ151,Risk_Coefs!$B$2:$AJ$2)</f>
        <v/>
      </c>
      <c r="E151">
        <f>1/(1+EXP(-MAX(-25,MIN(25,D151))))</f>
        <v/>
      </c>
      <c r="F151">
        <f>SUMPRODUCT(Risk_Inputs!B151:AJ151,Risk_Coefs!$B$3:$AJ$3)</f>
        <v/>
      </c>
      <c r="G151">
        <f>MAX(0,F151)</f>
        <v/>
      </c>
      <c r="H151">
        <f>(SUMPRODUCT(--ISNUMBER($E$2:$E$800),--($E$2:$E$800&lt;E151))+(SUMPRODUCT(--ISNUMBER($E$2:$E$800),--($E$2:$E$800=E151))+1)/2)/COUNT($E$2:$E$800)</f>
        <v/>
      </c>
      <c r="I151">
        <f>(SUMPRODUCT(--ISNUMBER($G$2:$G$800),--($G$2:$G$800&lt;G151))+(SUMPRODUCT(--ISNUMBER($G$2:$G$800),--($G$2:$G$800=G151))+1)/2)/COUNT($G$2:$G$800)</f>
        <v/>
      </c>
      <c r="J151" t="n">
        <v>9.938476100332498</v>
      </c>
      <c r="K151" t="n">
        <v>4.978813559322034</v>
      </c>
      <c r="L151" t="n">
        <v>0.2330508474576319</v>
      </c>
      <c r="M151">
        <f>IF(OR(B151="NW",COUNT(Risk_Rank_Keys!B151)=0),0.5,(SUMPRODUCT(--ISNUMBER(Risk_Rank_Keys!$B$2:$B$800),--(Risk_Rank_Keys!$B$2:$B$800&lt;Risk_Rank_Keys!B151))+(SUMPRODUCT(--ISNUMBER(Risk_Rank_Keys!$B$2:$B$800),--(Risk_Rank_Keys!$B$2:$B$800=Risk_Rank_Keys!B151))+1)/2)/COUNT(Risk_Rank_Keys!$B$2:$B$800))</f>
        <v/>
      </c>
      <c r="N151">
        <f>IF(OR(B151="NW",COUNT(Risk_Rank_Keys!C151)=0),0.5,(SUMPRODUCT(--ISNUMBER(Risk_Rank_Keys!$C$2:$C$800),--(Risk_Rank_Keys!$C$2:$C$800&lt;Risk_Rank_Keys!C151))+(SUMPRODUCT(--ISNUMBER(Risk_Rank_Keys!$C$2:$C$800),--(Risk_Rank_Keys!$C$2:$C$800=Risk_Rank_Keys!C151))+1)/2)/COUNT(Risk_Rank_Keys!$C$2:$C$800))</f>
        <v/>
      </c>
      <c r="O151">
        <f>IF(OR(B151="NW",COUNT(Risk_Rank_Keys!D151)=0),0.5,(SUMPRODUCT(--ISNUMBER(Risk_Rank_Keys!$D$2:$D$800),--(Risk_Rank_Keys!$D$2:$D$800&lt;Risk_Rank_Keys!D151))+(SUMPRODUCT(--ISNUMBER(Risk_Rank_Keys!$D$2:$D$800),--(Risk_Rank_Keys!$D$2:$D$800=Risk_Rank_Keys!D151))+1)/2)/COUNT(Risk_Rank_Keys!$D$2:$D$800))</f>
        <v/>
      </c>
      <c r="P151">
        <f>AVERAGE(M151:O151)</f>
        <v/>
      </c>
      <c r="Q151">
        <f>0.4*H151+0.4*I151+0.2*P151</f>
        <v/>
      </c>
      <c r="R151">
        <f>PERCENTILE($Q$2:$Q$800,0.75)</f>
        <v/>
      </c>
      <c r="S151">
        <f>OR(Q151&gt;=R151,AND(B151="CW",COUNT(J151:L151)&lt;3))</f>
        <v/>
      </c>
      <c r="T151" t="n">
        <v>0.2880042420266295</v>
      </c>
      <c r="U151" t="n">
        <v>7.961309834666683</v>
      </c>
      <c r="V151" t="n">
        <v>0.5311434737401296</v>
      </c>
      <c r="W151">
        <f>Q151-V151</f>
        <v/>
      </c>
    </row>
    <row r="152">
      <c r="A152" t="inlineStr">
        <is>
          <t>2021-11-09</t>
        </is>
      </c>
      <c r="B152" t="inlineStr">
        <is>
          <t>CW</t>
        </is>
      </c>
      <c r="C152" t="n">
        <v>15.03312494107992</v>
      </c>
      <c r="D152">
        <f>SUMPRODUCT(Risk_Inputs!B152:AJ152,Risk_Coefs!$B$2:$AJ$2)</f>
        <v/>
      </c>
      <c r="E152">
        <f>1/(1+EXP(-MAX(-25,MIN(25,D152))))</f>
        <v/>
      </c>
      <c r="F152">
        <f>SUMPRODUCT(Risk_Inputs!B152:AJ152,Risk_Coefs!$B$3:$AJ$3)</f>
        <v/>
      </c>
      <c r="G152">
        <f>MAX(0,F152)</f>
        <v/>
      </c>
      <c r="H152">
        <f>(SUMPRODUCT(--ISNUMBER($E$2:$E$800),--($E$2:$E$800&lt;E152))+(SUMPRODUCT(--ISNUMBER($E$2:$E$800),--($E$2:$E$800=E152))+1)/2)/COUNT($E$2:$E$800)</f>
        <v/>
      </c>
      <c r="I152">
        <f>(SUMPRODUCT(--ISNUMBER($G$2:$G$800),--($G$2:$G$800&lt;G152))+(SUMPRODUCT(--ISNUMBER($G$2:$G$800),--($G$2:$G$800=G152))+1)/2)/COUNT($G$2:$G$800)</f>
        <v/>
      </c>
      <c r="J152" t="n">
        <v>11.03002156244656</v>
      </c>
      <c r="K152" t="n">
        <v>3.222557905337351</v>
      </c>
      <c r="L152" t="n">
        <v>0.1510574018126945</v>
      </c>
      <c r="M152">
        <f>IF(OR(B152="NW",COUNT(Risk_Rank_Keys!B152)=0),0.5,(SUMPRODUCT(--ISNUMBER(Risk_Rank_Keys!$B$2:$B$800),--(Risk_Rank_Keys!$B$2:$B$800&lt;Risk_Rank_Keys!B152))+(SUMPRODUCT(--ISNUMBER(Risk_Rank_Keys!$B$2:$B$800),--(Risk_Rank_Keys!$B$2:$B$800=Risk_Rank_Keys!B152))+1)/2)/COUNT(Risk_Rank_Keys!$B$2:$B$800))</f>
        <v/>
      </c>
      <c r="N152">
        <f>IF(OR(B152="NW",COUNT(Risk_Rank_Keys!C152)=0),0.5,(SUMPRODUCT(--ISNUMBER(Risk_Rank_Keys!$C$2:$C$800),--(Risk_Rank_Keys!$C$2:$C$800&lt;Risk_Rank_Keys!C152))+(SUMPRODUCT(--ISNUMBER(Risk_Rank_Keys!$C$2:$C$800),--(Risk_Rank_Keys!$C$2:$C$800=Risk_Rank_Keys!C152))+1)/2)/COUNT(Risk_Rank_Keys!$C$2:$C$800))</f>
        <v/>
      </c>
      <c r="O152">
        <f>IF(OR(B152="NW",COUNT(Risk_Rank_Keys!D152)=0),0.5,(SUMPRODUCT(--ISNUMBER(Risk_Rank_Keys!$D$2:$D$800),--(Risk_Rank_Keys!$D$2:$D$800&lt;Risk_Rank_Keys!D152))+(SUMPRODUCT(--ISNUMBER(Risk_Rank_Keys!$D$2:$D$800),--(Risk_Rank_Keys!$D$2:$D$800=Risk_Rank_Keys!D152))+1)/2)/COUNT(Risk_Rank_Keys!$D$2:$D$800))</f>
        <v/>
      </c>
      <c r="P152">
        <f>AVERAGE(M152:O152)</f>
        <v/>
      </c>
      <c r="Q152">
        <f>0.4*H152+0.4*I152+0.2*P152</f>
        <v/>
      </c>
      <c r="R152">
        <f>PERCENTILE($Q$2:$Q$800,0.75)</f>
        <v/>
      </c>
      <c r="S152">
        <f>OR(Q152&gt;=R152,AND(B152="CW",COUNT(J152:L152)&lt;3))</f>
        <v/>
      </c>
      <c r="T152" t="n">
        <v>0.2556916846535328</v>
      </c>
      <c r="U152" t="n">
        <v>3.740013905416798</v>
      </c>
      <c r="V152" t="n">
        <v>0.2120634288909486</v>
      </c>
      <c r="W152">
        <f>Q152-V152</f>
        <v/>
      </c>
    </row>
    <row r="153">
      <c r="A153" t="inlineStr">
        <is>
          <t>2021-11-10</t>
        </is>
      </c>
      <c r="B153" t="inlineStr">
        <is>
          <t>CW</t>
        </is>
      </c>
      <c r="C153" t="n">
        <v>3.742850169593884</v>
      </c>
      <c r="D153">
        <f>SUMPRODUCT(Risk_Inputs!B153:AJ153,Risk_Coefs!$B$2:$AJ$2)</f>
        <v/>
      </c>
      <c r="E153">
        <f>1/(1+EXP(-MAX(-25,MIN(25,D153))))</f>
        <v/>
      </c>
      <c r="F153">
        <f>SUMPRODUCT(Risk_Inputs!B153:AJ153,Risk_Coefs!$B$3:$AJ$3)</f>
        <v/>
      </c>
      <c r="G153">
        <f>MAX(0,F153)</f>
        <v/>
      </c>
      <c r="H153">
        <f>(SUMPRODUCT(--ISNUMBER($E$2:$E$800),--($E$2:$E$800&lt;E153))+(SUMPRODUCT(--ISNUMBER($E$2:$E$800),--($E$2:$E$800=E153))+1)/2)/COUNT($E$2:$E$800)</f>
        <v/>
      </c>
      <c r="I153">
        <f>(SUMPRODUCT(--ISNUMBER($G$2:$G$800),--($G$2:$G$800&lt;G153))+(SUMPRODUCT(--ISNUMBER($G$2:$G$800),--($G$2:$G$800=G153))+1)/2)/COUNT($G$2:$G$800)</f>
        <v/>
      </c>
      <c r="J153" t="n">
        <v>10.56254615888451</v>
      </c>
      <c r="K153" t="n">
        <v>1.768055139346746</v>
      </c>
      <c r="L153" t="n">
        <v>0.2397362900809144</v>
      </c>
      <c r="M153">
        <f>IF(OR(B153="NW",COUNT(Risk_Rank_Keys!B153)=0),0.5,(SUMPRODUCT(--ISNUMBER(Risk_Rank_Keys!$B$2:$B$800),--(Risk_Rank_Keys!$B$2:$B$800&lt;Risk_Rank_Keys!B153))+(SUMPRODUCT(--ISNUMBER(Risk_Rank_Keys!$B$2:$B$800),--(Risk_Rank_Keys!$B$2:$B$800=Risk_Rank_Keys!B153))+1)/2)/COUNT(Risk_Rank_Keys!$B$2:$B$800))</f>
        <v/>
      </c>
      <c r="N153">
        <f>IF(OR(B153="NW",COUNT(Risk_Rank_Keys!C153)=0),0.5,(SUMPRODUCT(--ISNUMBER(Risk_Rank_Keys!$C$2:$C$800),--(Risk_Rank_Keys!$C$2:$C$800&lt;Risk_Rank_Keys!C153))+(SUMPRODUCT(--ISNUMBER(Risk_Rank_Keys!$C$2:$C$800),--(Risk_Rank_Keys!$C$2:$C$800=Risk_Rank_Keys!C153))+1)/2)/COUNT(Risk_Rank_Keys!$C$2:$C$800))</f>
        <v/>
      </c>
      <c r="O153">
        <f>IF(OR(B153="NW",COUNT(Risk_Rank_Keys!D153)=0),0.5,(SUMPRODUCT(--ISNUMBER(Risk_Rank_Keys!$D$2:$D$800),--(Risk_Rank_Keys!$D$2:$D$800&lt;Risk_Rank_Keys!D153))+(SUMPRODUCT(--ISNUMBER(Risk_Rank_Keys!$D$2:$D$800),--(Risk_Rank_Keys!$D$2:$D$800=Risk_Rank_Keys!D153))+1)/2)/COUNT(Risk_Rank_Keys!$D$2:$D$800))</f>
        <v/>
      </c>
      <c r="P153">
        <f>AVERAGE(M153:O153)</f>
        <v/>
      </c>
      <c r="Q153">
        <f>0.4*H153+0.4*I153+0.2*P153</f>
        <v/>
      </c>
      <c r="R153">
        <f>PERCENTILE($Q$2:$Q$800,0.75)</f>
        <v/>
      </c>
      <c r="S153">
        <f>OR(Q153&gt;=R153,AND(B153="CW",COUNT(J153:L153)&lt;3))</f>
        <v/>
      </c>
      <c r="T153" t="n">
        <v>0.2992818786490579</v>
      </c>
      <c r="U153" t="n">
        <v>6.083264601012184</v>
      </c>
      <c r="V153" t="n">
        <v>0.422276799974864</v>
      </c>
      <c r="W153">
        <f>Q153-V153</f>
        <v/>
      </c>
    </row>
    <row r="154">
      <c r="A154" t="inlineStr">
        <is>
          <t>2021-11-11</t>
        </is>
      </c>
      <c r="B154" t="inlineStr">
        <is>
          <t>CW</t>
        </is>
      </c>
      <c r="C154" t="n">
        <v>1.738745499039148</v>
      </c>
      <c r="D154">
        <f>SUMPRODUCT(Risk_Inputs!B154:AJ154,Risk_Coefs!$B$2:$AJ$2)</f>
        <v/>
      </c>
      <c r="E154">
        <f>1/(1+EXP(-MAX(-25,MIN(25,D154))))</f>
        <v/>
      </c>
      <c r="F154">
        <f>SUMPRODUCT(Risk_Inputs!B154:AJ154,Risk_Coefs!$B$3:$AJ$3)</f>
        <v/>
      </c>
      <c r="G154">
        <f>MAX(0,F154)</f>
        <v/>
      </c>
      <c r="H154">
        <f>(SUMPRODUCT(--ISNUMBER($E$2:$E$800),--($E$2:$E$800&lt;E154))+(SUMPRODUCT(--ISNUMBER($E$2:$E$800),--($E$2:$E$800=E154))+1)/2)/COUNT($E$2:$E$800)</f>
        <v/>
      </c>
      <c r="I154">
        <f>(SUMPRODUCT(--ISNUMBER($G$2:$G$800),--($G$2:$G$800&lt;G154))+(SUMPRODUCT(--ISNUMBER($G$2:$G$800),--($G$2:$G$800=G154))+1)/2)/COUNT($G$2:$G$800)</f>
        <v/>
      </c>
      <c r="J154" t="n">
        <v>8.328064463116752</v>
      </c>
      <c r="K154" t="n">
        <v>2.464958917351389</v>
      </c>
      <c r="L154" t="n">
        <v>0.3866602223296265</v>
      </c>
      <c r="M154">
        <f>IF(OR(B154="NW",COUNT(Risk_Rank_Keys!B154)=0),0.5,(SUMPRODUCT(--ISNUMBER(Risk_Rank_Keys!$B$2:$B$800),--(Risk_Rank_Keys!$B$2:$B$800&lt;Risk_Rank_Keys!B154))+(SUMPRODUCT(--ISNUMBER(Risk_Rank_Keys!$B$2:$B$800),--(Risk_Rank_Keys!$B$2:$B$800=Risk_Rank_Keys!B154))+1)/2)/COUNT(Risk_Rank_Keys!$B$2:$B$800))</f>
        <v/>
      </c>
      <c r="N154">
        <f>IF(OR(B154="NW",COUNT(Risk_Rank_Keys!C154)=0),0.5,(SUMPRODUCT(--ISNUMBER(Risk_Rank_Keys!$C$2:$C$800),--(Risk_Rank_Keys!$C$2:$C$800&lt;Risk_Rank_Keys!C154))+(SUMPRODUCT(--ISNUMBER(Risk_Rank_Keys!$C$2:$C$800),--(Risk_Rank_Keys!$C$2:$C$800=Risk_Rank_Keys!C154))+1)/2)/COUNT(Risk_Rank_Keys!$C$2:$C$800))</f>
        <v/>
      </c>
      <c r="O154">
        <f>IF(OR(B154="NW",COUNT(Risk_Rank_Keys!D154)=0),0.5,(SUMPRODUCT(--ISNUMBER(Risk_Rank_Keys!$D$2:$D$800),--(Risk_Rank_Keys!$D$2:$D$800&lt;Risk_Rank_Keys!D154))+(SUMPRODUCT(--ISNUMBER(Risk_Rank_Keys!$D$2:$D$800),--(Risk_Rank_Keys!$D$2:$D$800=Risk_Rank_Keys!D154))+1)/2)/COUNT(Risk_Rank_Keys!$D$2:$D$800))</f>
        <v/>
      </c>
      <c r="P154">
        <f>AVERAGE(M154:O154)</f>
        <v/>
      </c>
      <c r="Q154">
        <f>0.4*H154+0.4*I154+0.2*P154</f>
        <v/>
      </c>
      <c r="R154">
        <f>PERCENTILE($Q$2:$Q$800,0.75)</f>
        <v/>
      </c>
      <c r="S154">
        <f>OR(Q154&gt;=R154,AND(B154="CW",COUNT(J154:L154)&lt;3))</f>
        <v/>
      </c>
      <c r="T154" t="n">
        <v>0.2525294525425276</v>
      </c>
      <c r="U154" t="n">
        <v>7.530982947991332</v>
      </c>
      <c r="V154" t="n">
        <v>0.4189387129076385</v>
      </c>
      <c r="W154">
        <f>Q154-V154</f>
        <v/>
      </c>
    </row>
    <row r="155">
      <c r="A155" t="inlineStr">
        <is>
          <t>2021-11-16</t>
        </is>
      </c>
      <c r="B155" t="inlineStr">
        <is>
          <t>CW</t>
        </is>
      </c>
      <c r="C155" t="n">
        <v>19.41670472224138</v>
      </c>
      <c r="D155">
        <f>SUMPRODUCT(Risk_Inputs!B155:AJ155,Risk_Coefs!$B$2:$AJ$2)</f>
        <v/>
      </c>
      <c r="E155">
        <f>1/(1+EXP(-MAX(-25,MIN(25,D155))))</f>
        <v/>
      </c>
      <c r="F155">
        <f>SUMPRODUCT(Risk_Inputs!B155:AJ155,Risk_Coefs!$B$3:$AJ$3)</f>
        <v/>
      </c>
      <c r="G155">
        <f>MAX(0,F155)</f>
        <v/>
      </c>
      <c r="H155">
        <f>(SUMPRODUCT(--ISNUMBER($E$2:$E$800),--($E$2:$E$800&lt;E155))+(SUMPRODUCT(--ISNUMBER($E$2:$E$800),--($E$2:$E$800=E155))+1)/2)/COUNT($E$2:$E$800)</f>
        <v/>
      </c>
      <c r="I155">
        <f>(SUMPRODUCT(--ISNUMBER($G$2:$G$800),--($G$2:$G$800&lt;G155))+(SUMPRODUCT(--ISNUMBER($G$2:$G$800),--($G$2:$G$800=G155))+1)/2)/COUNT($G$2:$G$800)</f>
        <v/>
      </c>
      <c r="J155" t="n">
        <v>26.09293502721121</v>
      </c>
      <c r="K155" t="n">
        <v>27.5142786193196</v>
      </c>
      <c r="L155" t="n">
        <v>0.4718152470821895</v>
      </c>
      <c r="M155">
        <f>IF(OR(B155="NW",COUNT(Risk_Rank_Keys!B155)=0),0.5,(SUMPRODUCT(--ISNUMBER(Risk_Rank_Keys!$B$2:$B$800),--(Risk_Rank_Keys!$B$2:$B$800&lt;Risk_Rank_Keys!B155))+(SUMPRODUCT(--ISNUMBER(Risk_Rank_Keys!$B$2:$B$800),--(Risk_Rank_Keys!$B$2:$B$800=Risk_Rank_Keys!B155))+1)/2)/COUNT(Risk_Rank_Keys!$B$2:$B$800))</f>
        <v/>
      </c>
      <c r="N155">
        <f>IF(OR(B155="NW",COUNT(Risk_Rank_Keys!C155)=0),0.5,(SUMPRODUCT(--ISNUMBER(Risk_Rank_Keys!$C$2:$C$800),--(Risk_Rank_Keys!$C$2:$C$800&lt;Risk_Rank_Keys!C155))+(SUMPRODUCT(--ISNUMBER(Risk_Rank_Keys!$C$2:$C$800),--(Risk_Rank_Keys!$C$2:$C$800=Risk_Rank_Keys!C155))+1)/2)/COUNT(Risk_Rank_Keys!$C$2:$C$800))</f>
        <v/>
      </c>
      <c r="O155">
        <f>IF(OR(B155="NW",COUNT(Risk_Rank_Keys!D155)=0),0.5,(SUMPRODUCT(--ISNUMBER(Risk_Rank_Keys!$D$2:$D$800),--(Risk_Rank_Keys!$D$2:$D$800&lt;Risk_Rank_Keys!D155))+(SUMPRODUCT(--ISNUMBER(Risk_Rank_Keys!$D$2:$D$800),--(Risk_Rank_Keys!$D$2:$D$800=Risk_Rank_Keys!D155))+1)/2)/COUNT(Risk_Rank_Keys!$D$2:$D$800))</f>
        <v/>
      </c>
      <c r="P155">
        <f>AVERAGE(M155:O155)</f>
        <v/>
      </c>
      <c r="Q155">
        <f>0.4*H155+0.4*I155+0.2*P155</f>
        <v/>
      </c>
      <c r="R155">
        <f>PERCENTILE($Q$2:$Q$800,0.75)</f>
        <v/>
      </c>
      <c r="S155">
        <f>OR(Q155&gt;=R155,AND(B155="CW",COUNT(J155:L155)&lt;3))</f>
        <v/>
      </c>
      <c r="T155" t="n">
        <v>0.1039092808776372</v>
      </c>
      <c r="U155" t="n">
        <v>0</v>
      </c>
      <c r="V155" t="n">
        <v>0.1877122088337991</v>
      </c>
      <c r="W155">
        <f>Q155-V155</f>
        <v/>
      </c>
    </row>
    <row r="156">
      <c r="A156" t="inlineStr">
        <is>
          <t>2021-11-17</t>
        </is>
      </c>
      <c r="B156" t="inlineStr">
        <is>
          <t>CW</t>
        </is>
      </c>
      <c r="C156" t="n">
        <v>22.95769376196113</v>
      </c>
      <c r="D156">
        <f>SUMPRODUCT(Risk_Inputs!B156:AJ156,Risk_Coefs!$B$2:$AJ$2)</f>
        <v/>
      </c>
      <c r="E156">
        <f>1/(1+EXP(-MAX(-25,MIN(25,D156))))</f>
        <v/>
      </c>
      <c r="F156">
        <f>SUMPRODUCT(Risk_Inputs!B156:AJ156,Risk_Coefs!$B$3:$AJ$3)</f>
        <v/>
      </c>
      <c r="G156">
        <f>MAX(0,F156)</f>
        <v/>
      </c>
      <c r="H156">
        <f>(SUMPRODUCT(--ISNUMBER($E$2:$E$800),--($E$2:$E$800&lt;E156))+(SUMPRODUCT(--ISNUMBER($E$2:$E$800),--($E$2:$E$800=E156))+1)/2)/COUNT($E$2:$E$800)</f>
        <v/>
      </c>
      <c r="I156">
        <f>(SUMPRODUCT(--ISNUMBER($G$2:$G$800),--($G$2:$G$800&lt;G156))+(SUMPRODUCT(--ISNUMBER($G$2:$G$800),--($G$2:$G$800=G156))+1)/2)/COUNT($G$2:$G$800)</f>
        <v/>
      </c>
      <c r="J156" t="n">
        <v>5.856286723800026</v>
      </c>
      <c r="K156" t="n">
        <v>2.572245157192767</v>
      </c>
      <c r="L156" t="n">
        <v>0.285805017465864</v>
      </c>
      <c r="M156">
        <f>IF(OR(B156="NW",COUNT(Risk_Rank_Keys!B156)=0),0.5,(SUMPRODUCT(--ISNUMBER(Risk_Rank_Keys!$B$2:$B$800),--(Risk_Rank_Keys!$B$2:$B$800&lt;Risk_Rank_Keys!B156))+(SUMPRODUCT(--ISNUMBER(Risk_Rank_Keys!$B$2:$B$800),--(Risk_Rank_Keys!$B$2:$B$800=Risk_Rank_Keys!B156))+1)/2)/COUNT(Risk_Rank_Keys!$B$2:$B$800))</f>
        <v/>
      </c>
      <c r="N156">
        <f>IF(OR(B156="NW",COUNT(Risk_Rank_Keys!C156)=0),0.5,(SUMPRODUCT(--ISNUMBER(Risk_Rank_Keys!$C$2:$C$800),--(Risk_Rank_Keys!$C$2:$C$800&lt;Risk_Rank_Keys!C156))+(SUMPRODUCT(--ISNUMBER(Risk_Rank_Keys!$C$2:$C$800),--(Risk_Rank_Keys!$C$2:$C$800=Risk_Rank_Keys!C156))+1)/2)/COUNT(Risk_Rank_Keys!$C$2:$C$800))</f>
        <v/>
      </c>
      <c r="O156">
        <f>IF(OR(B156="NW",COUNT(Risk_Rank_Keys!D156)=0),0.5,(SUMPRODUCT(--ISNUMBER(Risk_Rank_Keys!$D$2:$D$800),--(Risk_Rank_Keys!$D$2:$D$800&lt;Risk_Rank_Keys!D156))+(SUMPRODUCT(--ISNUMBER(Risk_Rank_Keys!$D$2:$D$800),--(Risk_Rank_Keys!$D$2:$D$800=Risk_Rank_Keys!D156))+1)/2)/COUNT(Risk_Rank_Keys!$D$2:$D$800))</f>
        <v/>
      </c>
      <c r="P156">
        <f>AVERAGE(M156:O156)</f>
        <v/>
      </c>
      <c r="Q156">
        <f>0.4*H156+0.4*I156+0.2*P156</f>
        <v/>
      </c>
      <c r="R156">
        <f>PERCENTILE($Q$2:$Q$800,0.75)</f>
        <v/>
      </c>
      <c r="S156">
        <f>OR(Q156&gt;=R156,AND(B156="CW",COUNT(J156:L156)&lt;3))</f>
        <v/>
      </c>
      <c r="T156" t="n">
        <v>0.2971471276734383</v>
      </c>
      <c r="U156" t="n">
        <v>7.334437157723424</v>
      </c>
      <c r="V156" t="n">
        <v>0.4918926435822556</v>
      </c>
      <c r="W156">
        <f>Q156-V156</f>
        <v/>
      </c>
    </row>
    <row r="157">
      <c r="A157" t="inlineStr">
        <is>
          <t>2021-11-18</t>
        </is>
      </c>
      <c r="B157" t="inlineStr">
        <is>
          <t>CW</t>
        </is>
      </c>
      <c r="C157" t="n">
        <v>-36.95302600748531</v>
      </c>
      <c r="D157">
        <f>SUMPRODUCT(Risk_Inputs!B157:AJ157,Risk_Coefs!$B$2:$AJ$2)</f>
        <v/>
      </c>
      <c r="E157">
        <f>1/(1+EXP(-MAX(-25,MIN(25,D157))))</f>
        <v/>
      </c>
      <c r="F157">
        <f>SUMPRODUCT(Risk_Inputs!B157:AJ157,Risk_Coefs!$B$3:$AJ$3)</f>
        <v/>
      </c>
      <c r="G157">
        <f>MAX(0,F157)</f>
        <v/>
      </c>
      <c r="H157">
        <f>(SUMPRODUCT(--ISNUMBER($E$2:$E$800),--($E$2:$E$800&lt;E157))+(SUMPRODUCT(--ISNUMBER($E$2:$E$800),--($E$2:$E$800=E157))+1)/2)/COUNT($E$2:$E$800)</f>
        <v/>
      </c>
      <c r="I157">
        <f>(SUMPRODUCT(--ISNUMBER($G$2:$G$800),--($G$2:$G$800&lt;G157))+(SUMPRODUCT(--ISNUMBER($G$2:$G$800),--($G$2:$G$800=G157))+1)/2)/COUNT($G$2:$G$800)</f>
        <v/>
      </c>
      <c r="J157" t="n">
        <v>10.3243232685113</v>
      </c>
      <c r="K157" t="n">
        <v>5.431472081218282</v>
      </c>
      <c r="L157" t="n">
        <v>0.3553299492385873</v>
      </c>
      <c r="M157">
        <f>IF(OR(B157="NW",COUNT(Risk_Rank_Keys!B157)=0),0.5,(SUMPRODUCT(--ISNUMBER(Risk_Rank_Keys!$B$2:$B$800),--(Risk_Rank_Keys!$B$2:$B$800&lt;Risk_Rank_Keys!B157))+(SUMPRODUCT(--ISNUMBER(Risk_Rank_Keys!$B$2:$B$800),--(Risk_Rank_Keys!$B$2:$B$800=Risk_Rank_Keys!B157))+1)/2)/COUNT(Risk_Rank_Keys!$B$2:$B$800))</f>
        <v/>
      </c>
      <c r="N157">
        <f>IF(OR(B157="NW",COUNT(Risk_Rank_Keys!C157)=0),0.5,(SUMPRODUCT(--ISNUMBER(Risk_Rank_Keys!$C$2:$C$800),--(Risk_Rank_Keys!$C$2:$C$800&lt;Risk_Rank_Keys!C157))+(SUMPRODUCT(--ISNUMBER(Risk_Rank_Keys!$C$2:$C$800),--(Risk_Rank_Keys!$C$2:$C$800=Risk_Rank_Keys!C157))+1)/2)/COUNT(Risk_Rank_Keys!$C$2:$C$800))</f>
        <v/>
      </c>
      <c r="O157">
        <f>IF(OR(B157="NW",COUNT(Risk_Rank_Keys!D157)=0),0.5,(SUMPRODUCT(--ISNUMBER(Risk_Rank_Keys!$D$2:$D$800),--(Risk_Rank_Keys!$D$2:$D$800&lt;Risk_Rank_Keys!D157))+(SUMPRODUCT(--ISNUMBER(Risk_Rank_Keys!$D$2:$D$800),--(Risk_Rank_Keys!$D$2:$D$800=Risk_Rank_Keys!D157))+1)/2)/COUNT(Risk_Rank_Keys!$D$2:$D$800))</f>
        <v/>
      </c>
      <c r="P157">
        <f>AVERAGE(M157:O157)</f>
        <v/>
      </c>
      <c r="Q157">
        <f>0.4*H157+0.4*I157+0.2*P157</f>
        <v/>
      </c>
      <c r="R157">
        <f>PERCENTILE($Q$2:$Q$800,0.75)</f>
        <v/>
      </c>
      <c r="S157">
        <f>OR(Q157&gt;=R157,AND(B157="CW",COUNT(J157:L157)&lt;3))</f>
        <v/>
      </c>
      <c r="T157" t="n">
        <v>0.2776551638216231</v>
      </c>
      <c r="U157" t="n">
        <v>8.5932102074187</v>
      </c>
      <c r="V157" t="n">
        <v>0.5661676118858475</v>
      </c>
      <c r="W157">
        <f>Q157-V157</f>
        <v/>
      </c>
    </row>
    <row r="158">
      <c r="A158" t="inlineStr">
        <is>
          <t>2021-11-22</t>
        </is>
      </c>
      <c r="B158" t="inlineStr">
        <is>
          <t>CW</t>
        </is>
      </c>
      <c r="C158" t="n">
        <v>-24.35165119524854</v>
      </c>
      <c r="D158">
        <f>SUMPRODUCT(Risk_Inputs!B158:AJ158,Risk_Coefs!$B$2:$AJ$2)</f>
        <v/>
      </c>
      <c r="E158">
        <f>1/(1+EXP(-MAX(-25,MIN(25,D158))))</f>
        <v/>
      </c>
      <c r="F158">
        <f>SUMPRODUCT(Risk_Inputs!B158:AJ158,Risk_Coefs!$B$3:$AJ$3)</f>
        <v/>
      </c>
      <c r="G158">
        <f>MAX(0,F158)</f>
        <v/>
      </c>
      <c r="H158">
        <f>(SUMPRODUCT(--ISNUMBER($E$2:$E$800),--($E$2:$E$800&lt;E158))+(SUMPRODUCT(--ISNUMBER($E$2:$E$800),--($E$2:$E$800=E158))+1)/2)/COUNT($E$2:$E$800)</f>
        <v/>
      </c>
      <c r="I158">
        <f>(SUMPRODUCT(--ISNUMBER($G$2:$G$800),--($G$2:$G$800&lt;G158))+(SUMPRODUCT(--ISNUMBER($G$2:$G$800),--($G$2:$G$800=G158))+1)/2)/COUNT($G$2:$G$800)</f>
        <v/>
      </c>
      <c r="J158" t="n">
        <v>17.69786609461566</v>
      </c>
      <c r="K158" t="n">
        <v>2.773556231003022</v>
      </c>
      <c r="L158" t="n">
        <v>0.455927051671739</v>
      </c>
      <c r="M158">
        <f>IF(OR(B158="NW",COUNT(Risk_Rank_Keys!B158)=0),0.5,(SUMPRODUCT(--ISNUMBER(Risk_Rank_Keys!$B$2:$B$800),--(Risk_Rank_Keys!$B$2:$B$800&lt;Risk_Rank_Keys!B158))+(SUMPRODUCT(--ISNUMBER(Risk_Rank_Keys!$B$2:$B$800),--(Risk_Rank_Keys!$B$2:$B$800=Risk_Rank_Keys!B158))+1)/2)/COUNT(Risk_Rank_Keys!$B$2:$B$800))</f>
        <v/>
      </c>
      <c r="N158">
        <f>IF(OR(B158="NW",COUNT(Risk_Rank_Keys!C158)=0),0.5,(SUMPRODUCT(--ISNUMBER(Risk_Rank_Keys!$C$2:$C$800),--(Risk_Rank_Keys!$C$2:$C$800&lt;Risk_Rank_Keys!C158))+(SUMPRODUCT(--ISNUMBER(Risk_Rank_Keys!$C$2:$C$800),--(Risk_Rank_Keys!$C$2:$C$800=Risk_Rank_Keys!C158))+1)/2)/COUNT(Risk_Rank_Keys!$C$2:$C$800))</f>
        <v/>
      </c>
      <c r="O158">
        <f>IF(OR(B158="NW",COUNT(Risk_Rank_Keys!D158)=0),0.5,(SUMPRODUCT(--ISNUMBER(Risk_Rank_Keys!$D$2:$D$800),--(Risk_Rank_Keys!$D$2:$D$800&lt;Risk_Rank_Keys!D158))+(SUMPRODUCT(--ISNUMBER(Risk_Rank_Keys!$D$2:$D$800),--(Risk_Rank_Keys!$D$2:$D$800=Risk_Rank_Keys!D158))+1)/2)/COUNT(Risk_Rank_Keys!$D$2:$D$800))</f>
        <v/>
      </c>
      <c r="P158">
        <f>AVERAGE(M158:O158)</f>
        <v/>
      </c>
      <c r="Q158">
        <f>0.4*H158+0.4*I158+0.2*P158</f>
        <v/>
      </c>
      <c r="R158">
        <f>PERCENTILE($Q$2:$Q$800,0.75)</f>
        <v/>
      </c>
      <c r="S158">
        <f>OR(Q158&gt;=R158,AND(B158="CW",COUNT(J158:L158)&lt;3))</f>
        <v/>
      </c>
      <c r="T158" t="n">
        <v>0.2441357483811824</v>
      </c>
      <c r="U158" t="n">
        <v>5.798875351823551</v>
      </c>
      <c r="V158" t="n">
        <v>0.3344424603278505</v>
      </c>
      <c r="W158">
        <f>Q158-V158</f>
        <v/>
      </c>
    </row>
    <row r="159">
      <c r="A159" t="inlineStr">
        <is>
          <t>2021-11-23</t>
        </is>
      </c>
      <c r="B159" t="inlineStr">
        <is>
          <t>CW</t>
        </is>
      </c>
      <c r="C159" t="n">
        <v>14.29326303675225</v>
      </c>
      <c r="D159">
        <f>SUMPRODUCT(Risk_Inputs!B159:AJ159,Risk_Coefs!$B$2:$AJ$2)</f>
        <v/>
      </c>
      <c r="E159">
        <f>1/(1+EXP(-MAX(-25,MIN(25,D159))))</f>
        <v/>
      </c>
      <c r="F159">
        <f>SUMPRODUCT(Risk_Inputs!B159:AJ159,Risk_Coefs!$B$3:$AJ$3)</f>
        <v/>
      </c>
      <c r="G159">
        <f>MAX(0,F159)</f>
        <v/>
      </c>
      <c r="H159">
        <f>(SUMPRODUCT(--ISNUMBER($E$2:$E$800),--($E$2:$E$800&lt;E159))+(SUMPRODUCT(--ISNUMBER($E$2:$E$800),--($E$2:$E$800=E159))+1)/2)/COUNT($E$2:$E$800)</f>
        <v/>
      </c>
      <c r="I159">
        <f>(SUMPRODUCT(--ISNUMBER($G$2:$G$800),--($G$2:$G$800&lt;G159))+(SUMPRODUCT(--ISNUMBER($G$2:$G$800),--($G$2:$G$800=G159))+1)/2)/COUNT($G$2:$G$800)</f>
        <v/>
      </c>
      <c r="J159" t="n">
        <v>17.6018682836882</v>
      </c>
      <c r="K159" t="n">
        <v>1.854140914709518</v>
      </c>
      <c r="L159" t="n">
        <v>0.1854140914709529</v>
      </c>
      <c r="M159">
        <f>IF(OR(B159="NW",COUNT(Risk_Rank_Keys!B159)=0),0.5,(SUMPRODUCT(--ISNUMBER(Risk_Rank_Keys!$B$2:$B$800),--(Risk_Rank_Keys!$B$2:$B$800&lt;Risk_Rank_Keys!B159))+(SUMPRODUCT(--ISNUMBER(Risk_Rank_Keys!$B$2:$B$800),--(Risk_Rank_Keys!$B$2:$B$800=Risk_Rank_Keys!B159))+1)/2)/COUNT(Risk_Rank_Keys!$B$2:$B$800))</f>
        <v/>
      </c>
      <c r="N159">
        <f>IF(OR(B159="NW",COUNT(Risk_Rank_Keys!C159)=0),0.5,(SUMPRODUCT(--ISNUMBER(Risk_Rank_Keys!$C$2:$C$800),--(Risk_Rank_Keys!$C$2:$C$800&lt;Risk_Rank_Keys!C159))+(SUMPRODUCT(--ISNUMBER(Risk_Rank_Keys!$C$2:$C$800),--(Risk_Rank_Keys!$C$2:$C$800=Risk_Rank_Keys!C159))+1)/2)/COUNT(Risk_Rank_Keys!$C$2:$C$800))</f>
        <v/>
      </c>
      <c r="O159">
        <f>IF(OR(B159="NW",COUNT(Risk_Rank_Keys!D159)=0),0.5,(SUMPRODUCT(--ISNUMBER(Risk_Rank_Keys!$D$2:$D$800),--(Risk_Rank_Keys!$D$2:$D$800&lt;Risk_Rank_Keys!D159))+(SUMPRODUCT(--ISNUMBER(Risk_Rank_Keys!$D$2:$D$800),--(Risk_Rank_Keys!$D$2:$D$800=Risk_Rank_Keys!D159))+1)/2)/COUNT(Risk_Rank_Keys!$D$2:$D$800))</f>
        <v/>
      </c>
      <c r="P159">
        <f>AVERAGE(M159:O159)</f>
        <v/>
      </c>
      <c r="Q159">
        <f>0.4*H159+0.4*I159+0.2*P159</f>
        <v/>
      </c>
      <c r="R159">
        <f>PERCENTILE($Q$2:$Q$800,0.75)</f>
        <v/>
      </c>
      <c r="S159">
        <f>OR(Q159&gt;=R159,AND(B159="CW",COUNT(J159:L159)&lt;3))</f>
        <v/>
      </c>
      <c r="T159" t="n">
        <v>0.2577767795806525</v>
      </c>
      <c r="U159" t="n">
        <v>4.04189606908865</v>
      </c>
      <c r="V159" t="n">
        <v>0.2311948513047167</v>
      </c>
      <c r="W159">
        <f>Q159-V159</f>
        <v/>
      </c>
    </row>
    <row r="160">
      <c r="A160" t="inlineStr">
        <is>
          <t>2021-11-24</t>
        </is>
      </c>
      <c r="B160" t="inlineStr">
        <is>
          <t>CW</t>
        </is>
      </c>
      <c r="C160" t="n">
        <v>54.32540755925511</v>
      </c>
      <c r="D160">
        <f>SUMPRODUCT(Risk_Inputs!B160:AJ160,Risk_Coefs!$B$2:$AJ$2)</f>
        <v/>
      </c>
      <c r="E160">
        <f>1/(1+EXP(-MAX(-25,MIN(25,D160))))</f>
        <v/>
      </c>
      <c r="F160">
        <f>SUMPRODUCT(Risk_Inputs!B160:AJ160,Risk_Coefs!$B$3:$AJ$3)</f>
        <v/>
      </c>
      <c r="G160">
        <f>MAX(0,F160)</f>
        <v/>
      </c>
      <c r="H160">
        <f>(SUMPRODUCT(--ISNUMBER($E$2:$E$800),--($E$2:$E$800&lt;E160))+(SUMPRODUCT(--ISNUMBER($E$2:$E$800),--($E$2:$E$800=E160))+1)/2)/COUNT($E$2:$E$800)</f>
        <v/>
      </c>
      <c r="I160">
        <f>(SUMPRODUCT(--ISNUMBER($G$2:$G$800),--($G$2:$G$800&lt;G160))+(SUMPRODUCT(--ISNUMBER($G$2:$G$800),--($G$2:$G$800=G160))+1)/2)/COUNT($G$2:$G$800)</f>
        <v/>
      </c>
      <c r="J160" t="n">
        <v>9.071743800262714</v>
      </c>
      <c r="K160" t="n">
        <v>2.654600301659129</v>
      </c>
      <c r="L160" t="n">
        <v>0.3619909502262409</v>
      </c>
      <c r="M160">
        <f>IF(OR(B160="NW",COUNT(Risk_Rank_Keys!B160)=0),0.5,(SUMPRODUCT(--ISNUMBER(Risk_Rank_Keys!$B$2:$B$800),--(Risk_Rank_Keys!$B$2:$B$800&lt;Risk_Rank_Keys!B160))+(SUMPRODUCT(--ISNUMBER(Risk_Rank_Keys!$B$2:$B$800),--(Risk_Rank_Keys!$B$2:$B$800=Risk_Rank_Keys!B160))+1)/2)/COUNT(Risk_Rank_Keys!$B$2:$B$800))</f>
        <v/>
      </c>
      <c r="N160">
        <f>IF(OR(B160="NW",COUNT(Risk_Rank_Keys!C160)=0),0.5,(SUMPRODUCT(--ISNUMBER(Risk_Rank_Keys!$C$2:$C$800),--(Risk_Rank_Keys!$C$2:$C$800&lt;Risk_Rank_Keys!C160))+(SUMPRODUCT(--ISNUMBER(Risk_Rank_Keys!$C$2:$C$800),--(Risk_Rank_Keys!$C$2:$C$800=Risk_Rank_Keys!C160))+1)/2)/COUNT(Risk_Rank_Keys!$C$2:$C$800))</f>
        <v/>
      </c>
      <c r="O160">
        <f>IF(OR(B160="NW",COUNT(Risk_Rank_Keys!D160)=0),0.5,(SUMPRODUCT(--ISNUMBER(Risk_Rank_Keys!$D$2:$D$800),--(Risk_Rank_Keys!$D$2:$D$800&lt;Risk_Rank_Keys!D160))+(SUMPRODUCT(--ISNUMBER(Risk_Rank_Keys!$D$2:$D$800),--(Risk_Rank_Keys!$D$2:$D$800=Risk_Rank_Keys!D160))+1)/2)/COUNT(Risk_Rank_Keys!$D$2:$D$800))</f>
        <v/>
      </c>
      <c r="P160">
        <f>AVERAGE(M160:O160)</f>
        <v/>
      </c>
      <c r="Q160">
        <f>0.4*H160+0.4*I160+0.2*P160</f>
        <v/>
      </c>
      <c r="R160">
        <f>PERCENTILE($Q$2:$Q$800,0.75)</f>
        <v/>
      </c>
      <c r="S160">
        <f>OR(Q160&gt;=R160,AND(B160="CW",COUNT(J160:L160)&lt;3))</f>
        <v/>
      </c>
      <c r="T160" t="n">
        <v>0.2595667055435356</v>
      </c>
      <c r="U160" t="n">
        <v>4.750961314606038</v>
      </c>
      <c r="V160" t="n">
        <v>0.2887691436704062</v>
      </c>
      <c r="W160">
        <f>Q160-V160</f>
        <v/>
      </c>
    </row>
    <row r="161">
      <c r="A161" t="inlineStr">
        <is>
          <t>2021-11-25</t>
        </is>
      </c>
      <c r="B161" t="inlineStr">
        <is>
          <t>CW</t>
        </is>
      </c>
      <c r="C161" t="n">
        <v>2.650532161441087</v>
      </c>
      <c r="D161">
        <f>SUMPRODUCT(Risk_Inputs!B161:AJ161,Risk_Coefs!$B$2:$AJ$2)</f>
        <v/>
      </c>
      <c r="E161">
        <f>1/(1+EXP(-MAX(-25,MIN(25,D161))))</f>
        <v/>
      </c>
      <c r="F161">
        <f>SUMPRODUCT(Risk_Inputs!B161:AJ161,Risk_Coefs!$B$3:$AJ$3)</f>
        <v/>
      </c>
      <c r="G161">
        <f>MAX(0,F161)</f>
        <v/>
      </c>
      <c r="H161">
        <f>(SUMPRODUCT(--ISNUMBER($E$2:$E$800),--($E$2:$E$800&lt;E161))+(SUMPRODUCT(--ISNUMBER($E$2:$E$800),--($E$2:$E$800=E161))+1)/2)/COUNT($E$2:$E$800)</f>
        <v/>
      </c>
      <c r="I161">
        <f>(SUMPRODUCT(--ISNUMBER($G$2:$G$800),--($G$2:$G$800&lt;G161))+(SUMPRODUCT(--ISNUMBER($G$2:$G$800),--($G$2:$G$800=G161))+1)/2)/COUNT($G$2:$G$800)</f>
        <v/>
      </c>
      <c r="J161" t="n">
        <v>22.2601213090336</v>
      </c>
      <c r="K161" t="n">
        <v>31.28444256040695</v>
      </c>
      <c r="L161" t="n">
        <v>0.9325985587113136</v>
      </c>
      <c r="M161">
        <f>IF(OR(B161="NW",COUNT(Risk_Rank_Keys!B161)=0),0.5,(SUMPRODUCT(--ISNUMBER(Risk_Rank_Keys!$B$2:$B$800),--(Risk_Rank_Keys!$B$2:$B$800&lt;Risk_Rank_Keys!B161))+(SUMPRODUCT(--ISNUMBER(Risk_Rank_Keys!$B$2:$B$800),--(Risk_Rank_Keys!$B$2:$B$800=Risk_Rank_Keys!B161))+1)/2)/COUNT(Risk_Rank_Keys!$B$2:$B$800))</f>
        <v/>
      </c>
      <c r="N161">
        <f>IF(OR(B161="NW",COUNT(Risk_Rank_Keys!C161)=0),0.5,(SUMPRODUCT(--ISNUMBER(Risk_Rank_Keys!$C$2:$C$800),--(Risk_Rank_Keys!$C$2:$C$800&lt;Risk_Rank_Keys!C161))+(SUMPRODUCT(--ISNUMBER(Risk_Rank_Keys!$C$2:$C$800),--(Risk_Rank_Keys!$C$2:$C$800=Risk_Rank_Keys!C161))+1)/2)/COUNT(Risk_Rank_Keys!$C$2:$C$800))</f>
        <v/>
      </c>
      <c r="O161">
        <f>IF(OR(B161="NW",COUNT(Risk_Rank_Keys!D161)=0),0.5,(SUMPRODUCT(--ISNUMBER(Risk_Rank_Keys!$D$2:$D$800),--(Risk_Rank_Keys!$D$2:$D$800&lt;Risk_Rank_Keys!D161))+(SUMPRODUCT(--ISNUMBER(Risk_Rank_Keys!$D$2:$D$800),--(Risk_Rank_Keys!$D$2:$D$800=Risk_Rank_Keys!D161))+1)/2)/COUNT(Risk_Rank_Keys!$D$2:$D$800))</f>
        <v/>
      </c>
      <c r="P161">
        <f>AVERAGE(M161:O161)</f>
        <v/>
      </c>
      <c r="Q161">
        <f>0.4*H161+0.4*I161+0.2*P161</f>
        <v/>
      </c>
      <c r="R161">
        <f>PERCENTILE($Q$2:$Q$800,0.75)</f>
        <v/>
      </c>
      <c r="S161">
        <f>OR(Q161&gt;=R161,AND(B161="CW",COUNT(J161:L161)&lt;3))</f>
        <v/>
      </c>
      <c r="T161" t="n">
        <v>0.1477059518858275</v>
      </c>
      <c r="U161" t="n">
        <v>4.114353201771296</v>
      </c>
      <c r="V161" t="n">
        <v>0.2197666888352421</v>
      </c>
      <c r="W161">
        <f>Q161-V161</f>
        <v/>
      </c>
    </row>
    <row r="162">
      <c r="A162" t="inlineStr">
        <is>
          <t>2021-11-26</t>
        </is>
      </c>
      <c r="B162" t="inlineStr">
        <is>
          <t>CW</t>
        </is>
      </c>
      <c r="C162" t="n">
        <v>32.8187778410953</v>
      </c>
      <c r="D162">
        <f>SUMPRODUCT(Risk_Inputs!B162:AJ162,Risk_Coefs!$B$2:$AJ$2)</f>
        <v/>
      </c>
      <c r="E162">
        <f>1/(1+EXP(-MAX(-25,MIN(25,D162))))</f>
        <v/>
      </c>
      <c r="F162">
        <f>SUMPRODUCT(Risk_Inputs!B162:AJ162,Risk_Coefs!$B$3:$AJ$3)</f>
        <v/>
      </c>
      <c r="G162">
        <f>MAX(0,F162)</f>
        <v/>
      </c>
      <c r="H162">
        <f>(SUMPRODUCT(--ISNUMBER($E$2:$E$800),--($E$2:$E$800&lt;E162))+(SUMPRODUCT(--ISNUMBER($E$2:$E$800),--($E$2:$E$800=E162))+1)/2)/COUNT($E$2:$E$800)</f>
        <v/>
      </c>
      <c r="I162">
        <f>(SUMPRODUCT(--ISNUMBER($G$2:$G$800),--($G$2:$G$800&lt;G162))+(SUMPRODUCT(--ISNUMBER($G$2:$G$800),--($G$2:$G$800=G162))+1)/2)/COUNT($G$2:$G$800)</f>
        <v/>
      </c>
      <c r="J162" t="n">
        <v>20.80393803254144</v>
      </c>
      <c r="K162" t="n">
        <v>5.554617592436262</v>
      </c>
      <c r="L162" t="n">
        <v>0.2870167145027839</v>
      </c>
      <c r="M162">
        <f>IF(OR(B162="NW",COUNT(Risk_Rank_Keys!B162)=0),0.5,(SUMPRODUCT(--ISNUMBER(Risk_Rank_Keys!$B$2:$B$800),--(Risk_Rank_Keys!$B$2:$B$800&lt;Risk_Rank_Keys!B162))+(SUMPRODUCT(--ISNUMBER(Risk_Rank_Keys!$B$2:$B$800),--(Risk_Rank_Keys!$B$2:$B$800=Risk_Rank_Keys!B162))+1)/2)/COUNT(Risk_Rank_Keys!$B$2:$B$800))</f>
        <v/>
      </c>
      <c r="N162">
        <f>IF(OR(B162="NW",COUNT(Risk_Rank_Keys!C162)=0),0.5,(SUMPRODUCT(--ISNUMBER(Risk_Rank_Keys!$C$2:$C$800),--(Risk_Rank_Keys!$C$2:$C$800&lt;Risk_Rank_Keys!C162))+(SUMPRODUCT(--ISNUMBER(Risk_Rank_Keys!$C$2:$C$800),--(Risk_Rank_Keys!$C$2:$C$800=Risk_Rank_Keys!C162))+1)/2)/COUNT(Risk_Rank_Keys!$C$2:$C$800))</f>
        <v/>
      </c>
      <c r="O162">
        <f>IF(OR(B162="NW",COUNT(Risk_Rank_Keys!D162)=0),0.5,(SUMPRODUCT(--ISNUMBER(Risk_Rank_Keys!$D$2:$D$800),--(Risk_Rank_Keys!$D$2:$D$800&lt;Risk_Rank_Keys!D162))+(SUMPRODUCT(--ISNUMBER(Risk_Rank_Keys!$D$2:$D$800),--(Risk_Rank_Keys!$D$2:$D$800=Risk_Rank_Keys!D162))+1)/2)/COUNT(Risk_Rank_Keys!$D$2:$D$800))</f>
        <v/>
      </c>
      <c r="P162">
        <f>AVERAGE(M162:O162)</f>
        <v/>
      </c>
      <c r="Q162">
        <f>0.4*H162+0.4*I162+0.2*P162</f>
        <v/>
      </c>
      <c r="R162">
        <f>PERCENTILE($Q$2:$Q$800,0.75)</f>
        <v/>
      </c>
      <c r="S162">
        <f>OR(Q162&gt;=R162,AND(B162="CW",COUNT(J162:L162)&lt;3))</f>
        <v/>
      </c>
      <c r="T162" t="n">
        <v>0.1869905312224814</v>
      </c>
      <c r="U162" t="n">
        <v>2.233849869319374</v>
      </c>
      <c r="V162" t="n">
        <v>0.1853352255172522</v>
      </c>
      <c r="W162">
        <f>Q162-V162</f>
        <v/>
      </c>
    </row>
    <row r="163">
      <c r="A163" t="inlineStr">
        <is>
          <t>2021-11-29</t>
        </is>
      </c>
      <c r="B163" t="inlineStr">
        <is>
          <t>CW</t>
        </is>
      </c>
      <c r="C163" t="n">
        <v>20.38722476244125</v>
      </c>
      <c r="D163">
        <f>SUMPRODUCT(Risk_Inputs!B163:AJ163,Risk_Coefs!$B$2:$AJ$2)</f>
        <v/>
      </c>
      <c r="E163">
        <f>1/(1+EXP(-MAX(-25,MIN(25,D163))))</f>
        <v/>
      </c>
      <c r="F163">
        <f>SUMPRODUCT(Risk_Inputs!B163:AJ163,Risk_Coefs!$B$3:$AJ$3)</f>
        <v/>
      </c>
      <c r="G163">
        <f>MAX(0,F163)</f>
        <v/>
      </c>
      <c r="H163">
        <f>(SUMPRODUCT(--ISNUMBER($E$2:$E$800),--($E$2:$E$800&lt;E163))+(SUMPRODUCT(--ISNUMBER($E$2:$E$800),--($E$2:$E$800=E163))+1)/2)/COUNT($E$2:$E$800)</f>
        <v/>
      </c>
      <c r="I163">
        <f>(SUMPRODUCT(--ISNUMBER($G$2:$G$800),--($G$2:$G$800&lt;G163))+(SUMPRODUCT(--ISNUMBER($G$2:$G$800),--($G$2:$G$800=G163))+1)/2)/COUNT($G$2:$G$800)</f>
        <v/>
      </c>
      <c r="J163" t="n">
        <v>22.70147559591545</v>
      </c>
      <c r="K163" t="n">
        <v>3.193876204302485</v>
      </c>
      <c r="L163" t="n">
        <v>0.3167480533192526</v>
      </c>
      <c r="M163">
        <f>IF(OR(B163="NW",COUNT(Risk_Rank_Keys!B163)=0),0.5,(SUMPRODUCT(--ISNUMBER(Risk_Rank_Keys!$B$2:$B$800),--(Risk_Rank_Keys!$B$2:$B$800&lt;Risk_Rank_Keys!B163))+(SUMPRODUCT(--ISNUMBER(Risk_Rank_Keys!$B$2:$B$800),--(Risk_Rank_Keys!$B$2:$B$800=Risk_Rank_Keys!B163))+1)/2)/COUNT(Risk_Rank_Keys!$B$2:$B$800))</f>
        <v/>
      </c>
      <c r="N163">
        <f>IF(OR(B163="NW",COUNT(Risk_Rank_Keys!C163)=0),0.5,(SUMPRODUCT(--ISNUMBER(Risk_Rank_Keys!$C$2:$C$800),--(Risk_Rank_Keys!$C$2:$C$800&lt;Risk_Rank_Keys!C163))+(SUMPRODUCT(--ISNUMBER(Risk_Rank_Keys!$C$2:$C$800),--(Risk_Rank_Keys!$C$2:$C$800=Risk_Rank_Keys!C163))+1)/2)/COUNT(Risk_Rank_Keys!$C$2:$C$800))</f>
        <v/>
      </c>
      <c r="O163">
        <f>IF(OR(B163="NW",COUNT(Risk_Rank_Keys!D163)=0),0.5,(SUMPRODUCT(--ISNUMBER(Risk_Rank_Keys!$D$2:$D$800),--(Risk_Rank_Keys!$D$2:$D$800&lt;Risk_Rank_Keys!D163))+(SUMPRODUCT(--ISNUMBER(Risk_Rank_Keys!$D$2:$D$800),--(Risk_Rank_Keys!$D$2:$D$800=Risk_Rank_Keys!D163))+1)/2)/COUNT(Risk_Rank_Keys!$D$2:$D$800))</f>
        <v/>
      </c>
      <c r="P163">
        <f>AVERAGE(M163:O163)</f>
        <v/>
      </c>
      <c r="Q163">
        <f>0.4*H163+0.4*I163+0.2*P163</f>
        <v/>
      </c>
      <c r="R163">
        <f>PERCENTILE($Q$2:$Q$800,0.75)</f>
        <v/>
      </c>
      <c r="S163">
        <f>OR(Q163&gt;=R163,AND(B163="CW",COUNT(J163:L163)&lt;3))</f>
        <v/>
      </c>
      <c r="T163" t="n">
        <v>0.3939114010324554</v>
      </c>
      <c r="U163" t="n">
        <v>13.92243755990189</v>
      </c>
      <c r="V163" t="n">
        <v>0.8998275971417085</v>
      </c>
      <c r="W163">
        <f>Q163-V163</f>
        <v/>
      </c>
    </row>
    <row r="164">
      <c r="A164" t="inlineStr">
        <is>
          <t>2021-11-30</t>
        </is>
      </c>
      <c r="B164" t="inlineStr">
        <is>
          <t>CW</t>
        </is>
      </c>
      <c r="C164" t="n">
        <v>37.12936141788161</v>
      </c>
      <c r="D164">
        <f>SUMPRODUCT(Risk_Inputs!B164:AJ164,Risk_Coefs!$B$2:$AJ$2)</f>
        <v/>
      </c>
      <c r="E164">
        <f>1/(1+EXP(-MAX(-25,MIN(25,D164))))</f>
        <v/>
      </c>
      <c r="F164">
        <f>SUMPRODUCT(Risk_Inputs!B164:AJ164,Risk_Coefs!$B$3:$AJ$3)</f>
        <v/>
      </c>
      <c r="G164">
        <f>MAX(0,F164)</f>
        <v/>
      </c>
      <c r="H164">
        <f>(SUMPRODUCT(--ISNUMBER($E$2:$E$800),--($E$2:$E$800&lt;E164))+(SUMPRODUCT(--ISNUMBER($E$2:$E$800),--($E$2:$E$800=E164))+1)/2)/COUNT($E$2:$E$800)</f>
        <v/>
      </c>
      <c r="I164">
        <f>(SUMPRODUCT(--ISNUMBER($G$2:$G$800),--($G$2:$G$800&lt;G164))+(SUMPRODUCT(--ISNUMBER($G$2:$G$800),--($G$2:$G$800=G164))+1)/2)/COUNT($G$2:$G$800)</f>
        <v/>
      </c>
      <c r="J164" t="n">
        <v>22.40912833784389</v>
      </c>
      <c r="K164" t="n">
        <v>4.38405797101448</v>
      </c>
      <c r="L164" t="n">
        <v>0.2536231884057929</v>
      </c>
      <c r="M164">
        <f>IF(OR(B164="NW",COUNT(Risk_Rank_Keys!B164)=0),0.5,(SUMPRODUCT(--ISNUMBER(Risk_Rank_Keys!$B$2:$B$800),--(Risk_Rank_Keys!$B$2:$B$800&lt;Risk_Rank_Keys!B164))+(SUMPRODUCT(--ISNUMBER(Risk_Rank_Keys!$B$2:$B$800),--(Risk_Rank_Keys!$B$2:$B$800=Risk_Rank_Keys!B164))+1)/2)/COUNT(Risk_Rank_Keys!$B$2:$B$800))</f>
        <v/>
      </c>
      <c r="N164">
        <f>IF(OR(B164="NW",COUNT(Risk_Rank_Keys!C164)=0),0.5,(SUMPRODUCT(--ISNUMBER(Risk_Rank_Keys!$C$2:$C$800),--(Risk_Rank_Keys!$C$2:$C$800&lt;Risk_Rank_Keys!C164))+(SUMPRODUCT(--ISNUMBER(Risk_Rank_Keys!$C$2:$C$800),--(Risk_Rank_Keys!$C$2:$C$800=Risk_Rank_Keys!C164))+1)/2)/COUNT(Risk_Rank_Keys!$C$2:$C$800))</f>
        <v/>
      </c>
      <c r="O164">
        <f>IF(OR(B164="NW",COUNT(Risk_Rank_Keys!D164)=0),0.5,(SUMPRODUCT(--ISNUMBER(Risk_Rank_Keys!$D$2:$D$800),--(Risk_Rank_Keys!$D$2:$D$800&lt;Risk_Rank_Keys!D164))+(SUMPRODUCT(--ISNUMBER(Risk_Rank_Keys!$D$2:$D$800),--(Risk_Rank_Keys!$D$2:$D$800=Risk_Rank_Keys!D164))+1)/2)/COUNT(Risk_Rank_Keys!$D$2:$D$800))</f>
        <v/>
      </c>
      <c r="P164">
        <f>AVERAGE(M164:O164)</f>
        <v/>
      </c>
      <c r="Q164">
        <f>0.4*H164+0.4*I164+0.2*P164</f>
        <v/>
      </c>
      <c r="R164">
        <f>PERCENTILE($Q$2:$Q$800,0.75)</f>
        <v/>
      </c>
      <c r="S164">
        <f>OR(Q164&gt;=R164,AND(B164="CW",COUNT(J164:L164)&lt;3))</f>
        <v/>
      </c>
      <c r="T164" t="n">
        <v>0.3090287297474086</v>
      </c>
      <c r="U164" t="n">
        <v>9.727010833464668</v>
      </c>
      <c r="V164" t="n">
        <v>0.6840720821994486</v>
      </c>
      <c r="W164">
        <f>Q164-V164</f>
        <v/>
      </c>
    </row>
    <row r="165">
      <c r="A165" t="inlineStr">
        <is>
          <t>2021-12-01</t>
        </is>
      </c>
      <c r="B165" t="inlineStr">
        <is>
          <t>CW</t>
        </is>
      </c>
      <c r="C165" t="n">
        <v>63.25080922495488</v>
      </c>
      <c r="D165">
        <f>SUMPRODUCT(Risk_Inputs!B165:AJ165,Risk_Coefs!$B$2:$AJ$2)</f>
        <v/>
      </c>
      <c r="E165">
        <f>1/(1+EXP(-MAX(-25,MIN(25,D165))))</f>
        <v/>
      </c>
      <c r="F165">
        <f>SUMPRODUCT(Risk_Inputs!B165:AJ165,Risk_Coefs!$B$3:$AJ$3)</f>
        <v/>
      </c>
      <c r="G165">
        <f>MAX(0,F165)</f>
        <v/>
      </c>
      <c r="H165">
        <f>(SUMPRODUCT(--ISNUMBER($E$2:$E$800),--($E$2:$E$800&lt;E165))+(SUMPRODUCT(--ISNUMBER($E$2:$E$800),--($E$2:$E$800=E165))+1)/2)/COUNT($E$2:$E$800)</f>
        <v/>
      </c>
      <c r="I165">
        <f>(SUMPRODUCT(--ISNUMBER($G$2:$G$800),--($G$2:$G$800&lt;G165))+(SUMPRODUCT(--ISNUMBER($G$2:$G$800),--($G$2:$G$800=G165))+1)/2)/COUNT($G$2:$G$800)</f>
        <v/>
      </c>
      <c r="J165" t="n">
        <v>57.50040801100338</v>
      </c>
      <c r="K165" t="n">
        <v>13.97560975609756</v>
      </c>
      <c r="L165" t="n">
        <v>0.7560975609756153</v>
      </c>
      <c r="M165">
        <f>IF(OR(B165="NW",COUNT(Risk_Rank_Keys!B165)=0),0.5,(SUMPRODUCT(--ISNUMBER(Risk_Rank_Keys!$B$2:$B$800),--(Risk_Rank_Keys!$B$2:$B$800&lt;Risk_Rank_Keys!B165))+(SUMPRODUCT(--ISNUMBER(Risk_Rank_Keys!$B$2:$B$800),--(Risk_Rank_Keys!$B$2:$B$800=Risk_Rank_Keys!B165))+1)/2)/COUNT(Risk_Rank_Keys!$B$2:$B$800))</f>
        <v/>
      </c>
      <c r="N165">
        <f>IF(OR(B165="NW",COUNT(Risk_Rank_Keys!C165)=0),0.5,(SUMPRODUCT(--ISNUMBER(Risk_Rank_Keys!$C$2:$C$800),--(Risk_Rank_Keys!$C$2:$C$800&lt;Risk_Rank_Keys!C165))+(SUMPRODUCT(--ISNUMBER(Risk_Rank_Keys!$C$2:$C$800),--(Risk_Rank_Keys!$C$2:$C$800=Risk_Rank_Keys!C165))+1)/2)/COUNT(Risk_Rank_Keys!$C$2:$C$800))</f>
        <v/>
      </c>
      <c r="O165">
        <f>IF(OR(B165="NW",COUNT(Risk_Rank_Keys!D165)=0),0.5,(SUMPRODUCT(--ISNUMBER(Risk_Rank_Keys!$D$2:$D$800),--(Risk_Rank_Keys!$D$2:$D$800&lt;Risk_Rank_Keys!D165))+(SUMPRODUCT(--ISNUMBER(Risk_Rank_Keys!$D$2:$D$800),--(Risk_Rank_Keys!$D$2:$D$800=Risk_Rank_Keys!D165))+1)/2)/COUNT(Risk_Rank_Keys!$D$2:$D$800))</f>
        <v/>
      </c>
      <c r="P165">
        <f>AVERAGE(M165:O165)</f>
        <v/>
      </c>
      <c r="Q165">
        <f>0.4*H165+0.4*I165+0.2*P165</f>
        <v/>
      </c>
      <c r="R165">
        <f>PERCENTILE($Q$2:$Q$800,0.75)</f>
        <v/>
      </c>
      <c r="S165">
        <f>OR(Q165&gt;=R165,AND(B165="CW",COUNT(J165:L165)&lt;3))</f>
        <v/>
      </c>
      <c r="T165" t="n">
        <v>0.1382202520746602</v>
      </c>
      <c r="U165" t="n">
        <v>5.511611170615458</v>
      </c>
      <c r="V165" t="n">
        <v>0.2801353854102845</v>
      </c>
      <c r="W165">
        <f>Q165-V165</f>
        <v/>
      </c>
    </row>
    <row r="166">
      <c r="A166" t="inlineStr">
        <is>
          <t>2021-12-02</t>
        </is>
      </c>
      <c r="B166" t="inlineStr">
        <is>
          <t>CW</t>
        </is>
      </c>
      <c r="C166" t="n">
        <v>18.22406404836532</v>
      </c>
      <c r="D166">
        <f>SUMPRODUCT(Risk_Inputs!B166:AJ166,Risk_Coefs!$B$2:$AJ$2)</f>
        <v/>
      </c>
      <c r="E166">
        <f>1/(1+EXP(-MAX(-25,MIN(25,D166))))</f>
        <v/>
      </c>
      <c r="F166">
        <f>SUMPRODUCT(Risk_Inputs!B166:AJ166,Risk_Coefs!$B$3:$AJ$3)</f>
        <v/>
      </c>
      <c r="G166">
        <f>MAX(0,F166)</f>
        <v/>
      </c>
      <c r="H166">
        <f>(SUMPRODUCT(--ISNUMBER($E$2:$E$800),--($E$2:$E$800&lt;E166))+(SUMPRODUCT(--ISNUMBER($E$2:$E$800),--($E$2:$E$800=E166))+1)/2)/COUNT($E$2:$E$800)</f>
        <v/>
      </c>
      <c r="I166">
        <f>(SUMPRODUCT(--ISNUMBER($G$2:$G$800),--($G$2:$G$800&lt;G166))+(SUMPRODUCT(--ISNUMBER($G$2:$G$800),--($G$2:$G$800=G166))+1)/2)/COUNT($G$2:$G$800)</f>
        <v/>
      </c>
      <c r="J166" t="n">
        <v>31.21675386566181</v>
      </c>
      <c r="K166" t="n">
        <v>14.43337024732374</v>
      </c>
      <c r="L166" t="n">
        <v>0.8490217792543416</v>
      </c>
      <c r="M166">
        <f>IF(OR(B166="NW",COUNT(Risk_Rank_Keys!B166)=0),0.5,(SUMPRODUCT(--ISNUMBER(Risk_Rank_Keys!$B$2:$B$800),--(Risk_Rank_Keys!$B$2:$B$800&lt;Risk_Rank_Keys!B166))+(SUMPRODUCT(--ISNUMBER(Risk_Rank_Keys!$B$2:$B$800),--(Risk_Rank_Keys!$B$2:$B$800=Risk_Rank_Keys!B166))+1)/2)/COUNT(Risk_Rank_Keys!$B$2:$B$800))</f>
        <v/>
      </c>
      <c r="N166">
        <f>IF(OR(B166="NW",COUNT(Risk_Rank_Keys!C166)=0),0.5,(SUMPRODUCT(--ISNUMBER(Risk_Rank_Keys!$C$2:$C$800),--(Risk_Rank_Keys!$C$2:$C$800&lt;Risk_Rank_Keys!C166))+(SUMPRODUCT(--ISNUMBER(Risk_Rank_Keys!$C$2:$C$800),--(Risk_Rank_Keys!$C$2:$C$800=Risk_Rank_Keys!C166))+1)/2)/COUNT(Risk_Rank_Keys!$C$2:$C$800))</f>
        <v/>
      </c>
      <c r="O166">
        <f>IF(OR(B166="NW",COUNT(Risk_Rank_Keys!D166)=0),0.5,(SUMPRODUCT(--ISNUMBER(Risk_Rank_Keys!$D$2:$D$800),--(Risk_Rank_Keys!$D$2:$D$800&lt;Risk_Rank_Keys!D166))+(SUMPRODUCT(--ISNUMBER(Risk_Rank_Keys!$D$2:$D$800),--(Risk_Rank_Keys!$D$2:$D$800=Risk_Rank_Keys!D166))+1)/2)/COUNT(Risk_Rank_Keys!$D$2:$D$800))</f>
        <v/>
      </c>
      <c r="P166">
        <f>AVERAGE(M166:O166)</f>
        <v/>
      </c>
      <c r="Q166">
        <f>0.4*H166+0.4*I166+0.2*P166</f>
        <v/>
      </c>
      <c r="R166">
        <f>PERCENTILE($Q$2:$Q$800,0.75)</f>
        <v/>
      </c>
      <c r="S166">
        <f>OR(Q166&gt;=R166,AND(B166="CW",COUNT(J166:L166)&lt;3))</f>
        <v/>
      </c>
      <c r="T166" t="n">
        <v>0.188589799428772</v>
      </c>
      <c r="U166" t="n">
        <v>5.950740425800376</v>
      </c>
      <c r="V166" t="n">
        <v>0.325641943177461</v>
      </c>
      <c r="W166">
        <f>Q166-V166</f>
        <v/>
      </c>
    </row>
    <row r="167">
      <c r="A167" t="inlineStr">
        <is>
          <t>2021-12-03</t>
        </is>
      </c>
      <c r="B167" t="inlineStr">
        <is>
          <t>CW</t>
        </is>
      </c>
      <c r="C167" t="n">
        <v>34.31326777499433</v>
      </c>
      <c r="D167">
        <f>SUMPRODUCT(Risk_Inputs!B167:AJ167,Risk_Coefs!$B$2:$AJ$2)</f>
        <v/>
      </c>
      <c r="E167">
        <f>1/(1+EXP(-MAX(-25,MIN(25,D167))))</f>
        <v/>
      </c>
      <c r="F167">
        <f>SUMPRODUCT(Risk_Inputs!B167:AJ167,Risk_Coefs!$B$3:$AJ$3)</f>
        <v/>
      </c>
      <c r="G167">
        <f>MAX(0,F167)</f>
        <v/>
      </c>
      <c r="H167">
        <f>(SUMPRODUCT(--ISNUMBER($E$2:$E$800),--($E$2:$E$800&lt;E167))+(SUMPRODUCT(--ISNUMBER($E$2:$E$800),--($E$2:$E$800=E167))+1)/2)/COUNT($E$2:$E$800)</f>
        <v/>
      </c>
      <c r="I167">
        <f>(SUMPRODUCT(--ISNUMBER($G$2:$G$800),--($G$2:$G$800&lt;G167))+(SUMPRODUCT(--ISNUMBER($G$2:$G$800),--($G$2:$G$800=G167))+1)/2)/COUNT($G$2:$G$800)</f>
        <v/>
      </c>
      <c r="J167" t="n">
        <v>31.55179275453939</v>
      </c>
      <c r="K167" t="n">
        <v>7.244295516195944</v>
      </c>
      <c r="L167" t="n">
        <v>0.4627413435455614</v>
      </c>
      <c r="M167">
        <f>IF(OR(B167="NW",COUNT(Risk_Rank_Keys!B167)=0),0.5,(SUMPRODUCT(--ISNUMBER(Risk_Rank_Keys!$B$2:$B$800),--(Risk_Rank_Keys!$B$2:$B$800&lt;Risk_Rank_Keys!B167))+(SUMPRODUCT(--ISNUMBER(Risk_Rank_Keys!$B$2:$B$800),--(Risk_Rank_Keys!$B$2:$B$800=Risk_Rank_Keys!B167))+1)/2)/COUNT(Risk_Rank_Keys!$B$2:$B$800))</f>
        <v/>
      </c>
      <c r="N167">
        <f>IF(OR(B167="NW",COUNT(Risk_Rank_Keys!C167)=0),0.5,(SUMPRODUCT(--ISNUMBER(Risk_Rank_Keys!$C$2:$C$800),--(Risk_Rank_Keys!$C$2:$C$800&lt;Risk_Rank_Keys!C167))+(SUMPRODUCT(--ISNUMBER(Risk_Rank_Keys!$C$2:$C$800),--(Risk_Rank_Keys!$C$2:$C$800=Risk_Rank_Keys!C167))+1)/2)/COUNT(Risk_Rank_Keys!$C$2:$C$800))</f>
        <v/>
      </c>
      <c r="O167">
        <f>IF(OR(B167="NW",COUNT(Risk_Rank_Keys!D167)=0),0.5,(SUMPRODUCT(--ISNUMBER(Risk_Rank_Keys!$D$2:$D$800),--(Risk_Rank_Keys!$D$2:$D$800&lt;Risk_Rank_Keys!D167))+(SUMPRODUCT(--ISNUMBER(Risk_Rank_Keys!$D$2:$D$800),--(Risk_Rank_Keys!$D$2:$D$800=Risk_Rank_Keys!D167))+1)/2)/COUNT(Risk_Rank_Keys!$D$2:$D$800))</f>
        <v/>
      </c>
      <c r="P167">
        <f>AVERAGE(M167:O167)</f>
        <v/>
      </c>
      <c r="Q167">
        <f>0.4*H167+0.4*I167+0.2*P167</f>
        <v/>
      </c>
      <c r="R167">
        <f>PERCENTILE($Q$2:$Q$800,0.75)</f>
        <v/>
      </c>
      <c r="S167">
        <f>OR(Q167&gt;=R167,AND(B167="CW",COUNT(J167:L167)&lt;3))</f>
        <v/>
      </c>
      <c r="T167" t="n">
        <v>0.1826464349902095</v>
      </c>
      <c r="U167" t="n">
        <v>6.782848630839332</v>
      </c>
      <c r="V167" t="n">
        <v>0.3603344254702386</v>
      </c>
      <c r="W167">
        <f>Q167-V167</f>
        <v/>
      </c>
    </row>
    <row r="168">
      <c r="A168" t="inlineStr">
        <is>
          <t>2021-12-06</t>
        </is>
      </c>
      <c r="B168" t="inlineStr">
        <is>
          <t>CW</t>
        </is>
      </c>
      <c r="C168" t="n">
        <v>33.19003575117284</v>
      </c>
      <c r="D168">
        <f>SUMPRODUCT(Risk_Inputs!B168:AJ168,Risk_Coefs!$B$2:$AJ$2)</f>
        <v/>
      </c>
      <c r="E168">
        <f>1/(1+EXP(-MAX(-25,MIN(25,D168))))</f>
        <v/>
      </c>
      <c r="F168">
        <f>SUMPRODUCT(Risk_Inputs!B168:AJ168,Risk_Coefs!$B$3:$AJ$3)</f>
        <v/>
      </c>
      <c r="G168">
        <f>MAX(0,F168)</f>
        <v/>
      </c>
      <c r="H168">
        <f>(SUMPRODUCT(--ISNUMBER($E$2:$E$800),--($E$2:$E$800&lt;E168))+(SUMPRODUCT(--ISNUMBER($E$2:$E$800),--($E$2:$E$800=E168))+1)/2)/COUNT($E$2:$E$800)</f>
        <v/>
      </c>
      <c r="I168">
        <f>(SUMPRODUCT(--ISNUMBER($G$2:$G$800),--($G$2:$G$800&lt;G168))+(SUMPRODUCT(--ISNUMBER($G$2:$G$800),--($G$2:$G$800=G168))+1)/2)/COUNT($G$2:$G$800)</f>
        <v/>
      </c>
      <c r="J168" t="n">
        <v>28.26910790397298</v>
      </c>
      <c r="K168" t="n">
        <v>1.977729765663967</v>
      </c>
      <c r="L168" t="n">
        <v>0.3323915572544457</v>
      </c>
      <c r="M168">
        <f>IF(OR(B168="NW",COUNT(Risk_Rank_Keys!B168)=0),0.5,(SUMPRODUCT(--ISNUMBER(Risk_Rank_Keys!$B$2:$B$800),--(Risk_Rank_Keys!$B$2:$B$800&lt;Risk_Rank_Keys!B168))+(SUMPRODUCT(--ISNUMBER(Risk_Rank_Keys!$B$2:$B$800),--(Risk_Rank_Keys!$B$2:$B$800=Risk_Rank_Keys!B168))+1)/2)/COUNT(Risk_Rank_Keys!$B$2:$B$800))</f>
        <v/>
      </c>
      <c r="N168">
        <f>IF(OR(B168="NW",COUNT(Risk_Rank_Keys!C168)=0),0.5,(SUMPRODUCT(--ISNUMBER(Risk_Rank_Keys!$C$2:$C$800),--(Risk_Rank_Keys!$C$2:$C$800&lt;Risk_Rank_Keys!C168))+(SUMPRODUCT(--ISNUMBER(Risk_Rank_Keys!$C$2:$C$800),--(Risk_Rank_Keys!$C$2:$C$800=Risk_Rank_Keys!C168))+1)/2)/COUNT(Risk_Rank_Keys!$C$2:$C$800))</f>
        <v/>
      </c>
      <c r="O168">
        <f>IF(OR(B168="NW",COUNT(Risk_Rank_Keys!D168)=0),0.5,(SUMPRODUCT(--ISNUMBER(Risk_Rank_Keys!$D$2:$D$800),--(Risk_Rank_Keys!$D$2:$D$800&lt;Risk_Rank_Keys!D168))+(SUMPRODUCT(--ISNUMBER(Risk_Rank_Keys!$D$2:$D$800),--(Risk_Rank_Keys!$D$2:$D$800=Risk_Rank_Keys!D168))+1)/2)/COUNT(Risk_Rank_Keys!$D$2:$D$800))</f>
        <v/>
      </c>
      <c r="P168">
        <f>AVERAGE(M168:O168)</f>
        <v/>
      </c>
      <c r="Q168">
        <f>0.4*H168+0.4*I168+0.2*P168</f>
        <v/>
      </c>
      <c r="R168">
        <f>PERCENTILE($Q$2:$Q$800,0.75)</f>
        <v/>
      </c>
      <c r="S168">
        <f>OR(Q168&gt;=R168,AND(B168="CW",COUNT(J168:L168)&lt;3))</f>
        <v/>
      </c>
      <c r="T168" t="n">
        <v>0.2880084433487225</v>
      </c>
      <c r="U168" t="n">
        <v>7.525396801615336</v>
      </c>
      <c r="V168" t="n">
        <v>0.5278191183889207</v>
      </c>
      <c r="W168">
        <f>Q168-V168</f>
        <v/>
      </c>
    </row>
    <row r="169">
      <c r="A169" t="inlineStr">
        <is>
          <t>2021-12-07</t>
        </is>
      </c>
      <c r="B169" t="inlineStr">
        <is>
          <t>CW</t>
        </is>
      </c>
      <c r="C169" t="n">
        <v>6.405371268317639</v>
      </c>
      <c r="D169">
        <f>SUMPRODUCT(Risk_Inputs!B169:AJ169,Risk_Coefs!$B$2:$AJ$2)</f>
        <v/>
      </c>
      <c r="E169">
        <f>1/(1+EXP(-MAX(-25,MIN(25,D169))))</f>
        <v/>
      </c>
      <c r="F169">
        <f>SUMPRODUCT(Risk_Inputs!B169:AJ169,Risk_Coefs!$B$3:$AJ$3)</f>
        <v/>
      </c>
      <c r="G169">
        <f>MAX(0,F169)</f>
        <v/>
      </c>
      <c r="H169">
        <f>(SUMPRODUCT(--ISNUMBER($E$2:$E$800),--($E$2:$E$800&lt;E169))+(SUMPRODUCT(--ISNUMBER($E$2:$E$800),--($E$2:$E$800=E169))+1)/2)/COUNT($E$2:$E$800)</f>
        <v/>
      </c>
      <c r="I169">
        <f>(SUMPRODUCT(--ISNUMBER($G$2:$G$800),--($G$2:$G$800&lt;G169))+(SUMPRODUCT(--ISNUMBER($G$2:$G$800),--($G$2:$G$800=G169))+1)/2)/COUNT($G$2:$G$800)</f>
        <v/>
      </c>
      <c r="J169" t="n">
        <v>21.82368573892579</v>
      </c>
      <c r="K169" t="n">
        <v>2.866923406076173</v>
      </c>
      <c r="L169" t="n">
        <v>0.2139495079161378</v>
      </c>
      <c r="M169">
        <f>IF(OR(B169="NW",COUNT(Risk_Rank_Keys!B169)=0),0.5,(SUMPRODUCT(--ISNUMBER(Risk_Rank_Keys!$B$2:$B$800),--(Risk_Rank_Keys!$B$2:$B$800&lt;Risk_Rank_Keys!B169))+(SUMPRODUCT(--ISNUMBER(Risk_Rank_Keys!$B$2:$B$800),--(Risk_Rank_Keys!$B$2:$B$800=Risk_Rank_Keys!B169))+1)/2)/COUNT(Risk_Rank_Keys!$B$2:$B$800))</f>
        <v/>
      </c>
      <c r="N169">
        <f>IF(OR(B169="NW",COUNT(Risk_Rank_Keys!C169)=0),0.5,(SUMPRODUCT(--ISNUMBER(Risk_Rank_Keys!$C$2:$C$800),--(Risk_Rank_Keys!$C$2:$C$800&lt;Risk_Rank_Keys!C169))+(SUMPRODUCT(--ISNUMBER(Risk_Rank_Keys!$C$2:$C$800),--(Risk_Rank_Keys!$C$2:$C$800=Risk_Rank_Keys!C169))+1)/2)/COUNT(Risk_Rank_Keys!$C$2:$C$800))</f>
        <v/>
      </c>
      <c r="O169">
        <f>IF(OR(B169="NW",COUNT(Risk_Rank_Keys!D169)=0),0.5,(SUMPRODUCT(--ISNUMBER(Risk_Rank_Keys!$D$2:$D$800),--(Risk_Rank_Keys!$D$2:$D$800&lt;Risk_Rank_Keys!D169))+(SUMPRODUCT(--ISNUMBER(Risk_Rank_Keys!$D$2:$D$800),--(Risk_Rank_Keys!$D$2:$D$800=Risk_Rank_Keys!D169))+1)/2)/COUNT(Risk_Rank_Keys!$D$2:$D$800))</f>
        <v/>
      </c>
      <c r="P169">
        <f>AVERAGE(M169:O169)</f>
        <v/>
      </c>
      <c r="Q169">
        <f>0.4*H169+0.4*I169+0.2*P169</f>
        <v/>
      </c>
      <c r="R169">
        <f>PERCENTILE($Q$2:$Q$800,0.75)</f>
        <v/>
      </c>
      <c r="S169">
        <f>OR(Q169&gt;=R169,AND(B169="CW",COUNT(J169:L169)&lt;3))</f>
        <v/>
      </c>
      <c r="T169" t="n">
        <v>0.2387599792576277</v>
      </c>
      <c r="U169" t="n">
        <v>7.136259794317125</v>
      </c>
      <c r="V169" t="n">
        <v>0.3719943979253472</v>
      </c>
      <c r="W169">
        <f>Q169-V169</f>
        <v/>
      </c>
    </row>
    <row r="170">
      <c r="A170" t="inlineStr">
        <is>
          <t>2021-12-08</t>
        </is>
      </c>
      <c r="B170" t="inlineStr">
        <is>
          <t>CW</t>
        </is>
      </c>
      <c r="C170" t="n">
        <v>7.283877351553532</v>
      </c>
      <c r="D170">
        <f>SUMPRODUCT(Risk_Inputs!B170:AJ170,Risk_Coefs!$B$2:$AJ$2)</f>
        <v/>
      </c>
      <c r="E170">
        <f>1/(1+EXP(-MAX(-25,MIN(25,D170))))</f>
        <v/>
      </c>
      <c r="F170">
        <f>SUMPRODUCT(Risk_Inputs!B170:AJ170,Risk_Coefs!$B$3:$AJ$3)</f>
        <v/>
      </c>
      <c r="G170">
        <f>MAX(0,F170)</f>
        <v/>
      </c>
      <c r="H170">
        <f>(SUMPRODUCT(--ISNUMBER($E$2:$E$800),--($E$2:$E$800&lt;E170))+(SUMPRODUCT(--ISNUMBER($E$2:$E$800),--($E$2:$E$800=E170))+1)/2)/COUNT($E$2:$E$800)</f>
        <v/>
      </c>
      <c r="I170">
        <f>(SUMPRODUCT(--ISNUMBER($G$2:$G$800),--($G$2:$G$800&lt;G170))+(SUMPRODUCT(--ISNUMBER($G$2:$G$800),--($G$2:$G$800=G170))+1)/2)/COUNT($G$2:$G$800)</f>
        <v/>
      </c>
      <c r="J170" t="n">
        <v>11.72359957714304</v>
      </c>
      <c r="K170" t="n">
        <v>2.242549424609036</v>
      </c>
      <c r="L170" t="n">
        <v>0.2950722927117143</v>
      </c>
      <c r="M170">
        <f>IF(OR(B170="NW",COUNT(Risk_Rank_Keys!B170)=0),0.5,(SUMPRODUCT(--ISNUMBER(Risk_Rank_Keys!$B$2:$B$800),--(Risk_Rank_Keys!$B$2:$B$800&lt;Risk_Rank_Keys!B170))+(SUMPRODUCT(--ISNUMBER(Risk_Rank_Keys!$B$2:$B$800),--(Risk_Rank_Keys!$B$2:$B$800=Risk_Rank_Keys!B170))+1)/2)/COUNT(Risk_Rank_Keys!$B$2:$B$800))</f>
        <v/>
      </c>
      <c r="N170">
        <f>IF(OR(B170="NW",COUNT(Risk_Rank_Keys!C170)=0),0.5,(SUMPRODUCT(--ISNUMBER(Risk_Rank_Keys!$C$2:$C$800),--(Risk_Rank_Keys!$C$2:$C$800&lt;Risk_Rank_Keys!C170))+(SUMPRODUCT(--ISNUMBER(Risk_Rank_Keys!$C$2:$C$800),--(Risk_Rank_Keys!$C$2:$C$800=Risk_Rank_Keys!C170))+1)/2)/COUNT(Risk_Rank_Keys!$C$2:$C$800))</f>
        <v/>
      </c>
      <c r="O170">
        <f>IF(OR(B170="NW",COUNT(Risk_Rank_Keys!D170)=0),0.5,(SUMPRODUCT(--ISNUMBER(Risk_Rank_Keys!$D$2:$D$800),--(Risk_Rank_Keys!$D$2:$D$800&lt;Risk_Rank_Keys!D170))+(SUMPRODUCT(--ISNUMBER(Risk_Rank_Keys!$D$2:$D$800),--(Risk_Rank_Keys!$D$2:$D$800=Risk_Rank_Keys!D170))+1)/2)/COUNT(Risk_Rank_Keys!$D$2:$D$800))</f>
        <v/>
      </c>
      <c r="P170">
        <f>AVERAGE(M170:O170)</f>
        <v/>
      </c>
      <c r="Q170">
        <f>0.4*H170+0.4*I170+0.2*P170</f>
        <v/>
      </c>
      <c r="R170">
        <f>PERCENTILE($Q$2:$Q$800,0.75)</f>
        <v/>
      </c>
      <c r="S170">
        <f>OR(Q170&gt;=R170,AND(B170="CW",COUNT(J170:L170)&lt;3))</f>
        <v/>
      </c>
      <c r="T170" t="n">
        <v>0.3111799037630322</v>
      </c>
      <c r="U170" t="n">
        <v>8.881707358573612</v>
      </c>
      <c r="V170" t="n">
        <v>0.6226361520007868</v>
      </c>
      <c r="W170">
        <f>Q170-V170</f>
        <v/>
      </c>
    </row>
    <row r="171">
      <c r="A171" t="inlineStr">
        <is>
          <t>2021-12-09</t>
        </is>
      </c>
      <c r="B171" t="inlineStr">
        <is>
          <t>CW</t>
        </is>
      </c>
      <c r="C171" t="n">
        <v>-27.26437385007586</v>
      </c>
      <c r="D171">
        <f>SUMPRODUCT(Risk_Inputs!B171:AJ171,Risk_Coefs!$B$2:$AJ$2)</f>
        <v/>
      </c>
      <c r="E171">
        <f>1/(1+EXP(-MAX(-25,MIN(25,D171))))</f>
        <v/>
      </c>
      <c r="F171">
        <f>SUMPRODUCT(Risk_Inputs!B171:AJ171,Risk_Coefs!$B$3:$AJ$3)</f>
        <v/>
      </c>
      <c r="G171">
        <f>MAX(0,F171)</f>
        <v/>
      </c>
      <c r="H171">
        <f>(SUMPRODUCT(--ISNUMBER($E$2:$E$800),--($E$2:$E$800&lt;E171))+(SUMPRODUCT(--ISNUMBER($E$2:$E$800),--($E$2:$E$800=E171))+1)/2)/COUNT($E$2:$E$800)</f>
        <v/>
      </c>
      <c r="I171">
        <f>(SUMPRODUCT(--ISNUMBER($G$2:$G$800),--($G$2:$G$800&lt;G171))+(SUMPRODUCT(--ISNUMBER($G$2:$G$800),--($G$2:$G$800=G171))+1)/2)/COUNT($G$2:$G$800)</f>
        <v/>
      </c>
      <c r="J171" t="n">
        <v>5.048761912369571</v>
      </c>
      <c r="K171" t="n">
        <v>3.530005042864347</v>
      </c>
      <c r="L171" t="n">
        <v>0.3025718608169483</v>
      </c>
      <c r="M171">
        <f>IF(OR(B171="NW",COUNT(Risk_Rank_Keys!B171)=0),0.5,(SUMPRODUCT(--ISNUMBER(Risk_Rank_Keys!$B$2:$B$800),--(Risk_Rank_Keys!$B$2:$B$800&lt;Risk_Rank_Keys!B171))+(SUMPRODUCT(--ISNUMBER(Risk_Rank_Keys!$B$2:$B$800),--(Risk_Rank_Keys!$B$2:$B$800=Risk_Rank_Keys!B171))+1)/2)/COUNT(Risk_Rank_Keys!$B$2:$B$800))</f>
        <v/>
      </c>
      <c r="N171">
        <f>IF(OR(B171="NW",COUNT(Risk_Rank_Keys!C171)=0),0.5,(SUMPRODUCT(--ISNUMBER(Risk_Rank_Keys!$C$2:$C$800),--(Risk_Rank_Keys!$C$2:$C$800&lt;Risk_Rank_Keys!C171))+(SUMPRODUCT(--ISNUMBER(Risk_Rank_Keys!$C$2:$C$800),--(Risk_Rank_Keys!$C$2:$C$800=Risk_Rank_Keys!C171))+1)/2)/COUNT(Risk_Rank_Keys!$C$2:$C$800))</f>
        <v/>
      </c>
      <c r="O171">
        <f>IF(OR(B171="NW",COUNT(Risk_Rank_Keys!D171)=0),0.5,(SUMPRODUCT(--ISNUMBER(Risk_Rank_Keys!$D$2:$D$800),--(Risk_Rank_Keys!$D$2:$D$800&lt;Risk_Rank_Keys!D171))+(SUMPRODUCT(--ISNUMBER(Risk_Rank_Keys!$D$2:$D$800),--(Risk_Rank_Keys!$D$2:$D$800=Risk_Rank_Keys!D171))+1)/2)/COUNT(Risk_Rank_Keys!$D$2:$D$800))</f>
        <v/>
      </c>
      <c r="P171">
        <f>AVERAGE(M171:O171)</f>
        <v/>
      </c>
      <c r="Q171">
        <f>0.4*H171+0.4*I171+0.2*P171</f>
        <v/>
      </c>
      <c r="R171">
        <f>PERCENTILE($Q$2:$Q$800,0.75)</f>
        <v/>
      </c>
      <c r="S171">
        <f>OR(Q171&gt;=R171,AND(B171="CW",COUNT(J171:L171)&lt;3))</f>
        <v/>
      </c>
      <c r="T171" t="n">
        <v>0.3240638212373644</v>
      </c>
      <c r="U171" t="n">
        <v>8.338698099502375</v>
      </c>
      <c r="V171" t="n">
        <v>0.6082384477575119</v>
      </c>
      <c r="W171">
        <f>Q171-V171</f>
        <v/>
      </c>
    </row>
    <row r="172">
      <c r="A172" t="inlineStr">
        <is>
          <t>2021-12-10</t>
        </is>
      </c>
      <c r="B172" t="inlineStr">
        <is>
          <t>CW</t>
        </is>
      </c>
      <c r="C172" t="n">
        <v>32.23085284121957</v>
      </c>
      <c r="D172">
        <f>SUMPRODUCT(Risk_Inputs!B172:AJ172,Risk_Coefs!$B$2:$AJ$2)</f>
        <v/>
      </c>
      <c r="E172">
        <f>1/(1+EXP(-MAX(-25,MIN(25,D172))))</f>
        <v/>
      </c>
      <c r="F172">
        <f>SUMPRODUCT(Risk_Inputs!B172:AJ172,Risk_Coefs!$B$3:$AJ$3)</f>
        <v/>
      </c>
      <c r="G172">
        <f>MAX(0,F172)</f>
        <v/>
      </c>
      <c r="H172">
        <f>(SUMPRODUCT(--ISNUMBER($E$2:$E$800),--($E$2:$E$800&lt;E172))+(SUMPRODUCT(--ISNUMBER($E$2:$E$800),--($E$2:$E$800=E172))+1)/2)/COUNT($E$2:$E$800)</f>
        <v/>
      </c>
      <c r="I172">
        <f>(SUMPRODUCT(--ISNUMBER($G$2:$G$800),--($G$2:$G$800&lt;G172))+(SUMPRODUCT(--ISNUMBER($G$2:$G$800),--($G$2:$G$800=G172))+1)/2)/COUNT($G$2:$G$800)</f>
        <v/>
      </c>
      <c r="J172" t="n">
        <v>28.2424381301554</v>
      </c>
      <c r="K172" t="n">
        <v>6.129476584022023</v>
      </c>
      <c r="L172" t="n">
        <v>0.5853994490358185</v>
      </c>
      <c r="M172">
        <f>IF(OR(B172="NW",COUNT(Risk_Rank_Keys!B172)=0),0.5,(SUMPRODUCT(--ISNUMBER(Risk_Rank_Keys!$B$2:$B$800),--(Risk_Rank_Keys!$B$2:$B$800&lt;Risk_Rank_Keys!B172))+(SUMPRODUCT(--ISNUMBER(Risk_Rank_Keys!$B$2:$B$800),--(Risk_Rank_Keys!$B$2:$B$800=Risk_Rank_Keys!B172))+1)/2)/COUNT(Risk_Rank_Keys!$B$2:$B$800))</f>
        <v/>
      </c>
      <c r="N172">
        <f>IF(OR(B172="NW",COUNT(Risk_Rank_Keys!C172)=0),0.5,(SUMPRODUCT(--ISNUMBER(Risk_Rank_Keys!$C$2:$C$800),--(Risk_Rank_Keys!$C$2:$C$800&lt;Risk_Rank_Keys!C172))+(SUMPRODUCT(--ISNUMBER(Risk_Rank_Keys!$C$2:$C$800),--(Risk_Rank_Keys!$C$2:$C$800=Risk_Rank_Keys!C172))+1)/2)/COUNT(Risk_Rank_Keys!$C$2:$C$800))</f>
        <v/>
      </c>
      <c r="O172">
        <f>IF(OR(B172="NW",COUNT(Risk_Rank_Keys!D172)=0),0.5,(SUMPRODUCT(--ISNUMBER(Risk_Rank_Keys!$D$2:$D$800),--(Risk_Rank_Keys!$D$2:$D$800&lt;Risk_Rank_Keys!D172))+(SUMPRODUCT(--ISNUMBER(Risk_Rank_Keys!$D$2:$D$800),--(Risk_Rank_Keys!$D$2:$D$800=Risk_Rank_Keys!D172))+1)/2)/COUNT(Risk_Rank_Keys!$D$2:$D$800))</f>
        <v/>
      </c>
      <c r="P172">
        <f>AVERAGE(M172:O172)</f>
        <v/>
      </c>
      <c r="Q172">
        <f>0.4*H172+0.4*I172+0.2*P172</f>
        <v/>
      </c>
      <c r="R172">
        <f>PERCENTILE($Q$2:$Q$800,0.75)</f>
        <v/>
      </c>
      <c r="S172">
        <f>OR(Q172&gt;=R172,AND(B172="CW",COUNT(J172:L172)&lt;3))</f>
        <v/>
      </c>
      <c r="T172" t="n">
        <v>0.1521019630851247</v>
      </c>
      <c r="U172" t="n">
        <v>3.602602581363165</v>
      </c>
      <c r="V172" t="n">
        <v>0.199740726582333</v>
      </c>
      <c r="W172">
        <f>Q172-V172</f>
        <v/>
      </c>
    </row>
    <row r="173">
      <c r="A173" t="inlineStr">
        <is>
          <t>2021-12-13</t>
        </is>
      </c>
      <c r="B173" t="inlineStr">
        <is>
          <t>CW</t>
        </is>
      </c>
      <c r="C173" t="n">
        <v>-10.09893974956565</v>
      </c>
      <c r="D173">
        <f>SUMPRODUCT(Risk_Inputs!B173:AJ173,Risk_Coefs!$B$2:$AJ$2)</f>
        <v/>
      </c>
      <c r="E173">
        <f>1/(1+EXP(-MAX(-25,MIN(25,D173))))</f>
        <v/>
      </c>
      <c r="F173">
        <f>SUMPRODUCT(Risk_Inputs!B173:AJ173,Risk_Coefs!$B$3:$AJ$3)</f>
        <v/>
      </c>
      <c r="G173">
        <f>MAX(0,F173)</f>
        <v/>
      </c>
      <c r="H173">
        <f>(SUMPRODUCT(--ISNUMBER($E$2:$E$800),--($E$2:$E$800&lt;E173))+(SUMPRODUCT(--ISNUMBER($E$2:$E$800),--($E$2:$E$800=E173))+1)/2)/COUNT($E$2:$E$800)</f>
        <v/>
      </c>
      <c r="I173">
        <f>(SUMPRODUCT(--ISNUMBER($G$2:$G$800),--($G$2:$G$800&lt;G173))+(SUMPRODUCT(--ISNUMBER($G$2:$G$800),--($G$2:$G$800=G173))+1)/2)/COUNT($G$2:$G$800)</f>
        <v/>
      </c>
      <c r="J173" t="n">
        <v>19.79479679627153</v>
      </c>
      <c r="K173" t="n">
        <v>3.846153846153846</v>
      </c>
      <c r="L173" t="n">
        <v>0.2777777777777802</v>
      </c>
      <c r="M173">
        <f>IF(OR(B173="NW",COUNT(Risk_Rank_Keys!B173)=0),0.5,(SUMPRODUCT(--ISNUMBER(Risk_Rank_Keys!$B$2:$B$800),--(Risk_Rank_Keys!$B$2:$B$800&lt;Risk_Rank_Keys!B173))+(SUMPRODUCT(--ISNUMBER(Risk_Rank_Keys!$B$2:$B$800),--(Risk_Rank_Keys!$B$2:$B$800=Risk_Rank_Keys!B173))+1)/2)/COUNT(Risk_Rank_Keys!$B$2:$B$800))</f>
        <v/>
      </c>
      <c r="N173">
        <f>IF(OR(B173="NW",COUNT(Risk_Rank_Keys!C173)=0),0.5,(SUMPRODUCT(--ISNUMBER(Risk_Rank_Keys!$C$2:$C$800),--(Risk_Rank_Keys!$C$2:$C$800&lt;Risk_Rank_Keys!C173))+(SUMPRODUCT(--ISNUMBER(Risk_Rank_Keys!$C$2:$C$800),--(Risk_Rank_Keys!$C$2:$C$800=Risk_Rank_Keys!C173))+1)/2)/COUNT(Risk_Rank_Keys!$C$2:$C$800))</f>
        <v/>
      </c>
      <c r="O173">
        <f>IF(OR(B173="NW",COUNT(Risk_Rank_Keys!D173)=0),0.5,(SUMPRODUCT(--ISNUMBER(Risk_Rank_Keys!$D$2:$D$800),--(Risk_Rank_Keys!$D$2:$D$800&lt;Risk_Rank_Keys!D173))+(SUMPRODUCT(--ISNUMBER(Risk_Rank_Keys!$D$2:$D$800),--(Risk_Rank_Keys!$D$2:$D$800=Risk_Rank_Keys!D173))+1)/2)/COUNT(Risk_Rank_Keys!$D$2:$D$800))</f>
        <v/>
      </c>
      <c r="P173">
        <f>AVERAGE(M173:O173)</f>
        <v/>
      </c>
      <c r="Q173">
        <f>0.4*H173+0.4*I173+0.2*P173</f>
        <v/>
      </c>
      <c r="R173">
        <f>PERCENTILE($Q$2:$Q$800,0.75)</f>
        <v/>
      </c>
      <c r="S173">
        <f>OR(Q173&gt;=R173,AND(B173="CW",COUNT(J173:L173)&lt;3))</f>
        <v/>
      </c>
      <c r="T173" t="n">
        <v>0.334483539159903</v>
      </c>
      <c r="U173" t="n">
        <v>11.05089154474102</v>
      </c>
      <c r="V173" t="n">
        <v>0.7945028915153706</v>
      </c>
      <c r="W173">
        <f>Q173-V173</f>
        <v/>
      </c>
    </row>
    <row r="174">
      <c r="A174" t="inlineStr">
        <is>
          <t>2021-12-15</t>
        </is>
      </c>
      <c r="B174" t="inlineStr">
        <is>
          <t>CW</t>
        </is>
      </c>
      <c r="C174" t="n">
        <v>-24.87469431661304</v>
      </c>
      <c r="D174">
        <f>SUMPRODUCT(Risk_Inputs!B174:AJ174,Risk_Coefs!$B$2:$AJ$2)</f>
        <v/>
      </c>
      <c r="E174">
        <f>1/(1+EXP(-MAX(-25,MIN(25,D174))))</f>
        <v/>
      </c>
      <c r="F174">
        <f>SUMPRODUCT(Risk_Inputs!B174:AJ174,Risk_Coefs!$B$3:$AJ$3)</f>
        <v/>
      </c>
      <c r="G174">
        <f>MAX(0,F174)</f>
        <v/>
      </c>
      <c r="H174">
        <f>(SUMPRODUCT(--ISNUMBER($E$2:$E$800),--($E$2:$E$800&lt;E174))+(SUMPRODUCT(--ISNUMBER($E$2:$E$800),--($E$2:$E$800=E174))+1)/2)/COUNT($E$2:$E$800)</f>
        <v/>
      </c>
      <c r="I174">
        <f>(SUMPRODUCT(--ISNUMBER($G$2:$G$800),--($G$2:$G$800&lt;G174))+(SUMPRODUCT(--ISNUMBER($G$2:$G$800),--($G$2:$G$800=G174))+1)/2)/COUNT($G$2:$G$800)</f>
        <v/>
      </c>
      <c r="J174" t="n">
        <v>10.72379876157337</v>
      </c>
      <c r="K174" t="n">
        <v>1.806559199555308</v>
      </c>
      <c r="L174" t="n">
        <v>0.2779321845469705</v>
      </c>
      <c r="M174">
        <f>IF(OR(B174="NW",COUNT(Risk_Rank_Keys!B174)=0),0.5,(SUMPRODUCT(--ISNUMBER(Risk_Rank_Keys!$B$2:$B$800),--(Risk_Rank_Keys!$B$2:$B$800&lt;Risk_Rank_Keys!B174))+(SUMPRODUCT(--ISNUMBER(Risk_Rank_Keys!$B$2:$B$800),--(Risk_Rank_Keys!$B$2:$B$800=Risk_Rank_Keys!B174))+1)/2)/COUNT(Risk_Rank_Keys!$B$2:$B$800))</f>
        <v/>
      </c>
      <c r="N174">
        <f>IF(OR(B174="NW",COUNT(Risk_Rank_Keys!C174)=0),0.5,(SUMPRODUCT(--ISNUMBER(Risk_Rank_Keys!$C$2:$C$800),--(Risk_Rank_Keys!$C$2:$C$800&lt;Risk_Rank_Keys!C174))+(SUMPRODUCT(--ISNUMBER(Risk_Rank_Keys!$C$2:$C$800),--(Risk_Rank_Keys!$C$2:$C$800=Risk_Rank_Keys!C174))+1)/2)/COUNT(Risk_Rank_Keys!$C$2:$C$800))</f>
        <v/>
      </c>
      <c r="O174">
        <f>IF(OR(B174="NW",COUNT(Risk_Rank_Keys!D174)=0),0.5,(SUMPRODUCT(--ISNUMBER(Risk_Rank_Keys!$D$2:$D$800),--(Risk_Rank_Keys!$D$2:$D$800&lt;Risk_Rank_Keys!D174))+(SUMPRODUCT(--ISNUMBER(Risk_Rank_Keys!$D$2:$D$800),--(Risk_Rank_Keys!$D$2:$D$800=Risk_Rank_Keys!D174))+1)/2)/COUNT(Risk_Rank_Keys!$D$2:$D$800))</f>
        <v/>
      </c>
      <c r="P174">
        <f>AVERAGE(M174:O174)</f>
        <v/>
      </c>
      <c r="Q174">
        <f>0.4*H174+0.4*I174+0.2*P174</f>
        <v/>
      </c>
      <c r="R174">
        <f>PERCENTILE($Q$2:$Q$800,0.75)</f>
        <v/>
      </c>
      <c r="S174">
        <f>OR(Q174&gt;=R174,AND(B174="CW",COUNT(J174:L174)&lt;3))</f>
        <v/>
      </c>
      <c r="T174" t="n">
        <v>0.3050891620780506</v>
      </c>
      <c r="U174" t="n">
        <v>7.205311906883846</v>
      </c>
      <c r="V174" t="n">
        <v>0.5118466888817903</v>
      </c>
      <c r="W174">
        <f>Q174-V174</f>
        <v/>
      </c>
    </row>
    <row r="175">
      <c r="A175" t="inlineStr">
        <is>
          <t>2021-12-16</t>
        </is>
      </c>
      <c r="B175" t="inlineStr">
        <is>
          <t>CW</t>
        </is>
      </c>
      <c r="C175" t="n">
        <v>18.59714291370415</v>
      </c>
      <c r="D175">
        <f>SUMPRODUCT(Risk_Inputs!B175:AJ175,Risk_Coefs!$B$2:$AJ$2)</f>
        <v/>
      </c>
      <c r="E175">
        <f>1/(1+EXP(-MAX(-25,MIN(25,D175))))</f>
        <v/>
      </c>
      <c r="F175">
        <f>SUMPRODUCT(Risk_Inputs!B175:AJ175,Risk_Coefs!$B$3:$AJ$3)</f>
        <v/>
      </c>
      <c r="G175">
        <f>MAX(0,F175)</f>
        <v/>
      </c>
      <c r="H175">
        <f>(SUMPRODUCT(--ISNUMBER($E$2:$E$800),--($E$2:$E$800&lt;E175))+(SUMPRODUCT(--ISNUMBER($E$2:$E$800),--($E$2:$E$800=E175))+1)/2)/COUNT($E$2:$E$800)</f>
        <v/>
      </c>
      <c r="I175">
        <f>(SUMPRODUCT(--ISNUMBER($G$2:$G$800),--($G$2:$G$800&lt;G175))+(SUMPRODUCT(--ISNUMBER($G$2:$G$800),--($G$2:$G$800=G175))+1)/2)/COUNT($G$2:$G$800)</f>
        <v/>
      </c>
      <c r="J175" t="n">
        <v>6.804525586171192</v>
      </c>
      <c r="K175" t="n">
        <v>2.464958917351375</v>
      </c>
      <c r="L175" t="n">
        <v>0.2899951667472181</v>
      </c>
      <c r="M175">
        <f>IF(OR(B175="NW",COUNT(Risk_Rank_Keys!B175)=0),0.5,(SUMPRODUCT(--ISNUMBER(Risk_Rank_Keys!$B$2:$B$800),--(Risk_Rank_Keys!$B$2:$B$800&lt;Risk_Rank_Keys!B175))+(SUMPRODUCT(--ISNUMBER(Risk_Rank_Keys!$B$2:$B$800),--(Risk_Rank_Keys!$B$2:$B$800=Risk_Rank_Keys!B175))+1)/2)/COUNT(Risk_Rank_Keys!$B$2:$B$800))</f>
        <v/>
      </c>
      <c r="N175">
        <f>IF(OR(B175="NW",COUNT(Risk_Rank_Keys!C175)=0),0.5,(SUMPRODUCT(--ISNUMBER(Risk_Rank_Keys!$C$2:$C$800),--(Risk_Rank_Keys!$C$2:$C$800&lt;Risk_Rank_Keys!C175))+(SUMPRODUCT(--ISNUMBER(Risk_Rank_Keys!$C$2:$C$800),--(Risk_Rank_Keys!$C$2:$C$800=Risk_Rank_Keys!C175))+1)/2)/COUNT(Risk_Rank_Keys!$C$2:$C$800))</f>
        <v/>
      </c>
      <c r="O175">
        <f>IF(OR(B175="NW",COUNT(Risk_Rank_Keys!D175)=0),0.5,(SUMPRODUCT(--ISNUMBER(Risk_Rank_Keys!$D$2:$D$800),--(Risk_Rank_Keys!$D$2:$D$800&lt;Risk_Rank_Keys!D175))+(SUMPRODUCT(--ISNUMBER(Risk_Rank_Keys!$D$2:$D$800),--(Risk_Rank_Keys!$D$2:$D$800=Risk_Rank_Keys!D175))+1)/2)/COUNT(Risk_Rank_Keys!$D$2:$D$800))</f>
        <v/>
      </c>
      <c r="P175">
        <f>AVERAGE(M175:O175)</f>
        <v/>
      </c>
      <c r="Q175">
        <f>0.4*H175+0.4*I175+0.2*P175</f>
        <v/>
      </c>
      <c r="R175">
        <f>PERCENTILE($Q$2:$Q$800,0.75)</f>
        <v/>
      </c>
      <c r="S175">
        <f>OR(Q175&gt;=R175,AND(B175="CW",COUNT(J175:L175)&lt;3))</f>
        <v/>
      </c>
      <c r="T175" t="n">
        <v>0.2903164022034958</v>
      </c>
      <c r="U175" t="n">
        <v>9.117223918045299</v>
      </c>
      <c r="V175" t="n">
        <v>0.5811474012436513</v>
      </c>
      <c r="W175">
        <f>Q175-V175</f>
        <v/>
      </c>
    </row>
    <row r="176">
      <c r="A176" t="inlineStr">
        <is>
          <t>2021-12-20</t>
        </is>
      </c>
      <c r="B176" t="inlineStr">
        <is>
          <t>CW</t>
        </is>
      </c>
      <c r="C176" t="n">
        <v>13.22888205589915</v>
      </c>
      <c r="D176">
        <f>SUMPRODUCT(Risk_Inputs!B176:AJ176,Risk_Coefs!$B$2:$AJ$2)</f>
        <v/>
      </c>
      <c r="E176">
        <f>1/(1+EXP(-MAX(-25,MIN(25,D176))))</f>
        <v/>
      </c>
      <c r="F176">
        <f>SUMPRODUCT(Risk_Inputs!B176:AJ176,Risk_Coefs!$B$3:$AJ$3)</f>
        <v/>
      </c>
      <c r="G176">
        <f>MAX(0,F176)</f>
        <v/>
      </c>
      <c r="H176">
        <f>(SUMPRODUCT(--ISNUMBER($E$2:$E$800),--($E$2:$E$800&lt;E176))+(SUMPRODUCT(--ISNUMBER($E$2:$E$800),--($E$2:$E$800=E176))+1)/2)/COUNT($E$2:$E$800)</f>
        <v/>
      </c>
      <c r="I176">
        <f>(SUMPRODUCT(--ISNUMBER($G$2:$G$800),--($G$2:$G$800&lt;G176))+(SUMPRODUCT(--ISNUMBER($G$2:$G$800),--($G$2:$G$800=G176))+1)/2)/COUNT($G$2:$G$800)</f>
        <v/>
      </c>
      <c r="J176" t="n">
        <v>10.37335121842251</v>
      </c>
      <c r="K176" t="n">
        <v>2.251376741172656</v>
      </c>
      <c r="L176" t="n">
        <v>0.2105604146420491</v>
      </c>
      <c r="M176">
        <f>IF(OR(B176="NW",COUNT(Risk_Rank_Keys!B176)=0),0.5,(SUMPRODUCT(--ISNUMBER(Risk_Rank_Keys!$B$2:$B$800),--(Risk_Rank_Keys!$B$2:$B$800&lt;Risk_Rank_Keys!B176))+(SUMPRODUCT(--ISNUMBER(Risk_Rank_Keys!$B$2:$B$800),--(Risk_Rank_Keys!$B$2:$B$800=Risk_Rank_Keys!B176))+1)/2)/COUNT(Risk_Rank_Keys!$B$2:$B$800))</f>
        <v/>
      </c>
      <c r="N176">
        <f>IF(OR(B176="NW",COUNT(Risk_Rank_Keys!C176)=0),0.5,(SUMPRODUCT(--ISNUMBER(Risk_Rank_Keys!$C$2:$C$800),--(Risk_Rank_Keys!$C$2:$C$800&lt;Risk_Rank_Keys!C176))+(SUMPRODUCT(--ISNUMBER(Risk_Rank_Keys!$C$2:$C$800),--(Risk_Rank_Keys!$C$2:$C$800=Risk_Rank_Keys!C176))+1)/2)/COUNT(Risk_Rank_Keys!$C$2:$C$800))</f>
        <v/>
      </c>
      <c r="O176">
        <f>IF(OR(B176="NW",COUNT(Risk_Rank_Keys!D176)=0),0.5,(SUMPRODUCT(--ISNUMBER(Risk_Rank_Keys!$D$2:$D$800),--(Risk_Rank_Keys!$D$2:$D$800&lt;Risk_Rank_Keys!D176))+(SUMPRODUCT(--ISNUMBER(Risk_Rank_Keys!$D$2:$D$800),--(Risk_Rank_Keys!$D$2:$D$800=Risk_Rank_Keys!D176))+1)/2)/COUNT(Risk_Rank_Keys!$D$2:$D$800))</f>
        <v/>
      </c>
      <c r="P176">
        <f>AVERAGE(M176:O176)</f>
        <v/>
      </c>
      <c r="Q176">
        <f>0.4*H176+0.4*I176+0.2*P176</f>
        <v/>
      </c>
      <c r="R176">
        <f>PERCENTILE($Q$2:$Q$800,0.75)</f>
        <v/>
      </c>
      <c r="S176">
        <f>OR(Q176&gt;=R176,AND(B176="CW",COUNT(J176:L176)&lt;3))</f>
        <v/>
      </c>
      <c r="T176" t="n">
        <v>0.351054082251614</v>
      </c>
      <c r="U176" t="n">
        <v>6.80939478628593</v>
      </c>
      <c r="V176" t="n">
        <v>0.5688025885448397</v>
      </c>
      <c r="W176">
        <f>Q176-V176</f>
        <v/>
      </c>
    </row>
    <row r="177">
      <c r="A177" t="inlineStr">
        <is>
          <t>2021-12-22</t>
        </is>
      </c>
      <c r="B177" t="inlineStr">
        <is>
          <t>CW</t>
        </is>
      </c>
      <c r="C177" t="n">
        <v>60.42114697141871</v>
      </c>
      <c r="D177">
        <f>SUMPRODUCT(Risk_Inputs!B177:AJ177,Risk_Coefs!$B$2:$AJ$2)</f>
        <v/>
      </c>
      <c r="E177">
        <f>1/(1+EXP(-MAX(-25,MIN(25,D177))))</f>
        <v/>
      </c>
      <c r="F177">
        <f>SUMPRODUCT(Risk_Inputs!B177:AJ177,Risk_Coefs!$B$3:$AJ$3)</f>
        <v/>
      </c>
      <c r="G177">
        <f>MAX(0,F177)</f>
        <v/>
      </c>
      <c r="H177">
        <f>(SUMPRODUCT(--ISNUMBER($E$2:$E$800),--($E$2:$E$800&lt;E177))+(SUMPRODUCT(--ISNUMBER($E$2:$E$800),--($E$2:$E$800=E177))+1)/2)/COUNT($E$2:$E$800)</f>
        <v/>
      </c>
      <c r="I177">
        <f>(SUMPRODUCT(--ISNUMBER($G$2:$G$800),--($G$2:$G$800&lt;G177))+(SUMPRODUCT(--ISNUMBER($G$2:$G$800),--($G$2:$G$800=G177))+1)/2)/COUNT($G$2:$G$800)</f>
        <v/>
      </c>
      <c r="J177" t="n">
        <v>8.288928359976317</v>
      </c>
      <c r="K177" t="n">
        <v>1.508620689655178</v>
      </c>
      <c r="L177" t="n">
        <v>0.1885775862068934</v>
      </c>
      <c r="M177">
        <f>IF(OR(B177="NW",COUNT(Risk_Rank_Keys!B177)=0),0.5,(SUMPRODUCT(--ISNUMBER(Risk_Rank_Keys!$B$2:$B$800),--(Risk_Rank_Keys!$B$2:$B$800&lt;Risk_Rank_Keys!B177))+(SUMPRODUCT(--ISNUMBER(Risk_Rank_Keys!$B$2:$B$800),--(Risk_Rank_Keys!$B$2:$B$800=Risk_Rank_Keys!B177))+1)/2)/COUNT(Risk_Rank_Keys!$B$2:$B$800))</f>
        <v/>
      </c>
      <c r="N177">
        <f>IF(OR(B177="NW",COUNT(Risk_Rank_Keys!C177)=0),0.5,(SUMPRODUCT(--ISNUMBER(Risk_Rank_Keys!$C$2:$C$800),--(Risk_Rank_Keys!$C$2:$C$800&lt;Risk_Rank_Keys!C177))+(SUMPRODUCT(--ISNUMBER(Risk_Rank_Keys!$C$2:$C$800),--(Risk_Rank_Keys!$C$2:$C$800=Risk_Rank_Keys!C177))+1)/2)/COUNT(Risk_Rank_Keys!$C$2:$C$800))</f>
        <v/>
      </c>
      <c r="O177">
        <f>IF(OR(B177="NW",COUNT(Risk_Rank_Keys!D177)=0),0.5,(SUMPRODUCT(--ISNUMBER(Risk_Rank_Keys!$D$2:$D$800),--(Risk_Rank_Keys!$D$2:$D$800&lt;Risk_Rank_Keys!D177))+(SUMPRODUCT(--ISNUMBER(Risk_Rank_Keys!$D$2:$D$800),--(Risk_Rank_Keys!$D$2:$D$800=Risk_Rank_Keys!D177))+1)/2)/COUNT(Risk_Rank_Keys!$D$2:$D$800))</f>
        <v/>
      </c>
      <c r="P177">
        <f>AVERAGE(M177:O177)</f>
        <v/>
      </c>
      <c r="Q177">
        <f>0.4*H177+0.4*I177+0.2*P177</f>
        <v/>
      </c>
      <c r="R177">
        <f>PERCENTILE($Q$2:$Q$800,0.75)</f>
        <v/>
      </c>
      <c r="S177">
        <f>OR(Q177&gt;=R177,AND(B177="CW",COUNT(J177:L177)&lt;3))</f>
        <v/>
      </c>
      <c r="T177" t="n">
        <v>0.3517611799756516</v>
      </c>
      <c r="U177" t="n">
        <v>8.59648096118775</v>
      </c>
      <c r="V177" t="n">
        <v>0.6290113920876224</v>
      </c>
      <c r="W177">
        <f>Q177-V177</f>
        <v/>
      </c>
    </row>
    <row r="178">
      <c r="A178" t="inlineStr">
        <is>
          <t>2021-12-23</t>
        </is>
      </c>
      <c r="B178" t="inlineStr">
        <is>
          <t>CW</t>
        </is>
      </c>
      <c r="C178" t="n">
        <v>46.66229403751511</v>
      </c>
      <c r="D178">
        <f>SUMPRODUCT(Risk_Inputs!B178:AJ178,Risk_Coefs!$B$2:$AJ$2)</f>
        <v/>
      </c>
      <c r="E178">
        <f>1/(1+EXP(-MAX(-25,MIN(25,D178))))</f>
        <v/>
      </c>
      <c r="F178">
        <f>SUMPRODUCT(Risk_Inputs!B178:AJ178,Risk_Coefs!$B$3:$AJ$3)</f>
        <v/>
      </c>
      <c r="G178">
        <f>MAX(0,F178)</f>
        <v/>
      </c>
      <c r="H178">
        <f>(SUMPRODUCT(--ISNUMBER($E$2:$E$800),--($E$2:$E$800&lt;E178))+(SUMPRODUCT(--ISNUMBER($E$2:$E$800),--($E$2:$E$800=E178))+1)/2)/COUNT($E$2:$E$800)</f>
        <v/>
      </c>
      <c r="I178">
        <f>(SUMPRODUCT(--ISNUMBER($G$2:$G$800),--($G$2:$G$800&lt;G178))+(SUMPRODUCT(--ISNUMBER($G$2:$G$800),--($G$2:$G$800=G178))+1)/2)/COUNT($G$2:$G$800)</f>
        <v/>
      </c>
      <c r="J178" t="n">
        <v>8.976687015779182</v>
      </c>
      <c r="K178" t="n">
        <v>3.164880040837156</v>
      </c>
      <c r="L178" t="n">
        <v>0.3573251659009714</v>
      </c>
      <c r="M178">
        <f>IF(OR(B178="NW",COUNT(Risk_Rank_Keys!B178)=0),0.5,(SUMPRODUCT(--ISNUMBER(Risk_Rank_Keys!$B$2:$B$800),--(Risk_Rank_Keys!$B$2:$B$800&lt;Risk_Rank_Keys!B178))+(SUMPRODUCT(--ISNUMBER(Risk_Rank_Keys!$B$2:$B$800),--(Risk_Rank_Keys!$B$2:$B$800=Risk_Rank_Keys!B178))+1)/2)/COUNT(Risk_Rank_Keys!$B$2:$B$800))</f>
        <v/>
      </c>
      <c r="N178">
        <f>IF(OR(B178="NW",COUNT(Risk_Rank_Keys!C178)=0),0.5,(SUMPRODUCT(--ISNUMBER(Risk_Rank_Keys!$C$2:$C$800),--(Risk_Rank_Keys!$C$2:$C$800&lt;Risk_Rank_Keys!C178))+(SUMPRODUCT(--ISNUMBER(Risk_Rank_Keys!$C$2:$C$800),--(Risk_Rank_Keys!$C$2:$C$800=Risk_Rank_Keys!C178))+1)/2)/COUNT(Risk_Rank_Keys!$C$2:$C$800))</f>
        <v/>
      </c>
      <c r="O178">
        <f>IF(OR(B178="NW",COUNT(Risk_Rank_Keys!D178)=0),0.5,(SUMPRODUCT(--ISNUMBER(Risk_Rank_Keys!$D$2:$D$800),--(Risk_Rank_Keys!$D$2:$D$800&lt;Risk_Rank_Keys!D178))+(SUMPRODUCT(--ISNUMBER(Risk_Rank_Keys!$D$2:$D$800),--(Risk_Rank_Keys!$D$2:$D$800=Risk_Rank_Keys!D178))+1)/2)/COUNT(Risk_Rank_Keys!$D$2:$D$800))</f>
        <v/>
      </c>
      <c r="P178">
        <f>AVERAGE(M178:O178)</f>
        <v/>
      </c>
      <c r="Q178">
        <f>0.4*H178+0.4*I178+0.2*P178</f>
        <v/>
      </c>
      <c r="R178">
        <f>PERCENTILE($Q$2:$Q$800,0.75)</f>
        <v/>
      </c>
      <c r="S178">
        <f>OR(Q178&gt;=R178,AND(B178="CW",COUNT(J178:L178)&lt;3))</f>
        <v/>
      </c>
      <c r="T178" t="n">
        <v>0.3138601574481874</v>
      </c>
      <c r="U178" t="n">
        <v>7.801152890881221</v>
      </c>
      <c r="V178" t="n">
        <v>0.5819430261792838</v>
      </c>
      <c r="W178">
        <f>Q178-V178</f>
        <v/>
      </c>
    </row>
    <row r="179">
      <c r="A179" t="inlineStr">
        <is>
          <t>2021-12-24</t>
        </is>
      </c>
      <c r="B179" t="inlineStr">
        <is>
          <t>CW</t>
        </is>
      </c>
      <c r="C179" t="n">
        <v>-2.348856387909219</v>
      </c>
      <c r="D179">
        <f>SUMPRODUCT(Risk_Inputs!B179:AJ179,Risk_Coefs!$B$2:$AJ$2)</f>
        <v/>
      </c>
      <c r="E179">
        <f>1/(1+EXP(-MAX(-25,MIN(25,D179))))</f>
        <v/>
      </c>
      <c r="F179">
        <f>SUMPRODUCT(Risk_Inputs!B179:AJ179,Risk_Coefs!$B$3:$AJ$3)</f>
        <v/>
      </c>
      <c r="G179">
        <f>MAX(0,F179)</f>
        <v/>
      </c>
      <c r="H179">
        <f>(SUMPRODUCT(--ISNUMBER($E$2:$E$800),--($E$2:$E$800&lt;E179))+(SUMPRODUCT(--ISNUMBER($E$2:$E$800),--($E$2:$E$800=E179))+1)/2)/COUNT($E$2:$E$800)</f>
        <v/>
      </c>
      <c r="I179">
        <f>(SUMPRODUCT(--ISNUMBER($G$2:$G$800),--($G$2:$G$800&lt;G179))+(SUMPRODUCT(--ISNUMBER($G$2:$G$800),--($G$2:$G$800=G179))+1)/2)/COUNT($G$2:$G$800)</f>
        <v/>
      </c>
      <c r="J179" t="n">
        <v>20.78406496554948</v>
      </c>
      <c r="K179" t="n">
        <v>4.269500990812474</v>
      </c>
      <c r="L179" t="n">
        <v>0.3602954422626656</v>
      </c>
      <c r="M179">
        <f>IF(OR(B179="NW",COUNT(Risk_Rank_Keys!B179)=0),0.5,(SUMPRODUCT(--ISNUMBER(Risk_Rank_Keys!$B$2:$B$800),--(Risk_Rank_Keys!$B$2:$B$800&lt;Risk_Rank_Keys!B179))+(SUMPRODUCT(--ISNUMBER(Risk_Rank_Keys!$B$2:$B$800),--(Risk_Rank_Keys!$B$2:$B$800=Risk_Rank_Keys!B179))+1)/2)/COUNT(Risk_Rank_Keys!$B$2:$B$800))</f>
        <v/>
      </c>
      <c r="N179">
        <f>IF(OR(B179="NW",COUNT(Risk_Rank_Keys!C179)=0),0.5,(SUMPRODUCT(--ISNUMBER(Risk_Rank_Keys!$C$2:$C$800),--(Risk_Rank_Keys!$C$2:$C$800&lt;Risk_Rank_Keys!C179))+(SUMPRODUCT(--ISNUMBER(Risk_Rank_Keys!$C$2:$C$800),--(Risk_Rank_Keys!$C$2:$C$800=Risk_Rank_Keys!C179))+1)/2)/COUNT(Risk_Rank_Keys!$C$2:$C$800))</f>
        <v/>
      </c>
      <c r="O179">
        <f>IF(OR(B179="NW",COUNT(Risk_Rank_Keys!D179)=0),0.5,(SUMPRODUCT(--ISNUMBER(Risk_Rank_Keys!$D$2:$D$800),--(Risk_Rank_Keys!$D$2:$D$800&lt;Risk_Rank_Keys!D179))+(SUMPRODUCT(--ISNUMBER(Risk_Rank_Keys!$D$2:$D$800),--(Risk_Rank_Keys!$D$2:$D$800=Risk_Rank_Keys!D179))+1)/2)/COUNT(Risk_Rank_Keys!$D$2:$D$800))</f>
        <v/>
      </c>
      <c r="P179">
        <f>AVERAGE(M179:O179)</f>
        <v/>
      </c>
      <c r="Q179">
        <f>0.4*H179+0.4*I179+0.2*P179</f>
        <v/>
      </c>
      <c r="R179">
        <f>PERCENTILE($Q$2:$Q$800,0.75)</f>
        <v/>
      </c>
      <c r="S179">
        <f>OR(Q179&gt;=R179,AND(B179="CW",COUNT(J179:L179)&lt;3))</f>
        <v/>
      </c>
      <c r="T179" t="n">
        <v>0.2183296607335614</v>
      </c>
      <c r="U179" t="n">
        <v>6.317462352968944</v>
      </c>
      <c r="V179" t="n">
        <v>0.3351583714883027</v>
      </c>
      <c r="W179">
        <f>Q179-V179</f>
        <v/>
      </c>
    </row>
    <row r="180">
      <c r="A180" t="inlineStr">
        <is>
          <t>2021-12-27</t>
        </is>
      </c>
      <c r="B180" t="inlineStr">
        <is>
          <t>CW</t>
        </is>
      </c>
      <c r="C180" t="n">
        <v>-7.357834282918594</v>
      </c>
      <c r="D180">
        <f>SUMPRODUCT(Risk_Inputs!B180:AJ180,Risk_Coefs!$B$2:$AJ$2)</f>
        <v/>
      </c>
      <c r="E180">
        <f>1/(1+EXP(-MAX(-25,MIN(25,D180))))</f>
        <v/>
      </c>
      <c r="F180">
        <f>SUMPRODUCT(Risk_Inputs!B180:AJ180,Risk_Coefs!$B$3:$AJ$3)</f>
        <v/>
      </c>
      <c r="G180">
        <f>MAX(0,F180)</f>
        <v/>
      </c>
      <c r="H180">
        <f>(SUMPRODUCT(--ISNUMBER($E$2:$E$800),--($E$2:$E$800&lt;E180))+(SUMPRODUCT(--ISNUMBER($E$2:$E$800),--($E$2:$E$800=E180))+1)/2)/COUNT($E$2:$E$800)</f>
        <v/>
      </c>
      <c r="I180">
        <f>(SUMPRODUCT(--ISNUMBER($G$2:$G$800),--($G$2:$G$800&lt;G180))+(SUMPRODUCT(--ISNUMBER($G$2:$G$800),--($G$2:$G$800=G180))+1)/2)/COUNT($G$2:$G$800)</f>
        <v/>
      </c>
      <c r="J180" t="n">
        <v>42.26094579226817</v>
      </c>
      <c r="K180" t="n">
        <v>15.58367963732527</v>
      </c>
      <c r="L180" t="n">
        <v>0.3211182470721658</v>
      </c>
      <c r="M180">
        <f>IF(OR(B180="NW",COUNT(Risk_Rank_Keys!B180)=0),0.5,(SUMPRODUCT(--ISNUMBER(Risk_Rank_Keys!$B$2:$B$800),--(Risk_Rank_Keys!$B$2:$B$800&lt;Risk_Rank_Keys!B180))+(SUMPRODUCT(--ISNUMBER(Risk_Rank_Keys!$B$2:$B$800),--(Risk_Rank_Keys!$B$2:$B$800=Risk_Rank_Keys!B180))+1)/2)/COUNT(Risk_Rank_Keys!$B$2:$B$800))</f>
        <v/>
      </c>
      <c r="N180">
        <f>IF(OR(B180="NW",COUNT(Risk_Rank_Keys!C180)=0),0.5,(SUMPRODUCT(--ISNUMBER(Risk_Rank_Keys!$C$2:$C$800),--(Risk_Rank_Keys!$C$2:$C$800&lt;Risk_Rank_Keys!C180))+(SUMPRODUCT(--ISNUMBER(Risk_Rank_Keys!$C$2:$C$800),--(Risk_Rank_Keys!$C$2:$C$800=Risk_Rank_Keys!C180))+1)/2)/COUNT(Risk_Rank_Keys!$C$2:$C$800))</f>
        <v/>
      </c>
      <c r="O180">
        <f>IF(OR(B180="NW",COUNT(Risk_Rank_Keys!D180)=0),0.5,(SUMPRODUCT(--ISNUMBER(Risk_Rank_Keys!$D$2:$D$800),--(Risk_Rank_Keys!$D$2:$D$800&lt;Risk_Rank_Keys!D180))+(SUMPRODUCT(--ISNUMBER(Risk_Rank_Keys!$D$2:$D$800),--(Risk_Rank_Keys!$D$2:$D$800=Risk_Rank_Keys!D180))+1)/2)/COUNT(Risk_Rank_Keys!$D$2:$D$800))</f>
        <v/>
      </c>
      <c r="P180">
        <f>AVERAGE(M180:O180)</f>
        <v/>
      </c>
      <c r="Q180">
        <f>0.4*H180+0.4*I180+0.2*P180</f>
        <v/>
      </c>
      <c r="R180">
        <f>PERCENTILE($Q$2:$Q$800,0.75)</f>
        <v/>
      </c>
      <c r="S180">
        <f>OR(Q180&gt;=R180,AND(B180="CW",COUNT(J180:L180)&lt;3))</f>
        <v/>
      </c>
      <c r="T180" t="n">
        <v>0.15966137716363</v>
      </c>
      <c r="U180" t="n">
        <v>2.5654004296489</v>
      </c>
      <c r="V180" t="n">
        <v>0.1991759806685368</v>
      </c>
      <c r="W180">
        <f>Q180-V180</f>
        <v/>
      </c>
    </row>
    <row r="181">
      <c r="A181" t="inlineStr">
        <is>
          <t>2021-12-29</t>
        </is>
      </c>
      <c r="B181" t="inlineStr">
        <is>
          <t>CW</t>
        </is>
      </c>
      <c r="C181" t="n">
        <v>29.83569291072201</v>
      </c>
      <c r="D181">
        <f>SUMPRODUCT(Risk_Inputs!B181:AJ181,Risk_Coefs!$B$2:$AJ$2)</f>
        <v/>
      </c>
      <c r="E181">
        <f>1/(1+EXP(-MAX(-25,MIN(25,D181))))</f>
        <v/>
      </c>
      <c r="F181">
        <f>SUMPRODUCT(Risk_Inputs!B181:AJ181,Risk_Coefs!$B$3:$AJ$3)</f>
        <v/>
      </c>
      <c r="G181">
        <f>MAX(0,F181)</f>
        <v/>
      </c>
      <c r="H181">
        <f>(SUMPRODUCT(--ISNUMBER($E$2:$E$800),--($E$2:$E$800&lt;E181))+(SUMPRODUCT(--ISNUMBER($E$2:$E$800),--($E$2:$E$800=E181))+1)/2)/COUNT($E$2:$E$800)</f>
        <v/>
      </c>
      <c r="I181">
        <f>(SUMPRODUCT(--ISNUMBER($G$2:$G$800),--($G$2:$G$800&lt;G181))+(SUMPRODUCT(--ISNUMBER($G$2:$G$800),--($G$2:$G$800=G181))+1)/2)/COUNT($G$2:$G$800)</f>
        <v/>
      </c>
      <c r="J181" t="n">
        <v>12.12297405334606</v>
      </c>
      <c r="K181" t="n">
        <v>3.304178814382874</v>
      </c>
      <c r="L181" t="n">
        <v>0.2591512795594465</v>
      </c>
      <c r="M181">
        <f>IF(OR(B181="NW",COUNT(Risk_Rank_Keys!B181)=0),0.5,(SUMPRODUCT(--ISNUMBER(Risk_Rank_Keys!$B$2:$B$800),--(Risk_Rank_Keys!$B$2:$B$800&lt;Risk_Rank_Keys!B181))+(SUMPRODUCT(--ISNUMBER(Risk_Rank_Keys!$B$2:$B$800),--(Risk_Rank_Keys!$B$2:$B$800=Risk_Rank_Keys!B181))+1)/2)/COUNT(Risk_Rank_Keys!$B$2:$B$800))</f>
        <v/>
      </c>
      <c r="N181">
        <f>IF(OR(B181="NW",COUNT(Risk_Rank_Keys!C181)=0),0.5,(SUMPRODUCT(--ISNUMBER(Risk_Rank_Keys!$C$2:$C$800),--(Risk_Rank_Keys!$C$2:$C$800&lt;Risk_Rank_Keys!C181))+(SUMPRODUCT(--ISNUMBER(Risk_Rank_Keys!$C$2:$C$800),--(Risk_Rank_Keys!$C$2:$C$800=Risk_Rank_Keys!C181))+1)/2)/COUNT(Risk_Rank_Keys!$C$2:$C$800))</f>
        <v/>
      </c>
      <c r="O181">
        <f>IF(OR(B181="NW",COUNT(Risk_Rank_Keys!D181)=0),0.5,(SUMPRODUCT(--ISNUMBER(Risk_Rank_Keys!$D$2:$D$800),--(Risk_Rank_Keys!$D$2:$D$800&lt;Risk_Rank_Keys!D181))+(SUMPRODUCT(--ISNUMBER(Risk_Rank_Keys!$D$2:$D$800),--(Risk_Rank_Keys!$D$2:$D$800=Risk_Rank_Keys!D181))+1)/2)/COUNT(Risk_Rank_Keys!$D$2:$D$800))</f>
        <v/>
      </c>
      <c r="P181">
        <f>AVERAGE(M181:O181)</f>
        <v/>
      </c>
      <c r="Q181">
        <f>0.4*H181+0.4*I181+0.2*P181</f>
        <v/>
      </c>
      <c r="R181">
        <f>PERCENTILE($Q$2:$Q$800,0.75)</f>
        <v/>
      </c>
      <c r="S181">
        <f>OR(Q181&gt;=R181,AND(B181="CW",COUNT(J181:L181)&lt;3))</f>
        <v/>
      </c>
      <c r="T181" t="n">
        <v>0.2514063350414028</v>
      </c>
      <c r="U181" t="n">
        <v>6.439577567343623</v>
      </c>
      <c r="V181" t="n">
        <v>0.3587495759750827</v>
      </c>
      <c r="W181">
        <f>Q181-V181</f>
        <v/>
      </c>
    </row>
    <row r="182">
      <c r="A182" t="inlineStr">
        <is>
          <t>2021-12-30</t>
        </is>
      </c>
      <c r="B182" t="inlineStr">
        <is>
          <t>CW</t>
        </is>
      </c>
      <c r="C182" t="n">
        <v>27.95385193658521</v>
      </c>
      <c r="D182">
        <f>SUMPRODUCT(Risk_Inputs!B182:AJ182,Risk_Coefs!$B$2:$AJ$2)</f>
        <v/>
      </c>
      <c r="E182">
        <f>1/(1+EXP(-MAX(-25,MIN(25,D182))))</f>
        <v/>
      </c>
      <c r="F182">
        <f>SUMPRODUCT(Risk_Inputs!B182:AJ182,Risk_Coefs!$B$3:$AJ$3)</f>
        <v/>
      </c>
      <c r="G182">
        <f>MAX(0,F182)</f>
        <v/>
      </c>
      <c r="H182">
        <f>(SUMPRODUCT(--ISNUMBER($E$2:$E$800),--($E$2:$E$800&lt;E182))+(SUMPRODUCT(--ISNUMBER($E$2:$E$800),--($E$2:$E$800=E182))+1)/2)/COUNT($E$2:$E$800)</f>
        <v/>
      </c>
      <c r="I182">
        <f>(SUMPRODUCT(--ISNUMBER($G$2:$G$800),--($G$2:$G$800&lt;G182))+(SUMPRODUCT(--ISNUMBER($G$2:$G$800),--($G$2:$G$800=G182))+1)/2)/COUNT($G$2:$G$800)</f>
        <v/>
      </c>
      <c r="J182" t="n">
        <v>27.32057402331945</v>
      </c>
      <c r="K182" t="n">
        <v>7.536231884057982</v>
      </c>
      <c r="L182" t="n">
        <v>0.7729468599033857</v>
      </c>
      <c r="M182">
        <f>IF(OR(B182="NW",COUNT(Risk_Rank_Keys!B182)=0),0.5,(SUMPRODUCT(--ISNUMBER(Risk_Rank_Keys!$B$2:$B$800),--(Risk_Rank_Keys!$B$2:$B$800&lt;Risk_Rank_Keys!B182))+(SUMPRODUCT(--ISNUMBER(Risk_Rank_Keys!$B$2:$B$800),--(Risk_Rank_Keys!$B$2:$B$800=Risk_Rank_Keys!B182))+1)/2)/COUNT(Risk_Rank_Keys!$B$2:$B$800))</f>
        <v/>
      </c>
      <c r="N182">
        <f>IF(OR(B182="NW",COUNT(Risk_Rank_Keys!C182)=0),0.5,(SUMPRODUCT(--ISNUMBER(Risk_Rank_Keys!$C$2:$C$800),--(Risk_Rank_Keys!$C$2:$C$800&lt;Risk_Rank_Keys!C182))+(SUMPRODUCT(--ISNUMBER(Risk_Rank_Keys!$C$2:$C$800),--(Risk_Rank_Keys!$C$2:$C$800=Risk_Rank_Keys!C182))+1)/2)/COUNT(Risk_Rank_Keys!$C$2:$C$800))</f>
        <v/>
      </c>
      <c r="O182">
        <f>IF(OR(B182="NW",COUNT(Risk_Rank_Keys!D182)=0),0.5,(SUMPRODUCT(--ISNUMBER(Risk_Rank_Keys!$D$2:$D$800),--(Risk_Rank_Keys!$D$2:$D$800&lt;Risk_Rank_Keys!D182))+(SUMPRODUCT(--ISNUMBER(Risk_Rank_Keys!$D$2:$D$800),--(Risk_Rank_Keys!$D$2:$D$800=Risk_Rank_Keys!D182))+1)/2)/COUNT(Risk_Rank_Keys!$D$2:$D$800))</f>
        <v/>
      </c>
      <c r="P182">
        <f>AVERAGE(M182:O182)</f>
        <v/>
      </c>
      <c r="Q182">
        <f>0.4*H182+0.4*I182+0.2*P182</f>
        <v/>
      </c>
      <c r="R182">
        <f>PERCENTILE($Q$2:$Q$800,0.75)</f>
        <v/>
      </c>
      <c r="S182">
        <f>OR(Q182&gt;=R182,AND(B182="CW",COUNT(J182:L182)&lt;3))</f>
        <v/>
      </c>
      <c r="T182" t="n">
        <v>0.2016527040937524</v>
      </c>
      <c r="U182" t="n">
        <v>6.54944279302069</v>
      </c>
      <c r="V182" t="n">
        <v>0.3615862226667574</v>
      </c>
      <c r="W182">
        <f>Q182-V182</f>
        <v/>
      </c>
    </row>
    <row r="183">
      <c r="A183" t="inlineStr">
        <is>
          <t>2021-12-31</t>
        </is>
      </c>
      <c r="B183" t="inlineStr">
        <is>
          <t>CW</t>
        </is>
      </c>
      <c r="C183" t="n">
        <v>18.06443666837282</v>
      </c>
      <c r="D183">
        <f>SUMPRODUCT(Risk_Inputs!B183:AJ183,Risk_Coefs!$B$2:$AJ$2)</f>
        <v/>
      </c>
      <c r="E183">
        <f>1/(1+EXP(-MAX(-25,MIN(25,D183))))</f>
        <v/>
      </c>
      <c r="F183">
        <f>SUMPRODUCT(Risk_Inputs!B183:AJ183,Risk_Coefs!$B$3:$AJ$3)</f>
        <v/>
      </c>
      <c r="G183">
        <f>MAX(0,F183)</f>
        <v/>
      </c>
      <c r="H183">
        <f>(SUMPRODUCT(--ISNUMBER($E$2:$E$800),--($E$2:$E$800&lt;E183))+(SUMPRODUCT(--ISNUMBER($E$2:$E$800),--($E$2:$E$800=E183))+1)/2)/COUNT($E$2:$E$800)</f>
        <v/>
      </c>
      <c r="I183">
        <f>(SUMPRODUCT(--ISNUMBER($G$2:$G$800),--($G$2:$G$800&lt;G183))+(SUMPRODUCT(--ISNUMBER($G$2:$G$800),--($G$2:$G$800=G183))+1)/2)/COUNT($G$2:$G$800)</f>
        <v/>
      </c>
      <c r="J183" t="n">
        <v>13.15492745997354</v>
      </c>
      <c r="K183" t="n">
        <v>2.04797047970478</v>
      </c>
      <c r="L183" t="n">
        <v>0.2398523985239768</v>
      </c>
      <c r="M183">
        <f>IF(OR(B183="NW",COUNT(Risk_Rank_Keys!B183)=0),0.5,(SUMPRODUCT(--ISNUMBER(Risk_Rank_Keys!$B$2:$B$800),--(Risk_Rank_Keys!$B$2:$B$800&lt;Risk_Rank_Keys!B183))+(SUMPRODUCT(--ISNUMBER(Risk_Rank_Keys!$B$2:$B$800),--(Risk_Rank_Keys!$B$2:$B$800=Risk_Rank_Keys!B183))+1)/2)/COUNT(Risk_Rank_Keys!$B$2:$B$800))</f>
        <v/>
      </c>
      <c r="N183">
        <f>IF(OR(B183="NW",COUNT(Risk_Rank_Keys!C183)=0),0.5,(SUMPRODUCT(--ISNUMBER(Risk_Rank_Keys!$C$2:$C$800),--(Risk_Rank_Keys!$C$2:$C$800&lt;Risk_Rank_Keys!C183))+(SUMPRODUCT(--ISNUMBER(Risk_Rank_Keys!$C$2:$C$800),--(Risk_Rank_Keys!$C$2:$C$800=Risk_Rank_Keys!C183))+1)/2)/COUNT(Risk_Rank_Keys!$C$2:$C$800))</f>
        <v/>
      </c>
      <c r="O183">
        <f>IF(OR(B183="NW",COUNT(Risk_Rank_Keys!D183)=0),0.5,(SUMPRODUCT(--ISNUMBER(Risk_Rank_Keys!$D$2:$D$800),--(Risk_Rank_Keys!$D$2:$D$800&lt;Risk_Rank_Keys!D183))+(SUMPRODUCT(--ISNUMBER(Risk_Rank_Keys!$D$2:$D$800),--(Risk_Rank_Keys!$D$2:$D$800=Risk_Rank_Keys!D183))+1)/2)/COUNT(Risk_Rank_Keys!$D$2:$D$800))</f>
        <v/>
      </c>
      <c r="P183">
        <f>AVERAGE(M183:O183)</f>
        <v/>
      </c>
      <c r="Q183">
        <f>0.4*H183+0.4*I183+0.2*P183</f>
        <v/>
      </c>
      <c r="R183">
        <f>PERCENTILE($Q$2:$Q$800,0.75)</f>
        <v/>
      </c>
      <c r="S183">
        <f>OR(Q183&gt;=R183,AND(B183="CW",COUNT(J183:L183)&lt;3))</f>
        <v/>
      </c>
      <c r="T183" t="n">
        <v>0.2165524260511593</v>
      </c>
      <c r="U183" t="n">
        <v>7.293300589219116</v>
      </c>
      <c r="V183" t="n">
        <v>0.3316644643554327</v>
      </c>
      <c r="W183">
        <f>Q183-V183</f>
        <v/>
      </c>
    </row>
    <row r="184">
      <c r="A184" t="inlineStr">
        <is>
          <t>2022-01-04</t>
        </is>
      </c>
      <c r="B184" t="inlineStr">
        <is>
          <t>CW</t>
        </is>
      </c>
      <c r="C184" t="n">
        <v>25.69977099604264</v>
      </c>
      <c r="D184">
        <f>SUMPRODUCT(Risk_Inputs!B184:AJ184,Risk_Coefs!$B$2:$AJ$2)</f>
        <v/>
      </c>
      <c r="E184">
        <f>1/(1+EXP(-MAX(-25,MIN(25,D184))))</f>
        <v/>
      </c>
      <c r="F184">
        <f>SUMPRODUCT(Risk_Inputs!B184:AJ184,Risk_Coefs!$B$3:$AJ$3)</f>
        <v/>
      </c>
      <c r="G184">
        <f>MAX(0,F184)</f>
        <v/>
      </c>
      <c r="H184">
        <f>(SUMPRODUCT(--ISNUMBER($E$2:$E$800),--($E$2:$E$800&lt;E184))+(SUMPRODUCT(--ISNUMBER($E$2:$E$800),--($E$2:$E$800=E184))+1)/2)/COUNT($E$2:$E$800)</f>
        <v/>
      </c>
      <c r="I184">
        <f>(SUMPRODUCT(--ISNUMBER($G$2:$G$800),--($G$2:$G$800&lt;G184))+(SUMPRODUCT(--ISNUMBER($G$2:$G$800),--($G$2:$G$800=G184))+1)/2)/COUNT($G$2:$G$800)</f>
        <v/>
      </c>
      <c r="J184" t="n">
        <v>18.13269967893122</v>
      </c>
      <c r="K184" t="n">
        <v>11.01343101343102</v>
      </c>
      <c r="L184" t="n">
        <v>0.3418803418803433</v>
      </c>
      <c r="M184">
        <f>IF(OR(B184="NW",COUNT(Risk_Rank_Keys!B184)=0),0.5,(SUMPRODUCT(--ISNUMBER(Risk_Rank_Keys!$B$2:$B$800),--(Risk_Rank_Keys!$B$2:$B$800&lt;Risk_Rank_Keys!B184))+(SUMPRODUCT(--ISNUMBER(Risk_Rank_Keys!$B$2:$B$800),--(Risk_Rank_Keys!$B$2:$B$800=Risk_Rank_Keys!B184))+1)/2)/COUNT(Risk_Rank_Keys!$B$2:$B$800))</f>
        <v/>
      </c>
      <c r="N184">
        <f>IF(OR(B184="NW",COUNT(Risk_Rank_Keys!C184)=0),0.5,(SUMPRODUCT(--ISNUMBER(Risk_Rank_Keys!$C$2:$C$800),--(Risk_Rank_Keys!$C$2:$C$800&lt;Risk_Rank_Keys!C184))+(SUMPRODUCT(--ISNUMBER(Risk_Rank_Keys!$C$2:$C$800),--(Risk_Rank_Keys!$C$2:$C$800=Risk_Rank_Keys!C184))+1)/2)/COUNT(Risk_Rank_Keys!$C$2:$C$800))</f>
        <v/>
      </c>
      <c r="O184">
        <f>IF(OR(B184="NW",COUNT(Risk_Rank_Keys!D184)=0),0.5,(SUMPRODUCT(--ISNUMBER(Risk_Rank_Keys!$D$2:$D$800),--(Risk_Rank_Keys!$D$2:$D$800&lt;Risk_Rank_Keys!D184))+(SUMPRODUCT(--ISNUMBER(Risk_Rank_Keys!$D$2:$D$800),--(Risk_Rank_Keys!$D$2:$D$800=Risk_Rank_Keys!D184))+1)/2)/COUNT(Risk_Rank_Keys!$D$2:$D$800))</f>
        <v/>
      </c>
      <c r="P184">
        <f>AVERAGE(M184:O184)</f>
        <v/>
      </c>
      <c r="Q184">
        <f>0.4*H184+0.4*I184+0.2*P184</f>
        <v/>
      </c>
      <c r="R184">
        <f>PERCENTILE($Q$2:$Q$800,0.75)</f>
        <v/>
      </c>
      <c r="S184">
        <f>OR(Q184&gt;=R184,AND(B184="CW",COUNT(J184:L184)&lt;3))</f>
        <v/>
      </c>
      <c r="T184" t="n">
        <v>0.2045029559422635</v>
      </c>
      <c r="U184" t="n">
        <v>4.250544200540039</v>
      </c>
      <c r="V184" t="n">
        <v>0.2363500633346309</v>
      </c>
      <c r="W184">
        <f>Q184-V184</f>
        <v/>
      </c>
    </row>
    <row r="185">
      <c r="A185" t="inlineStr">
        <is>
          <t>2022-01-05</t>
        </is>
      </c>
      <c r="B185" t="inlineStr">
        <is>
          <t>CW</t>
        </is>
      </c>
      <c r="C185" t="n">
        <v>13.34714011765383</v>
      </c>
      <c r="D185">
        <f>SUMPRODUCT(Risk_Inputs!B185:AJ185,Risk_Coefs!$B$2:$AJ$2)</f>
        <v/>
      </c>
      <c r="E185">
        <f>1/(1+EXP(-MAX(-25,MIN(25,D185))))</f>
        <v/>
      </c>
      <c r="F185">
        <f>SUMPRODUCT(Risk_Inputs!B185:AJ185,Risk_Coefs!$B$3:$AJ$3)</f>
        <v/>
      </c>
      <c r="G185">
        <f>MAX(0,F185)</f>
        <v/>
      </c>
      <c r="H185">
        <f>(SUMPRODUCT(--ISNUMBER($E$2:$E$800),--($E$2:$E$800&lt;E185))+(SUMPRODUCT(--ISNUMBER($E$2:$E$800),--($E$2:$E$800=E185))+1)/2)/COUNT($E$2:$E$800)</f>
        <v/>
      </c>
      <c r="I185">
        <f>(SUMPRODUCT(--ISNUMBER($G$2:$G$800),--($G$2:$G$800&lt;G185))+(SUMPRODUCT(--ISNUMBER($G$2:$G$800),--($G$2:$G$800=G185))+1)/2)/COUNT($G$2:$G$800)</f>
        <v/>
      </c>
      <c r="J185" t="n">
        <v>12.83733107111575</v>
      </c>
      <c r="K185" t="n">
        <v>2.431610942249217</v>
      </c>
      <c r="L185" t="n">
        <v>0.2026342451874251</v>
      </c>
      <c r="M185">
        <f>IF(OR(B185="NW",COUNT(Risk_Rank_Keys!B185)=0),0.5,(SUMPRODUCT(--ISNUMBER(Risk_Rank_Keys!$B$2:$B$800),--(Risk_Rank_Keys!$B$2:$B$800&lt;Risk_Rank_Keys!B185))+(SUMPRODUCT(--ISNUMBER(Risk_Rank_Keys!$B$2:$B$800),--(Risk_Rank_Keys!$B$2:$B$800=Risk_Rank_Keys!B185))+1)/2)/COUNT(Risk_Rank_Keys!$B$2:$B$800))</f>
        <v/>
      </c>
      <c r="N185">
        <f>IF(OR(B185="NW",COUNT(Risk_Rank_Keys!C185)=0),0.5,(SUMPRODUCT(--ISNUMBER(Risk_Rank_Keys!$C$2:$C$800),--(Risk_Rank_Keys!$C$2:$C$800&lt;Risk_Rank_Keys!C185))+(SUMPRODUCT(--ISNUMBER(Risk_Rank_Keys!$C$2:$C$800),--(Risk_Rank_Keys!$C$2:$C$800=Risk_Rank_Keys!C185))+1)/2)/COUNT(Risk_Rank_Keys!$C$2:$C$800))</f>
        <v/>
      </c>
      <c r="O185">
        <f>IF(OR(B185="NW",COUNT(Risk_Rank_Keys!D185)=0),0.5,(SUMPRODUCT(--ISNUMBER(Risk_Rank_Keys!$D$2:$D$800),--(Risk_Rank_Keys!$D$2:$D$800&lt;Risk_Rank_Keys!D185))+(SUMPRODUCT(--ISNUMBER(Risk_Rank_Keys!$D$2:$D$800),--(Risk_Rank_Keys!$D$2:$D$800=Risk_Rank_Keys!D185))+1)/2)/COUNT(Risk_Rank_Keys!$D$2:$D$800))</f>
        <v/>
      </c>
      <c r="P185">
        <f>AVERAGE(M185:O185)</f>
        <v/>
      </c>
      <c r="Q185">
        <f>0.4*H185+0.4*I185+0.2*P185</f>
        <v/>
      </c>
      <c r="R185">
        <f>PERCENTILE($Q$2:$Q$800,0.75)</f>
        <v/>
      </c>
      <c r="S185">
        <f>OR(Q185&gt;=R185,AND(B185="CW",COUNT(J185:L185)&lt;3))</f>
        <v/>
      </c>
      <c r="T185" t="n">
        <v>0.2861677982301477</v>
      </c>
      <c r="U185" t="n">
        <v>6.753922180701323</v>
      </c>
      <c r="V185" t="n">
        <v>0.4433319427061605</v>
      </c>
      <c r="W185">
        <f>Q185-V185</f>
        <v/>
      </c>
    </row>
    <row r="186">
      <c r="A186" t="inlineStr">
        <is>
          <t>2022-01-06</t>
        </is>
      </c>
      <c r="B186" t="inlineStr">
        <is>
          <t>CW</t>
        </is>
      </c>
      <c r="C186" t="n">
        <v>3.448381700726264</v>
      </c>
      <c r="D186">
        <f>SUMPRODUCT(Risk_Inputs!B186:AJ186,Risk_Coefs!$B$2:$AJ$2)</f>
        <v/>
      </c>
      <c r="E186">
        <f>1/(1+EXP(-MAX(-25,MIN(25,D186))))</f>
        <v/>
      </c>
      <c r="F186">
        <f>SUMPRODUCT(Risk_Inputs!B186:AJ186,Risk_Coefs!$B$3:$AJ$3)</f>
        <v/>
      </c>
      <c r="G186">
        <f>MAX(0,F186)</f>
        <v/>
      </c>
      <c r="H186">
        <f>(SUMPRODUCT(--ISNUMBER($E$2:$E$800),--($E$2:$E$800&lt;E186))+(SUMPRODUCT(--ISNUMBER($E$2:$E$800),--($E$2:$E$800=E186))+1)/2)/COUNT($E$2:$E$800)</f>
        <v/>
      </c>
      <c r="I186">
        <f>(SUMPRODUCT(--ISNUMBER($G$2:$G$800),--($G$2:$G$800&lt;G186))+(SUMPRODUCT(--ISNUMBER($G$2:$G$800),--($G$2:$G$800=G186))+1)/2)/COUNT($G$2:$G$800)</f>
        <v/>
      </c>
      <c r="J186" t="n">
        <v>16.3081222884232</v>
      </c>
      <c r="K186" t="n">
        <v>5.712731229597388</v>
      </c>
      <c r="L186" t="n">
        <v>0.3808487486398197</v>
      </c>
      <c r="M186">
        <f>IF(OR(B186="NW",COUNT(Risk_Rank_Keys!B186)=0),0.5,(SUMPRODUCT(--ISNUMBER(Risk_Rank_Keys!$B$2:$B$800),--(Risk_Rank_Keys!$B$2:$B$800&lt;Risk_Rank_Keys!B186))+(SUMPRODUCT(--ISNUMBER(Risk_Rank_Keys!$B$2:$B$800),--(Risk_Rank_Keys!$B$2:$B$800=Risk_Rank_Keys!B186))+1)/2)/COUNT(Risk_Rank_Keys!$B$2:$B$800))</f>
        <v/>
      </c>
      <c r="N186">
        <f>IF(OR(B186="NW",COUNT(Risk_Rank_Keys!C186)=0),0.5,(SUMPRODUCT(--ISNUMBER(Risk_Rank_Keys!$C$2:$C$800),--(Risk_Rank_Keys!$C$2:$C$800&lt;Risk_Rank_Keys!C186))+(SUMPRODUCT(--ISNUMBER(Risk_Rank_Keys!$C$2:$C$800),--(Risk_Rank_Keys!$C$2:$C$800=Risk_Rank_Keys!C186))+1)/2)/COUNT(Risk_Rank_Keys!$C$2:$C$800))</f>
        <v/>
      </c>
      <c r="O186">
        <f>IF(OR(B186="NW",COUNT(Risk_Rank_Keys!D186)=0),0.5,(SUMPRODUCT(--ISNUMBER(Risk_Rank_Keys!$D$2:$D$800),--(Risk_Rank_Keys!$D$2:$D$800&lt;Risk_Rank_Keys!D186))+(SUMPRODUCT(--ISNUMBER(Risk_Rank_Keys!$D$2:$D$800),--(Risk_Rank_Keys!$D$2:$D$800=Risk_Rank_Keys!D186))+1)/2)/COUNT(Risk_Rank_Keys!$D$2:$D$800))</f>
        <v/>
      </c>
      <c r="P186">
        <f>AVERAGE(M186:O186)</f>
        <v/>
      </c>
      <c r="Q186">
        <f>0.4*H186+0.4*I186+0.2*P186</f>
        <v/>
      </c>
      <c r="R186">
        <f>PERCENTILE($Q$2:$Q$800,0.75)</f>
        <v/>
      </c>
      <c r="S186">
        <f>OR(Q186&gt;=R186,AND(B186="CW",COUNT(J186:L186)&lt;3))</f>
        <v/>
      </c>
      <c r="T186" t="n">
        <v>0.2313774085345785</v>
      </c>
      <c r="U186" t="n">
        <v>5.284080300554118</v>
      </c>
      <c r="V186" t="n">
        <v>0.2944505829869857</v>
      </c>
      <c r="W186">
        <f>Q186-V186</f>
        <v/>
      </c>
    </row>
    <row r="187">
      <c r="A187" t="inlineStr">
        <is>
          <t>2022-01-11</t>
        </is>
      </c>
      <c r="B187" t="inlineStr">
        <is>
          <t>CW</t>
        </is>
      </c>
      <c r="C187" t="n">
        <v>28.80355318110028</v>
      </c>
      <c r="D187">
        <f>SUMPRODUCT(Risk_Inputs!B187:AJ187,Risk_Coefs!$B$2:$AJ$2)</f>
        <v/>
      </c>
      <c r="E187">
        <f>1/(1+EXP(-MAX(-25,MIN(25,D187))))</f>
        <v/>
      </c>
      <c r="F187">
        <f>SUMPRODUCT(Risk_Inputs!B187:AJ187,Risk_Coefs!$B$3:$AJ$3)</f>
        <v/>
      </c>
      <c r="G187">
        <f>MAX(0,F187)</f>
        <v/>
      </c>
      <c r="H187">
        <f>(SUMPRODUCT(--ISNUMBER($E$2:$E$800),--($E$2:$E$800&lt;E187))+(SUMPRODUCT(--ISNUMBER($E$2:$E$800),--($E$2:$E$800=E187))+1)/2)/COUNT($E$2:$E$800)</f>
        <v/>
      </c>
      <c r="I187">
        <f>(SUMPRODUCT(--ISNUMBER($G$2:$G$800),--($G$2:$G$800&lt;G187))+(SUMPRODUCT(--ISNUMBER($G$2:$G$800),--($G$2:$G$800=G187))+1)/2)/COUNT($G$2:$G$800)</f>
        <v/>
      </c>
      <c r="J187" t="n">
        <v>8.39504941442533</v>
      </c>
      <c r="K187" t="n">
        <v>3.708049753578974</v>
      </c>
      <c r="L187" t="n">
        <v>0.2346866932644918</v>
      </c>
      <c r="M187">
        <f>IF(OR(B187="NW",COUNT(Risk_Rank_Keys!B187)=0),0.5,(SUMPRODUCT(--ISNUMBER(Risk_Rank_Keys!$B$2:$B$800),--(Risk_Rank_Keys!$B$2:$B$800&lt;Risk_Rank_Keys!B187))+(SUMPRODUCT(--ISNUMBER(Risk_Rank_Keys!$B$2:$B$800),--(Risk_Rank_Keys!$B$2:$B$800=Risk_Rank_Keys!B187))+1)/2)/COUNT(Risk_Rank_Keys!$B$2:$B$800))</f>
        <v/>
      </c>
      <c r="N187">
        <f>IF(OR(B187="NW",COUNT(Risk_Rank_Keys!C187)=0),0.5,(SUMPRODUCT(--ISNUMBER(Risk_Rank_Keys!$C$2:$C$800),--(Risk_Rank_Keys!$C$2:$C$800&lt;Risk_Rank_Keys!C187))+(SUMPRODUCT(--ISNUMBER(Risk_Rank_Keys!$C$2:$C$800),--(Risk_Rank_Keys!$C$2:$C$800=Risk_Rank_Keys!C187))+1)/2)/COUNT(Risk_Rank_Keys!$C$2:$C$800))</f>
        <v/>
      </c>
      <c r="O187">
        <f>IF(OR(B187="NW",COUNT(Risk_Rank_Keys!D187)=0),0.5,(SUMPRODUCT(--ISNUMBER(Risk_Rank_Keys!$D$2:$D$800),--(Risk_Rank_Keys!$D$2:$D$800&lt;Risk_Rank_Keys!D187))+(SUMPRODUCT(--ISNUMBER(Risk_Rank_Keys!$D$2:$D$800),--(Risk_Rank_Keys!$D$2:$D$800=Risk_Rank_Keys!D187))+1)/2)/COUNT(Risk_Rank_Keys!$D$2:$D$800))</f>
        <v/>
      </c>
      <c r="P187">
        <f>AVERAGE(M187:O187)</f>
        <v/>
      </c>
      <c r="Q187">
        <f>0.4*H187+0.4*I187+0.2*P187</f>
        <v/>
      </c>
      <c r="R187">
        <f>PERCENTILE($Q$2:$Q$800,0.75)</f>
        <v/>
      </c>
      <c r="S187">
        <f>OR(Q187&gt;=R187,AND(B187="CW",COUNT(J187:L187)&lt;3))</f>
        <v/>
      </c>
      <c r="T187" t="n">
        <v>0.2510777570312401</v>
      </c>
      <c r="U187" t="n">
        <v>5.462643197580427</v>
      </c>
      <c r="V187" t="n">
        <v>0.2850348151367731</v>
      </c>
      <c r="W187">
        <f>Q187-V187</f>
        <v/>
      </c>
    </row>
    <row r="188">
      <c r="A188" t="inlineStr">
        <is>
          <t>2022-01-12</t>
        </is>
      </c>
      <c r="B188" t="inlineStr">
        <is>
          <t>CW</t>
        </is>
      </c>
      <c r="C188" t="n">
        <v>34.39320412299342</v>
      </c>
      <c r="D188">
        <f>SUMPRODUCT(Risk_Inputs!B188:AJ188,Risk_Coefs!$B$2:$AJ$2)</f>
        <v/>
      </c>
      <c r="E188">
        <f>1/(1+EXP(-MAX(-25,MIN(25,D188))))</f>
        <v/>
      </c>
      <c r="F188">
        <f>SUMPRODUCT(Risk_Inputs!B188:AJ188,Risk_Coefs!$B$3:$AJ$3)</f>
        <v/>
      </c>
      <c r="G188">
        <f>MAX(0,F188)</f>
        <v/>
      </c>
      <c r="H188">
        <f>(SUMPRODUCT(--ISNUMBER($E$2:$E$800),--($E$2:$E$800&lt;E188))+(SUMPRODUCT(--ISNUMBER($E$2:$E$800),--($E$2:$E$800=E188))+1)/2)/COUNT($E$2:$E$800)</f>
        <v/>
      </c>
      <c r="I188">
        <f>(SUMPRODUCT(--ISNUMBER($G$2:$G$800),--($G$2:$G$800&lt;G188))+(SUMPRODUCT(--ISNUMBER($G$2:$G$800),--($G$2:$G$800=G188))+1)/2)/COUNT($G$2:$G$800)</f>
        <v/>
      </c>
      <c r="J188" t="n">
        <v>10.44169182958317</v>
      </c>
      <c r="K188" t="n">
        <v>5.004781638508125</v>
      </c>
      <c r="L188" t="n">
        <v>0.605674211029648</v>
      </c>
      <c r="M188">
        <f>IF(OR(B188="NW",COUNT(Risk_Rank_Keys!B188)=0),0.5,(SUMPRODUCT(--ISNUMBER(Risk_Rank_Keys!$B$2:$B$800),--(Risk_Rank_Keys!$B$2:$B$800&lt;Risk_Rank_Keys!B188))+(SUMPRODUCT(--ISNUMBER(Risk_Rank_Keys!$B$2:$B$800),--(Risk_Rank_Keys!$B$2:$B$800=Risk_Rank_Keys!B188))+1)/2)/COUNT(Risk_Rank_Keys!$B$2:$B$800))</f>
        <v/>
      </c>
      <c r="N188">
        <f>IF(OR(B188="NW",COUNT(Risk_Rank_Keys!C188)=0),0.5,(SUMPRODUCT(--ISNUMBER(Risk_Rank_Keys!$C$2:$C$800),--(Risk_Rank_Keys!$C$2:$C$800&lt;Risk_Rank_Keys!C188))+(SUMPRODUCT(--ISNUMBER(Risk_Rank_Keys!$C$2:$C$800),--(Risk_Rank_Keys!$C$2:$C$800=Risk_Rank_Keys!C188))+1)/2)/COUNT(Risk_Rank_Keys!$C$2:$C$800))</f>
        <v/>
      </c>
      <c r="O188">
        <f>IF(OR(B188="NW",COUNT(Risk_Rank_Keys!D188)=0),0.5,(SUMPRODUCT(--ISNUMBER(Risk_Rank_Keys!$D$2:$D$800),--(Risk_Rank_Keys!$D$2:$D$800&lt;Risk_Rank_Keys!D188))+(SUMPRODUCT(--ISNUMBER(Risk_Rank_Keys!$D$2:$D$800),--(Risk_Rank_Keys!$D$2:$D$800=Risk_Rank_Keys!D188))+1)/2)/COUNT(Risk_Rank_Keys!$D$2:$D$800))</f>
        <v/>
      </c>
      <c r="P188">
        <f>AVERAGE(M188:O188)</f>
        <v/>
      </c>
      <c r="Q188">
        <f>0.4*H188+0.4*I188+0.2*P188</f>
        <v/>
      </c>
      <c r="R188">
        <f>PERCENTILE($Q$2:$Q$800,0.75)</f>
        <v/>
      </c>
      <c r="S188">
        <f>OR(Q188&gt;=R188,AND(B188="CW",COUNT(J188:L188)&lt;3))</f>
        <v/>
      </c>
      <c r="T188" t="n">
        <v>0.2023605080351577</v>
      </c>
      <c r="U188" t="n">
        <v>6.74122622095225</v>
      </c>
      <c r="V188" t="n">
        <v>0.3425958412683451</v>
      </c>
      <c r="W188">
        <f>Q188-V188</f>
        <v/>
      </c>
    </row>
    <row r="189">
      <c r="A189" t="inlineStr">
        <is>
          <t>2022-01-13</t>
        </is>
      </c>
      <c r="B189" t="inlineStr">
        <is>
          <t>CW</t>
        </is>
      </c>
      <c r="C189" t="n">
        <v>39.57552180937847</v>
      </c>
      <c r="D189">
        <f>SUMPRODUCT(Risk_Inputs!B189:AJ189,Risk_Coefs!$B$2:$AJ$2)</f>
        <v/>
      </c>
      <c r="E189">
        <f>1/(1+EXP(-MAX(-25,MIN(25,D189))))</f>
        <v/>
      </c>
      <c r="F189">
        <f>SUMPRODUCT(Risk_Inputs!B189:AJ189,Risk_Coefs!$B$3:$AJ$3)</f>
        <v/>
      </c>
      <c r="G189">
        <f>MAX(0,F189)</f>
        <v/>
      </c>
      <c r="H189">
        <f>(SUMPRODUCT(--ISNUMBER($E$2:$E$800),--($E$2:$E$800&lt;E189))+(SUMPRODUCT(--ISNUMBER($E$2:$E$800),--($E$2:$E$800=E189))+1)/2)/COUNT($E$2:$E$800)</f>
        <v/>
      </c>
      <c r="I189">
        <f>(SUMPRODUCT(--ISNUMBER($G$2:$G$800),--($G$2:$G$800&lt;G189))+(SUMPRODUCT(--ISNUMBER($G$2:$G$800),--($G$2:$G$800=G189))+1)/2)/COUNT($G$2:$G$800)</f>
        <v/>
      </c>
      <c r="J189" t="n">
        <v>24.4900872802542</v>
      </c>
      <c r="K189" t="n">
        <v>30.49213597158802</v>
      </c>
      <c r="L189" t="n">
        <v>0.5073566717402407</v>
      </c>
      <c r="M189">
        <f>IF(OR(B189="NW",COUNT(Risk_Rank_Keys!B189)=0),0.5,(SUMPRODUCT(--ISNUMBER(Risk_Rank_Keys!$B$2:$B$800),--(Risk_Rank_Keys!$B$2:$B$800&lt;Risk_Rank_Keys!B189))+(SUMPRODUCT(--ISNUMBER(Risk_Rank_Keys!$B$2:$B$800),--(Risk_Rank_Keys!$B$2:$B$800=Risk_Rank_Keys!B189))+1)/2)/COUNT(Risk_Rank_Keys!$B$2:$B$800))</f>
        <v/>
      </c>
      <c r="N189">
        <f>IF(OR(B189="NW",COUNT(Risk_Rank_Keys!C189)=0),0.5,(SUMPRODUCT(--ISNUMBER(Risk_Rank_Keys!$C$2:$C$800),--(Risk_Rank_Keys!$C$2:$C$800&lt;Risk_Rank_Keys!C189))+(SUMPRODUCT(--ISNUMBER(Risk_Rank_Keys!$C$2:$C$800),--(Risk_Rank_Keys!$C$2:$C$800=Risk_Rank_Keys!C189))+1)/2)/COUNT(Risk_Rank_Keys!$C$2:$C$800))</f>
        <v/>
      </c>
      <c r="O189">
        <f>IF(OR(B189="NW",COUNT(Risk_Rank_Keys!D189)=0),0.5,(SUMPRODUCT(--ISNUMBER(Risk_Rank_Keys!$D$2:$D$800),--(Risk_Rank_Keys!$D$2:$D$800&lt;Risk_Rank_Keys!D189))+(SUMPRODUCT(--ISNUMBER(Risk_Rank_Keys!$D$2:$D$800),--(Risk_Rank_Keys!$D$2:$D$800=Risk_Rank_Keys!D189))+1)/2)/COUNT(Risk_Rank_Keys!$D$2:$D$800))</f>
        <v/>
      </c>
      <c r="P189">
        <f>AVERAGE(M189:O189)</f>
        <v/>
      </c>
      <c r="Q189">
        <f>0.4*H189+0.4*I189+0.2*P189</f>
        <v/>
      </c>
      <c r="R189">
        <f>PERCENTILE($Q$2:$Q$800,0.75)</f>
        <v/>
      </c>
      <c r="S189">
        <f>OR(Q189&gt;=R189,AND(B189="CW",COUNT(J189:L189)&lt;3))</f>
        <v/>
      </c>
      <c r="T189" t="n">
        <v>0.1346227173231237</v>
      </c>
      <c r="U189" t="n">
        <v>2.433277238618716</v>
      </c>
      <c r="V189" t="n">
        <v>0.1959368085048198</v>
      </c>
      <c r="W189">
        <f>Q189-V189</f>
        <v/>
      </c>
    </row>
    <row r="190">
      <c r="A190" t="inlineStr">
        <is>
          <t>2022-01-14</t>
        </is>
      </c>
      <c r="B190" t="inlineStr">
        <is>
          <t>CW</t>
        </is>
      </c>
      <c r="C190" t="n">
        <v>7.766833933581362</v>
      </c>
      <c r="D190">
        <f>SUMPRODUCT(Risk_Inputs!B190:AJ190,Risk_Coefs!$B$2:$AJ$2)</f>
        <v/>
      </c>
      <c r="E190">
        <f>1/(1+EXP(-MAX(-25,MIN(25,D190))))</f>
        <v/>
      </c>
      <c r="F190">
        <f>SUMPRODUCT(Risk_Inputs!B190:AJ190,Risk_Coefs!$B$3:$AJ$3)</f>
        <v/>
      </c>
      <c r="G190">
        <f>MAX(0,F190)</f>
        <v/>
      </c>
      <c r="H190">
        <f>(SUMPRODUCT(--ISNUMBER($E$2:$E$800),--($E$2:$E$800&lt;E190))+(SUMPRODUCT(--ISNUMBER($E$2:$E$800),--($E$2:$E$800=E190))+1)/2)/COUNT($E$2:$E$800)</f>
        <v/>
      </c>
      <c r="I190">
        <f>(SUMPRODUCT(--ISNUMBER($G$2:$G$800),--($G$2:$G$800&lt;G190))+(SUMPRODUCT(--ISNUMBER($G$2:$G$800),--($G$2:$G$800=G190))+1)/2)/COUNT($G$2:$G$800)</f>
        <v/>
      </c>
      <c r="J190" t="n">
        <v>8.934406565132699</v>
      </c>
      <c r="K190" t="n">
        <v>1.116513596254265</v>
      </c>
      <c r="L190" t="n">
        <v>0.1440662704844248</v>
      </c>
      <c r="M190">
        <f>IF(OR(B190="NW",COUNT(Risk_Rank_Keys!B190)=0),0.5,(SUMPRODUCT(--ISNUMBER(Risk_Rank_Keys!$B$2:$B$800),--(Risk_Rank_Keys!$B$2:$B$800&lt;Risk_Rank_Keys!B190))+(SUMPRODUCT(--ISNUMBER(Risk_Rank_Keys!$B$2:$B$800),--(Risk_Rank_Keys!$B$2:$B$800=Risk_Rank_Keys!B190))+1)/2)/COUNT(Risk_Rank_Keys!$B$2:$B$800))</f>
        <v/>
      </c>
      <c r="N190">
        <f>IF(OR(B190="NW",COUNT(Risk_Rank_Keys!C190)=0),0.5,(SUMPRODUCT(--ISNUMBER(Risk_Rank_Keys!$C$2:$C$800),--(Risk_Rank_Keys!$C$2:$C$800&lt;Risk_Rank_Keys!C190))+(SUMPRODUCT(--ISNUMBER(Risk_Rank_Keys!$C$2:$C$800),--(Risk_Rank_Keys!$C$2:$C$800=Risk_Rank_Keys!C190))+1)/2)/COUNT(Risk_Rank_Keys!$C$2:$C$800))</f>
        <v/>
      </c>
      <c r="O190">
        <f>IF(OR(B190="NW",COUNT(Risk_Rank_Keys!D190)=0),0.5,(SUMPRODUCT(--ISNUMBER(Risk_Rank_Keys!$D$2:$D$800),--(Risk_Rank_Keys!$D$2:$D$800&lt;Risk_Rank_Keys!D190))+(SUMPRODUCT(--ISNUMBER(Risk_Rank_Keys!$D$2:$D$800),--(Risk_Rank_Keys!$D$2:$D$800=Risk_Rank_Keys!D190))+1)/2)/COUNT(Risk_Rank_Keys!$D$2:$D$800))</f>
        <v/>
      </c>
      <c r="P190">
        <f>AVERAGE(M190:O190)</f>
        <v/>
      </c>
      <c r="Q190">
        <f>0.4*H190+0.4*I190+0.2*P190</f>
        <v/>
      </c>
      <c r="R190">
        <f>PERCENTILE($Q$2:$Q$800,0.75)</f>
        <v/>
      </c>
      <c r="S190">
        <f>OR(Q190&gt;=R190,AND(B190="CW",COUNT(J190:L190)&lt;3))</f>
        <v/>
      </c>
      <c r="T190" t="n">
        <v>0.2747316996314247</v>
      </c>
      <c r="U190" t="n">
        <v>4.868797106801146</v>
      </c>
      <c r="V190" t="n">
        <v>0.2551717075447052</v>
      </c>
      <c r="W190">
        <f>Q190-V190</f>
        <v/>
      </c>
    </row>
    <row r="191">
      <c r="A191" t="inlineStr">
        <is>
          <t>2022-01-17</t>
        </is>
      </c>
      <c r="B191" t="inlineStr">
        <is>
          <t>CW</t>
        </is>
      </c>
      <c r="C191" t="n">
        <v>37.51403395103019</v>
      </c>
      <c r="D191">
        <f>SUMPRODUCT(Risk_Inputs!B191:AJ191,Risk_Coefs!$B$2:$AJ$2)</f>
        <v/>
      </c>
      <c r="E191">
        <f>1/(1+EXP(-MAX(-25,MIN(25,D191))))</f>
        <v/>
      </c>
      <c r="F191">
        <f>SUMPRODUCT(Risk_Inputs!B191:AJ191,Risk_Coefs!$B$3:$AJ$3)</f>
        <v/>
      </c>
      <c r="G191">
        <f>MAX(0,F191)</f>
        <v/>
      </c>
      <c r="H191">
        <f>(SUMPRODUCT(--ISNUMBER($E$2:$E$800),--($E$2:$E$800&lt;E191))+(SUMPRODUCT(--ISNUMBER($E$2:$E$800),--($E$2:$E$800=E191))+1)/2)/COUNT($E$2:$E$800)</f>
        <v/>
      </c>
      <c r="I191">
        <f>(SUMPRODUCT(--ISNUMBER($G$2:$G$800),--($G$2:$G$800&lt;G191))+(SUMPRODUCT(--ISNUMBER($G$2:$G$800),--($G$2:$G$800=G191))+1)/2)/COUNT($G$2:$G$800)</f>
        <v/>
      </c>
      <c r="J191" t="n">
        <v>13.88888888888769</v>
      </c>
      <c r="K191" t="n">
        <v>3.126347563605002</v>
      </c>
      <c r="L191" t="n">
        <v>0.1724881414402784</v>
      </c>
      <c r="M191">
        <f>IF(OR(B191="NW",COUNT(Risk_Rank_Keys!B191)=0),0.5,(SUMPRODUCT(--ISNUMBER(Risk_Rank_Keys!$B$2:$B$800),--(Risk_Rank_Keys!$B$2:$B$800&lt;Risk_Rank_Keys!B191))+(SUMPRODUCT(--ISNUMBER(Risk_Rank_Keys!$B$2:$B$800),--(Risk_Rank_Keys!$B$2:$B$800=Risk_Rank_Keys!B191))+1)/2)/COUNT(Risk_Rank_Keys!$B$2:$B$800))</f>
        <v/>
      </c>
      <c r="N191">
        <f>IF(OR(B191="NW",COUNT(Risk_Rank_Keys!C191)=0),0.5,(SUMPRODUCT(--ISNUMBER(Risk_Rank_Keys!$C$2:$C$800),--(Risk_Rank_Keys!$C$2:$C$800&lt;Risk_Rank_Keys!C191))+(SUMPRODUCT(--ISNUMBER(Risk_Rank_Keys!$C$2:$C$800),--(Risk_Rank_Keys!$C$2:$C$800=Risk_Rank_Keys!C191))+1)/2)/COUNT(Risk_Rank_Keys!$C$2:$C$800))</f>
        <v/>
      </c>
      <c r="O191">
        <f>IF(OR(B191="NW",COUNT(Risk_Rank_Keys!D191)=0),0.5,(SUMPRODUCT(--ISNUMBER(Risk_Rank_Keys!$D$2:$D$800),--(Risk_Rank_Keys!$D$2:$D$800&lt;Risk_Rank_Keys!D191))+(SUMPRODUCT(--ISNUMBER(Risk_Rank_Keys!$D$2:$D$800),--(Risk_Rank_Keys!$D$2:$D$800=Risk_Rank_Keys!D191))+1)/2)/COUNT(Risk_Rank_Keys!$D$2:$D$800))</f>
        <v/>
      </c>
      <c r="P191">
        <f>AVERAGE(M191:O191)</f>
        <v/>
      </c>
      <c r="Q191">
        <f>0.4*H191+0.4*I191+0.2*P191</f>
        <v/>
      </c>
      <c r="R191">
        <f>PERCENTILE($Q$2:$Q$800,0.75)</f>
        <v/>
      </c>
      <c r="S191">
        <f>OR(Q191&gt;=R191,AND(B191="CW",COUNT(J191:L191)&lt;3))</f>
        <v/>
      </c>
      <c r="T191" t="n">
        <v>0.2745577590963607</v>
      </c>
      <c r="U191" t="n">
        <v>6.857521300723588</v>
      </c>
      <c r="V191" t="n">
        <v>0.4180789678404375</v>
      </c>
      <c r="W191">
        <f>Q191-V191</f>
        <v/>
      </c>
    </row>
    <row r="192">
      <c r="A192" t="inlineStr">
        <is>
          <t>2022-01-18</t>
        </is>
      </c>
      <c r="B192" t="inlineStr">
        <is>
          <t>CW</t>
        </is>
      </c>
      <c r="C192" t="n">
        <v>-36.06889848513554</v>
      </c>
      <c r="D192">
        <f>SUMPRODUCT(Risk_Inputs!B192:AJ192,Risk_Coefs!$B$2:$AJ$2)</f>
        <v/>
      </c>
      <c r="E192">
        <f>1/(1+EXP(-MAX(-25,MIN(25,D192))))</f>
        <v/>
      </c>
      <c r="F192">
        <f>SUMPRODUCT(Risk_Inputs!B192:AJ192,Risk_Coefs!$B$3:$AJ$3)</f>
        <v/>
      </c>
      <c r="G192">
        <f>MAX(0,F192)</f>
        <v/>
      </c>
      <c r="H192">
        <f>(SUMPRODUCT(--ISNUMBER($E$2:$E$800),--($E$2:$E$800&lt;E192))+(SUMPRODUCT(--ISNUMBER($E$2:$E$800),--($E$2:$E$800=E192))+1)/2)/COUNT($E$2:$E$800)</f>
        <v/>
      </c>
      <c r="I192">
        <f>(SUMPRODUCT(--ISNUMBER($G$2:$G$800),--($G$2:$G$800&lt;G192))+(SUMPRODUCT(--ISNUMBER($G$2:$G$800),--($G$2:$G$800=G192))+1)/2)/COUNT($G$2:$G$800)</f>
        <v/>
      </c>
      <c r="J192" t="n">
        <v>11.69329230232317</v>
      </c>
      <c r="K192" t="n">
        <v>1.846320934021181</v>
      </c>
      <c r="L192" t="n">
        <v>0.1629106706489337</v>
      </c>
      <c r="M192">
        <f>IF(OR(B192="NW",COUNT(Risk_Rank_Keys!B192)=0),0.5,(SUMPRODUCT(--ISNUMBER(Risk_Rank_Keys!$B$2:$B$800),--(Risk_Rank_Keys!$B$2:$B$800&lt;Risk_Rank_Keys!B192))+(SUMPRODUCT(--ISNUMBER(Risk_Rank_Keys!$B$2:$B$800),--(Risk_Rank_Keys!$B$2:$B$800=Risk_Rank_Keys!B192))+1)/2)/COUNT(Risk_Rank_Keys!$B$2:$B$800))</f>
        <v/>
      </c>
      <c r="N192">
        <f>IF(OR(B192="NW",COUNT(Risk_Rank_Keys!C192)=0),0.5,(SUMPRODUCT(--ISNUMBER(Risk_Rank_Keys!$C$2:$C$800),--(Risk_Rank_Keys!$C$2:$C$800&lt;Risk_Rank_Keys!C192))+(SUMPRODUCT(--ISNUMBER(Risk_Rank_Keys!$C$2:$C$800),--(Risk_Rank_Keys!$C$2:$C$800=Risk_Rank_Keys!C192))+1)/2)/COUNT(Risk_Rank_Keys!$C$2:$C$800))</f>
        <v/>
      </c>
      <c r="O192">
        <f>IF(OR(B192="NW",COUNT(Risk_Rank_Keys!D192)=0),0.5,(SUMPRODUCT(--ISNUMBER(Risk_Rank_Keys!$D$2:$D$800),--(Risk_Rank_Keys!$D$2:$D$800&lt;Risk_Rank_Keys!D192))+(SUMPRODUCT(--ISNUMBER(Risk_Rank_Keys!$D$2:$D$800),--(Risk_Rank_Keys!$D$2:$D$800=Risk_Rank_Keys!D192))+1)/2)/COUNT(Risk_Rank_Keys!$D$2:$D$800))</f>
        <v/>
      </c>
      <c r="P192">
        <f>AVERAGE(M192:O192)</f>
        <v/>
      </c>
      <c r="Q192">
        <f>0.4*H192+0.4*I192+0.2*P192</f>
        <v/>
      </c>
      <c r="R192">
        <f>PERCENTILE($Q$2:$Q$800,0.75)</f>
        <v/>
      </c>
      <c r="S192">
        <f>OR(Q192&gt;=R192,AND(B192="CW",COUNT(J192:L192)&lt;3))</f>
        <v/>
      </c>
      <c r="T192" t="n">
        <v>0.2569402670285417</v>
      </c>
      <c r="U192" t="n">
        <v>6.569372049566018</v>
      </c>
      <c r="V192" t="n">
        <v>0.3316763341438537</v>
      </c>
      <c r="W192">
        <f>Q192-V192</f>
        <v/>
      </c>
    </row>
    <row r="193">
      <c r="A193" t="inlineStr">
        <is>
          <t>2022-01-19</t>
        </is>
      </c>
      <c r="B193" t="inlineStr">
        <is>
          <t>CW</t>
        </is>
      </c>
      <c r="C193" t="n">
        <v>32.33390596387903</v>
      </c>
      <c r="D193">
        <f>SUMPRODUCT(Risk_Inputs!B193:AJ193,Risk_Coefs!$B$2:$AJ$2)</f>
        <v/>
      </c>
      <c r="E193">
        <f>1/(1+EXP(-MAX(-25,MIN(25,D193))))</f>
        <v/>
      </c>
      <c r="F193">
        <f>SUMPRODUCT(Risk_Inputs!B193:AJ193,Risk_Coefs!$B$3:$AJ$3)</f>
        <v/>
      </c>
      <c r="G193">
        <f>MAX(0,F193)</f>
        <v/>
      </c>
      <c r="H193">
        <f>(SUMPRODUCT(--ISNUMBER($E$2:$E$800),--($E$2:$E$800&lt;E193))+(SUMPRODUCT(--ISNUMBER($E$2:$E$800),--($E$2:$E$800=E193))+1)/2)/COUNT($E$2:$E$800)</f>
        <v/>
      </c>
      <c r="I193">
        <f>(SUMPRODUCT(--ISNUMBER($G$2:$G$800),--($G$2:$G$800&lt;G193))+(SUMPRODUCT(--ISNUMBER($G$2:$G$800),--($G$2:$G$800=G193))+1)/2)/COUNT($G$2:$G$800)</f>
        <v/>
      </c>
      <c r="J193" t="n">
        <v>13.185887775908</v>
      </c>
      <c r="K193" t="n">
        <v>4.734961286480058</v>
      </c>
      <c r="L193" t="n">
        <v>0.2382370458606346</v>
      </c>
      <c r="M193">
        <f>IF(OR(B193="NW",COUNT(Risk_Rank_Keys!B193)=0),0.5,(SUMPRODUCT(--ISNUMBER(Risk_Rank_Keys!$B$2:$B$800),--(Risk_Rank_Keys!$B$2:$B$800&lt;Risk_Rank_Keys!B193))+(SUMPRODUCT(--ISNUMBER(Risk_Rank_Keys!$B$2:$B$800),--(Risk_Rank_Keys!$B$2:$B$800=Risk_Rank_Keys!B193))+1)/2)/COUNT(Risk_Rank_Keys!$B$2:$B$800))</f>
        <v/>
      </c>
      <c r="N193">
        <f>IF(OR(B193="NW",COUNT(Risk_Rank_Keys!C193)=0),0.5,(SUMPRODUCT(--ISNUMBER(Risk_Rank_Keys!$C$2:$C$800),--(Risk_Rank_Keys!$C$2:$C$800&lt;Risk_Rank_Keys!C193))+(SUMPRODUCT(--ISNUMBER(Risk_Rank_Keys!$C$2:$C$800),--(Risk_Rank_Keys!$C$2:$C$800=Risk_Rank_Keys!C193))+1)/2)/COUNT(Risk_Rank_Keys!$C$2:$C$800))</f>
        <v/>
      </c>
      <c r="O193">
        <f>IF(OR(B193="NW",COUNT(Risk_Rank_Keys!D193)=0),0.5,(SUMPRODUCT(--ISNUMBER(Risk_Rank_Keys!$D$2:$D$800),--(Risk_Rank_Keys!$D$2:$D$800&lt;Risk_Rank_Keys!D193))+(SUMPRODUCT(--ISNUMBER(Risk_Rank_Keys!$D$2:$D$800),--(Risk_Rank_Keys!$D$2:$D$800=Risk_Rank_Keys!D193))+1)/2)/COUNT(Risk_Rank_Keys!$D$2:$D$800))</f>
        <v/>
      </c>
      <c r="P193">
        <f>AVERAGE(M193:O193)</f>
        <v/>
      </c>
      <c r="Q193">
        <f>0.4*H193+0.4*I193+0.2*P193</f>
        <v/>
      </c>
      <c r="R193">
        <f>PERCENTILE($Q$2:$Q$800,0.75)</f>
        <v/>
      </c>
      <c r="S193">
        <f>OR(Q193&gt;=R193,AND(B193="CW",COUNT(J193:L193)&lt;3))</f>
        <v/>
      </c>
      <c r="T193" t="n">
        <v>0.2950266832410237</v>
      </c>
      <c r="U193" t="n">
        <v>7.66676678191841</v>
      </c>
      <c r="V193" t="n">
        <v>0.5463202783116274</v>
      </c>
      <c r="W193">
        <f>Q193-V193</f>
        <v/>
      </c>
    </row>
    <row r="194">
      <c r="A194" t="inlineStr">
        <is>
          <t>2022-01-20</t>
        </is>
      </c>
      <c r="B194" t="inlineStr">
        <is>
          <t>CW</t>
        </is>
      </c>
      <c r="C194" t="n">
        <v>0.9269353690728195</v>
      </c>
      <c r="D194">
        <f>SUMPRODUCT(Risk_Inputs!B194:AJ194,Risk_Coefs!$B$2:$AJ$2)</f>
        <v/>
      </c>
      <c r="E194">
        <f>1/(1+EXP(-MAX(-25,MIN(25,D194))))</f>
        <v/>
      </c>
      <c r="F194">
        <f>SUMPRODUCT(Risk_Inputs!B194:AJ194,Risk_Coefs!$B$3:$AJ$3)</f>
        <v/>
      </c>
      <c r="G194">
        <f>MAX(0,F194)</f>
        <v/>
      </c>
      <c r="H194">
        <f>(SUMPRODUCT(--ISNUMBER($E$2:$E$800),--($E$2:$E$800&lt;E194))+(SUMPRODUCT(--ISNUMBER($E$2:$E$800),--($E$2:$E$800=E194))+1)/2)/COUNT($E$2:$E$800)</f>
        <v/>
      </c>
      <c r="I194">
        <f>(SUMPRODUCT(--ISNUMBER($G$2:$G$800),--($G$2:$G$800&lt;G194))+(SUMPRODUCT(--ISNUMBER($G$2:$G$800),--($G$2:$G$800=G194))+1)/2)/COUNT($G$2:$G$800)</f>
        <v/>
      </c>
      <c r="J194" t="n">
        <v>8.962199619736332</v>
      </c>
      <c r="K194" t="n">
        <v>3.957783641160965</v>
      </c>
      <c r="L194" t="n">
        <v>0.2638522427440633</v>
      </c>
      <c r="M194">
        <f>IF(OR(B194="NW",COUNT(Risk_Rank_Keys!B194)=0),0.5,(SUMPRODUCT(--ISNUMBER(Risk_Rank_Keys!$B$2:$B$800),--(Risk_Rank_Keys!$B$2:$B$800&lt;Risk_Rank_Keys!B194))+(SUMPRODUCT(--ISNUMBER(Risk_Rank_Keys!$B$2:$B$800),--(Risk_Rank_Keys!$B$2:$B$800=Risk_Rank_Keys!B194))+1)/2)/COUNT(Risk_Rank_Keys!$B$2:$B$800))</f>
        <v/>
      </c>
      <c r="N194">
        <f>IF(OR(B194="NW",COUNT(Risk_Rank_Keys!C194)=0),0.5,(SUMPRODUCT(--ISNUMBER(Risk_Rank_Keys!$C$2:$C$800),--(Risk_Rank_Keys!$C$2:$C$800&lt;Risk_Rank_Keys!C194))+(SUMPRODUCT(--ISNUMBER(Risk_Rank_Keys!$C$2:$C$800),--(Risk_Rank_Keys!$C$2:$C$800=Risk_Rank_Keys!C194))+1)/2)/COUNT(Risk_Rank_Keys!$C$2:$C$800))</f>
        <v/>
      </c>
      <c r="O194">
        <f>IF(OR(B194="NW",COUNT(Risk_Rank_Keys!D194)=0),0.5,(SUMPRODUCT(--ISNUMBER(Risk_Rank_Keys!$D$2:$D$800),--(Risk_Rank_Keys!$D$2:$D$800&lt;Risk_Rank_Keys!D194))+(SUMPRODUCT(--ISNUMBER(Risk_Rank_Keys!$D$2:$D$800),--(Risk_Rank_Keys!$D$2:$D$800=Risk_Rank_Keys!D194))+1)/2)/COUNT(Risk_Rank_Keys!$D$2:$D$800))</f>
        <v/>
      </c>
      <c r="P194">
        <f>AVERAGE(M194:O194)</f>
        <v/>
      </c>
      <c r="Q194">
        <f>0.4*H194+0.4*I194+0.2*P194</f>
        <v/>
      </c>
      <c r="R194">
        <f>PERCENTILE($Q$2:$Q$800,0.75)</f>
        <v/>
      </c>
      <c r="S194">
        <f>OR(Q194&gt;=R194,AND(B194="CW",COUNT(J194:L194)&lt;3))</f>
        <v/>
      </c>
      <c r="T194" t="n">
        <v>0.2920623376653551</v>
      </c>
      <c r="U194" t="n">
        <v>6.33212658058487</v>
      </c>
      <c r="V194" t="n">
        <v>0.4528740888919146</v>
      </c>
      <c r="W194">
        <f>Q194-V194</f>
        <v/>
      </c>
    </row>
    <row r="195">
      <c r="A195" t="inlineStr">
        <is>
          <t>2022-01-21</t>
        </is>
      </c>
      <c r="B195" t="inlineStr">
        <is>
          <t>CW</t>
        </is>
      </c>
      <c r="C195" t="n">
        <v>10.1640908139733</v>
      </c>
      <c r="D195">
        <f>SUMPRODUCT(Risk_Inputs!B195:AJ195,Risk_Coefs!$B$2:$AJ$2)</f>
        <v/>
      </c>
      <c r="E195">
        <f>1/(1+EXP(-MAX(-25,MIN(25,D195))))</f>
        <v/>
      </c>
      <c r="F195">
        <f>SUMPRODUCT(Risk_Inputs!B195:AJ195,Risk_Coefs!$B$3:$AJ$3)</f>
        <v/>
      </c>
      <c r="G195">
        <f>MAX(0,F195)</f>
        <v/>
      </c>
      <c r="H195">
        <f>(SUMPRODUCT(--ISNUMBER($E$2:$E$800),--($E$2:$E$800&lt;E195))+(SUMPRODUCT(--ISNUMBER($E$2:$E$800),--($E$2:$E$800=E195))+1)/2)/COUNT($E$2:$E$800)</f>
        <v/>
      </c>
      <c r="I195">
        <f>(SUMPRODUCT(--ISNUMBER($G$2:$G$800),--($G$2:$G$800&lt;G195))+(SUMPRODUCT(--ISNUMBER($G$2:$G$800),--($G$2:$G$800=G195))+1)/2)/COUNT($G$2:$G$800)</f>
        <v/>
      </c>
      <c r="J195" t="n">
        <v>66.11049450877022</v>
      </c>
      <c r="K195" t="n">
        <v>7.622641509433945</v>
      </c>
      <c r="L195" t="n">
        <v>0.3924528301886826</v>
      </c>
      <c r="M195">
        <f>IF(OR(B195="NW",COUNT(Risk_Rank_Keys!B195)=0),0.5,(SUMPRODUCT(--ISNUMBER(Risk_Rank_Keys!$B$2:$B$800),--(Risk_Rank_Keys!$B$2:$B$800&lt;Risk_Rank_Keys!B195))+(SUMPRODUCT(--ISNUMBER(Risk_Rank_Keys!$B$2:$B$800),--(Risk_Rank_Keys!$B$2:$B$800=Risk_Rank_Keys!B195))+1)/2)/COUNT(Risk_Rank_Keys!$B$2:$B$800))</f>
        <v/>
      </c>
      <c r="N195">
        <f>IF(OR(B195="NW",COUNT(Risk_Rank_Keys!C195)=0),0.5,(SUMPRODUCT(--ISNUMBER(Risk_Rank_Keys!$C$2:$C$800),--(Risk_Rank_Keys!$C$2:$C$800&lt;Risk_Rank_Keys!C195))+(SUMPRODUCT(--ISNUMBER(Risk_Rank_Keys!$C$2:$C$800),--(Risk_Rank_Keys!$C$2:$C$800=Risk_Rank_Keys!C195))+1)/2)/COUNT(Risk_Rank_Keys!$C$2:$C$800))</f>
        <v/>
      </c>
      <c r="O195">
        <f>IF(OR(B195="NW",COUNT(Risk_Rank_Keys!D195)=0),0.5,(SUMPRODUCT(--ISNUMBER(Risk_Rank_Keys!$D$2:$D$800),--(Risk_Rank_Keys!$D$2:$D$800&lt;Risk_Rank_Keys!D195))+(SUMPRODUCT(--ISNUMBER(Risk_Rank_Keys!$D$2:$D$800),--(Risk_Rank_Keys!$D$2:$D$800=Risk_Rank_Keys!D195))+1)/2)/COUNT(Risk_Rank_Keys!$D$2:$D$800))</f>
        <v/>
      </c>
      <c r="P195">
        <f>AVERAGE(M195:O195)</f>
        <v/>
      </c>
      <c r="Q195">
        <f>0.4*H195+0.4*I195+0.2*P195</f>
        <v/>
      </c>
      <c r="R195">
        <f>PERCENTILE($Q$2:$Q$800,0.75)</f>
        <v/>
      </c>
      <c r="S195">
        <f>OR(Q195&gt;=R195,AND(B195="CW",COUNT(J195:L195)&lt;3))</f>
        <v/>
      </c>
      <c r="T195" t="n">
        <v>0.1452753800658942</v>
      </c>
      <c r="U195" t="n">
        <v>3.213650223167526</v>
      </c>
      <c r="V195" t="n">
        <v>0.1975096718410798</v>
      </c>
      <c r="W195">
        <f>Q195-V195</f>
        <v/>
      </c>
    </row>
    <row r="196">
      <c r="A196" t="inlineStr">
        <is>
          <t>2022-01-24</t>
        </is>
      </c>
      <c r="B196" t="inlineStr">
        <is>
          <t>CW</t>
        </is>
      </c>
      <c r="C196" t="n">
        <v>-55.77156332292559</v>
      </c>
      <c r="D196">
        <f>SUMPRODUCT(Risk_Inputs!B196:AJ196,Risk_Coefs!$B$2:$AJ$2)</f>
        <v/>
      </c>
      <c r="E196">
        <f>1/(1+EXP(-MAX(-25,MIN(25,D196))))</f>
        <v/>
      </c>
      <c r="F196">
        <f>SUMPRODUCT(Risk_Inputs!B196:AJ196,Risk_Coefs!$B$3:$AJ$3)</f>
        <v/>
      </c>
      <c r="G196">
        <f>MAX(0,F196)</f>
        <v/>
      </c>
      <c r="H196">
        <f>(SUMPRODUCT(--ISNUMBER($E$2:$E$800),--($E$2:$E$800&lt;E196))+(SUMPRODUCT(--ISNUMBER($E$2:$E$800),--($E$2:$E$800=E196))+1)/2)/COUNT($E$2:$E$800)</f>
        <v/>
      </c>
      <c r="I196">
        <f>(SUMPRODUCT(--ISNUMBER($G$2:$G$800),--($G$2:$G$800&lt;G196))+(SUMPRODUCT(--ISNUMBER($G$2:$G$800),--($G$2:$G$800=G196))+1)/2)/COUNT($G$2:$G$800)</f>
        <v/>
      </c>
      <c r="J196" t="n">
        <v>13.48658737133572</v>
      </c>
      <c r="K196" t="n">
        <v>4.050991501416418</v>
      </c>
      <c r="L196" t="n">
        <v>0.1983002832861157</v>
      </c>
      <c r="M196">
        <f>IF(OR(B196="NW",COUNT(Risk_Rank_Keys!B196)=0),0.5,(SUMPRODUCT(--ISNUMBER(Risk_Rank_Keys!$B$2:$B$800),--(Risk_Rank_Keys!$B$2:$B$800&lt;Risk_Rank_Keys!B196))+(SUMPRODUCT(--ISNUMBER(Risk_Rank_Keys!$B$2:$B$800),--(Risk_Rank_Keys!$B$2:$B$800=Risk_Rank_Keys!B196))+1)/2)/COUNT(Risk_Rank_Keys!$B$2:$B$800))</f>
        <v/>
      </c>
      <c r="N196">
        <f>IF(OR(B196="NW",COUNT(Risk_Rank_Keys!C196)=0),0.5,(SUMPRODUCT(--ISNUMBER(Risk_Rank_Keys!$C$2:$C$800),--(Risk_Rank_Keys!$C$2:$C$800&lt;Risk_Rank_Keys!C196))+(SUMPRODUCT(--ISNUMBER(Risk_Rank_Keys!$C$2:$C$800),--(Risk_Rank_Keys!$C$2:$C$800=Risk_Rank_Keys!C196))+1)/2)/COUNT(Risk_Rank_Keys!$C$2:$C$800))</f>
        <v/>
      </c>
      <c r="O196">
        <f>IF(OR(B196="NW",COUNT(Risk_Rank_Keys!D196)=0),0.5,(SUMPRODUCT(--ISNUMBER(Risk_Rank_Keys!$D$2:$D$800),--(Risk_Rank_Keys!$D$2:$D$800&lt;Risk_Rank_Keys!D196))+(SUMPRODUCT(--ISNUMBER(Risk_Rank_Keys!$D$2:$D$800),--(Risk_Rank_Keys!$D$2:$D$800=Risk_Rank_Keys!D196))+1)/2)/COUNT(Risk_Rank_Keys!$D$2:$D$800))</f>
        <v/>
      </c>
      <c r="P196">
        <f>AVERAGE(M196:O196)</f>
        <v/>
      </c>
      <c r="Q196">
        <f>0.4*H196+0.4*I196+0.2*P196</f>
        <v/>
      </c>
      <c r="R196">
        <f>PERCENTILE($Q$2:$Q$800,0.75)</f>
        <v/>
      </c>
      <c r="S196">
        <f>OR(Q196&gt;=R196,AND(B196="CW",COUNT(J196:L196)&lt;3))</f>
        <v/>
      </c>
      <c r="T196" t="n">
        <v>0.421239622182551</v>
      </c>
      <c r="U196" t="n">
        <v>13.78984830389567</v>
      </c>
      <c r="V196" t="n">
        <v>0.8776616982292488</v>
      </c>
      <c r="W196">
        <f>Q196-V196</f>
        <v/>
      </c>
    </row>
    <row r="197">
      <c r="A197" t="inlineStr">
        <is>
          <t>2022-01-25</t>
        </is>
      </c>
      <c r="B197" t="inlineStr">
        <is>
          <t>CW</t>
        </is>
      </c>
      <c r="C197" t="n">
        <v>47.32102737434815</v>
      </c>
      <c r="D197">
        <f>SUMPRODUCT(Risk_Inputs!B197:AJ197,Risk_Coefs!$B$2:$AJ$2)</f>
        <v/>
      </c>
      <c r="E197">
        <f>1/(1+EXP(-MAX(-25,MIN(25,D197))))</f>
        <v/>
      </c>
      <c r="F197">
        <f>SUMPRODUCT(Risk_Inputs!B197:AJ197,Risk_Coefs!$B$3:$AJ$3)</f>
        <v/>
      </c>
      <c r="G197">
        <f>MAX(0,F197)</f>
        <v/>
      </c>
      <c r="H197">
        <f>(SUMPRODUCT(--ISNUMBER($E$2:$E$800),--($E$2:$E$800&lt;E197))+(SUMPRODUCT(--ISNUMBER($E$2:$E$800),--($E$2:$E$800=E197))+1)/2)/COUNT($E$2:$E$800)</f>
        <v/>
      </c>
      <c r="I197">
        <f>(SUMPRODUCT(--ISNUMBER($G$2:$G$800),--($G$2:$G$800&lt;G197))+(SUMPRODUCT(--ISNUMBER($G$2:$G$800),--($G$2:$G$800=G197))+1)/2)/COUNT($G$2:$G$800)</f>
        <v/>
      </c>
      <c r="J197" t="n">
        <v>14.15614314550135</v>
      </c>
      <c r="K197" t="n">
        <v>1.516683518705764</v>
      </c>
      <c r="L197" t="n">
        <v>0.3033367037411478</v>
      </c>
      <c r="M197">
        <f>IF(OR(B197="NW",COUNT(Risk_Rank_Keys!B197)=0),0.5,(SUMPRODUCT(--ISNUMBER(Risk_Rank_Keys!$B$2:$B$800),--(Risk_Rank_Keys!$B$2:$B$800&lt;Risk_Rank_Keys!B197))+(SUMPRODUCT(--ISNUMBER(Risk_Rank_Keys!$B$2:$B$800),--(Risk_Rank_Keys!$B$2:$B$800=Risk_Rank_Keys!B197))+1)/2)/COUNT(Risk_Rank_Keys!$B$2:$B$800))</f>
        <v/>
      </c>
      <c r="N197">
        <f>IF(OR(B197="NW",COUNT(Risk_Rank_Keys!C197)=0),0.5,(SUMPRODUCT(--ISNUMBER(Risk_Rank_Keys!$C$2:$C$800),--(Risk_Rank_Keys!$C$2:$C$800&lt;Risk_Rank_Keys!C197))+(SUMPRODUCT(--ISNUMBER(Risk_Rank_Keys!$C$2:$C$800),--(Risk_Rank_Keys!$C$2:$C$800=Risk_Rank_Keys!C197))+1)/2)/COUNT(Risk_Rank_Keys!$C$2:$C$800))</f>
        <v/>
      </c>
      <c r="O197">
        <f>IF(OR(B197="NW",COUNT(Risk_Rank_Keys!D197)=0),0.5,(SUMPRODUCT(--ISNUMBER(Risk_Rank_Keys!$D$2:$D$800),--(Risk_Rank_Keys!$D$2:$D$800&lt;Risk_Rank_Keys!D197))+(SUMPRODUCT(--ISNUMBER(Risk_Rank_Keys!$D$2:$D$800),--(Risk_Rank_Keys!$D$2:$D$800=Risk_Rank_Keys!D197))+1)/2)/COUNT(Risk_Rank_Keys!$D$2:$D$800))</f>
        <v/>
      </c>
      <c r="P197">
        <f>AVERAGE(M197:O197)</f>
        <v/>
      </c>
      <c r="Q197">
        <f>0.4*H197+0.4*I197+0.2*P197</f>
        <v/>
      </c>
      <c r="R197">
        <f>PERCENTILE($Q$2:$Q$800,0.75)</f>
        <v/>
      </c>
      <c r="S197">
        <f>OR(Q197&gt;=R197,AND(B197="CW",COUNT(J197:L197)&lt;3))</f>
        <v/>
      </c>
      <c r="T197" t="n">
        <v>0.2792373159456844</v>
      </c>
      <c r="U197" t="n">
        <v>7.76494496377592</v>
      </c>
      <c r="V197" t="n">
        <v>0.4965924979446065</v>
      </c>
      <c r="W197">
        <f>Q197-V197</f>
        <v/>
      </c>
    </row>
    <row r="198">
      <c r="A198" t="inlineStr">
        <is>
          <t>2022-01-27</t>
        </is>
      </c>
      <c r="B198" t="inlineStr">
        <is>
          <t>CW</t>
        </is>
      </c>
      <c r="C198" t="n">
        <v>96.75969745913687</v>
      </c>
      <c r="D198">
        <f>SUMPRODUCT(Risk_Inputs!B198:AJ198,Risk_Coefs!$B$2:$AJ$2)</f>
        <v/>
      </c>
      <c r="E198">
        <f>1/(1+EXP(-MAX(-25,MIN(25,D198))))</f>
        <v/>
      </c>
      <c r="F198">
        <f>SUMPRODUCT(Risk_Inputs!B198:AJ198,Risk_Coefs!$B$3:$AJ$3)</f>
        <v/>
      </c>
      <c r="G198">
        <f>MAX(0,F198)</f>
        <v/>
      </c>
      <c r="H198">
        <f>(SUMPRODUCT(--ISNUMBER($E$2:$E$800),--($E$2:$E$800&lt;E198))+(SUMPRODUCT(--ISNUMBER($E$2:$E$800),--($E$2:$E$800=E198))+1)/2)/COUNT($E$2:$E$800)</f>
        <v/>
      </c>
      <c r="I198">
        <f>(SUMPRODUCT(--ISNUMBER($G$2:$G$800),--($G$2:$G$800&lt;G198))+(SUMPRODUCT(--ISNUMBER($G$2:$G$800),--($G$2:$G$800=G198))+1)/2)/COUNT($G$2:$G$800)</f>
        <v/>
      </c>
      <c r="J198" t="n">
        <v>11.78349015194811</v>
      </c>
      <c r="K198" t="n">
        <v>2.360834990059642</v>
      </c>
      <c r="L198" t="n">
        <v>0.2982107355864853</v>
      </c>
      <c r="M198">
        <f>IF(OR(B198="NW",COUNT(Risk_Rank_Keys!B198)=0),0.5,(SUMPRODUCT(--ISNUMBER(Risk_Rank_Keys!$B$2:$B$800),--(Risk_Rank_Keys!$B$2:$B$800&lt;Risk_Rank_Keys!B198))+(SUMPRODUCT(--ISNUMBER(Risk_Rank_Keys!$B$2:$B$800),--(Risk_Rank_Keys!$B$2:$B$800=Risk_Rank_Keys!B198))+1)/2)/COUNT(Risk_Rank_Keys!$B$2:$B$800))</f>
        <v/>
      </c>
      <c r="N198">
        <f>IF(OR(B198="NW",COUNT(Risk_Rank_Keys!C198)=0),0.5,(SUMPRODUCT(--ISNUMBER(Risk_Rank_Keys!$C$2:$C$800),--(Risk_Rank_Keys!$C$2:$C$800&lt;Risk_Rank_Keys!C198))+(SUMPRODUCT(--ISNUMBER(Risk_Rank_Keys!$C$2:$C$800),--(Risk_Rank_Keys!$C$2:$C$800=Risk_Rank_Keys!C198))+1)/2)/COUNT(Risk_Rank_Keys!$C$2:$C$800))</f>
        <v/>
      </c>
      <c r="O198">
        <f>IF(OR(B198="NW",COUNT(Risk_Rank_Keys!D198)=0),0.5,(SUMPRODUCT(--ISNUMBER(Risk_Rank_Keys!$D$2:$D$800),--(Risk_Rank_Keys!$D$2:$D$800&lt;Risk_Rank_Keys!D198))+(SUMPRODUCT(--ISNUMBER(Risk_Rank_Keys!$D$2:$D$800),--(Risk_Rank_Keys!$D$2:$D$800=Risk_Rank_Keys!D198))+1)/2)/COUNT(Risk_Rank_Keys!$D$2:$D$800))</f>
        <v/>
      </c>
      <c r="P198">
        <f>AVERAGE(M198:O198)</f>
        <v/>
      </c>
      <c r="Q198">
        <f>0.4*H198+0.4*I198+0.2*P198</f>
        <v/>
      </c>
      <c r="R198">
        <f>PERCENTILE($Q$2:$Q$800,0.75)</f>
        <v/>
      </c>
      <c r="S198">
        <f>OR(Q198&gt;=R198,AND(B198="CW",COUNT(J198:L198)&lt;3))</f>
        <v/>
      </c>
      <c r="T198" t="n">
        <v>0.3722339898378379</v>
      </c>
      <c r="U198" t="n">
        <v>9.701407823546143</v>
      </c>
      <c r="V198" t="n">
        <v>0.7645995197390509</v>
      </c>
      <c r="W198">
        <f>Q198-V198</f>
        <v/>
      </c>
    </row>
    <row r="199">
      <c r="A199" t="inlineStr">
        <is>
          <t>2022-01-31</t>
        </is>
      </c>
      <c r="B199" t="inlineStr">
        <is>
          <t>CW</t>
        </is>
      </c>
      <c r="C199" t="n">
        <v>-45.91336057465257</v>
      </c>
      <c r="D199">
        <f>SUMPRODUCT(Risk_Inputs!B199:AJ199,Risk_Coefs!$B$2:$AJ$2)</f>
        <v/>
      </c>
      <c r="E199">
        <f>1/(1+EXP(-MAX(-25,MIN(25,D199))))</f>
        <v/>
      </c>
      <c r="F199">
        <f>SUMPRODUCT(Risk_Inputs!B199:AJ199,Risk_Coefs!$B$3:$AJ$3)</f>
        <v/>
      </c>
      <c r="G199">
        <f>MAX(0,F199)</f>
        <v/>
      </c>
      <c r="H199">
        <f>(SUMPRODUCT(--ISNUMBER($E$2:$E$800),--($E$2:$E$800&lt;E199))+(SUMPRODUCT(--ISNUMBER($E$2:$E$800),--($E$2:$E$800=E199))+1)/2)/COUNT($E$2:$E$800)</f>
        <v/>
      </c>
      <c r="I199">
        <f>(SUMPRODUCT(--ISNUMBER($G$2:$G$800),--($G$2:$G$800&lt;G199))+(SUMPRODUCT(--ISNUMBER($G$2:$G$800),--($G$2:$G$800=G199))+1)/2)/COUNT($G$2:$G$800)</f>
        <v/>
      </c>
      <c r="J199" t="n">
        <v>27.20848465221674</v>
      </c>
      <c r="K199" t="n">
        <v>9.466550065588111</v>
      </c>
      <c r="L199" t="n">
        <v>0.2842151289899456</v>
      </c>
      <c r="M199">
        <f>IF(OR(B199="NW",COUNT(Risk_Rank_Keys!B199)=0),0.5,(SUMPRODUCT(--ISNUMBER(Risk_Rank_Keys!$B$2:$B$800),--(Risk_Rank_Keys!$B$2:$B$800&lt;Risk_Rank_Keys!B199))+(SUMPRODUCT(--ISNUMBER(Risk_Rank_Keys!$B$2:$B$800),--(Risk_Rank_Keys!$B$2:$B$800=Risk_Rank_Keys!B199))+1)/2)/COUNT(Risk_Rank_Keys!$B$2:$B$800))</f>
        <v/>
      </c>
      <c r="N199">
        <f>IF(OR(B199="NW",COUNT(Risk_Rank_Keys!C199)=0),0.5,(SUMPRODUCT(--ISNUMBER(Risk_Rank_Keys!$C$2:$C$800),--(Risk_Rank_Keys!$C$2:$C$800&lt;Risk_Rank_Keys!C199))+(SUMPRODUCT(--ISNUMBER(Risk_Rank_Keys!$C$2:$C$800),--(Risk_Rank_Keys!$C$2:$C$800=Risk_Rank_Keys!C199))+1)/2)/COUNT(Risk_Rank_Keys!$C$2:$C$800))</f>
        <v/>
      </c>
      <c r="O199">
        <f>IF(OR(B199="NW",COUNT(Risk_Rank_Keys!D199)=0),0.5,(SUMPRODUCT(--ISNUMBER(Risk_Rank_Keys!$D$2:$D$800),--(Risk_Rank_Keys!$D$2:$D$800&lt;Risk_Rank_Keys!D199))+(SUMPRODUCT(--ISNUMBER(Risk_Rank_Keys!$D$2:$D$800),--(Risk_Rank_Keys!$D$2:$D$800=Risk_Rank_Keys!D199))+1)/2)/COUNT(Risk_Rank_Keys!$D$2:$D$800))</f>
        <v/>
      </c>
      <c r="P199">
        <f>AVERAGE(M199:O199)</f>
        <v/>
      </c>
      <c r="Q199">
        <f>0.4*H199+0.4*I199+0.2*P199</f>
        <v/>
      </c>
      <c r="R199">
        <f>PERCENTILE($Q$2:$Q$800,0.75)</f>
        <v/>
      </c>
      <c r="S199">
        <f>OR(Q199&gt;=R199,AND(B199="CW",COUNT(J199:L199)&lt;3))</f>
        <v/>
      </c>
      <c r="T199" t="n">
        <v>0.3225598982840858</v>
      </c>
      <c r="U199" t="n">
        <v>12.09113487102737</v>
      </c>
      <c r="V199" t="n">
        <v>0.8063196149999216</v>
      </c>
      <c r="W199">
        <f>Q199-V199</f>
        <v/>
      </c>
    </row>
    <row r="200">
      <c r="A200" t="inlineStr">
        <is>
          <t>2022-02-01</t>
        </is>
      </c>
      <c r="B200" t="inlineStr">
        <is>
          <t>CW</t>
        </is>
      </c>
      <c r="C200" t="n">
        <v>-12.40118951108484</v>
      </c>
      <c r="D200">
        <f>SUMPRODUCT(Risk_Inputs!B200:AJ200,Risk_Coefs!$B$2:$AJ$2)</f>
        <v/>
      </c>
      <c r="E200">
        <f>1/(1+EXP(-MAX(-25,MIN(25,D200))))</f>
        <v/>
      </c>
      <c r="F200">
        <f>SUMPRODUCT(Risk_Inputs!B200:AJ200,Risk_Coefs!$B$3:$AJ$3)</f>
        <v/>
      </c>
      <c r="G200">
        <f>MAX(0,F200)</f>
        <v/>
      </c>
      <c r="H200">
        <f>(SUMPRODUCT(--ISNUMBER($E$2:$E$800),--($E$2:$E$800&lt;E200))+(SUMPRODUCT(--ISNUMBER($E$2:$E$800),--($E$2:$E$800=E200))+1)/2)/COUNT($E$2:$E$800)</f>
        <v/>
      </c>
      <c r="I200">
        <f>(SUMPRODUCT(--ISNUMBER($G$2:$G$800),--($G$2:$G$800&lt;G200))+(SUMPRODUCT(--ISNUMBER($G$2:$G$800),--($G$2:$G$800=G200))+1)/2)/COUNT($G$2:$G$800)</f>
        <v/>
      </c>
      <c r="J200" t="n">
        <v>8.985060191317164</v>
      </c>
      <c r="K200" t="n">
        <v>1.438608230177314</v>
      </c>
      <c r="L200" t="n">
        <v>0.2118880339020892</v>
      </c>
      <c r="M200">
        <f>IF(OR(B200="NW",COUNT(Risk_Rank_Keys!B200)=0),0.5,(SUMPRODUCT(--ISNUMBER(Risk_Rank_Keys!$B$2:$B$800),--(Risk_Rank_Keys!$B$2:$B$800&lt;Risk_Rank_Keys!B200))+(SUMPRODUCT(--ISNUMBER(Risk_Rank_Keys!$B$2:$B$800),--(Risk_Rank_Keys!$B$2:$B$800=Risk_Rank_Keys!B200))+1)/2)/COUNT(Risk_Rank_Keys!$B$2:$B$800))</f>
        <v/>
      </c>
      <c r="N200">
        <f>IF(OR(B200="NW",COUNT(Risk_Rank_Keys!C200)=0),0.5,(SUMPRODUCT(--ISNUMBER(Risk_Rank_Keys!$C$2:$C$800),--(Risk_Rank_Keys!$C$2:$C$800&lt;Risk_Rank_Keys!C200))+(SUMPRODUCT(--ISNUMBER(Risk_Rank_Keys!$C$2:$C$800),--(Risk_Rank_Keys!$C$2:$C$800=Risk_Rank_Keys!C200))+1)/2)/COUNT(Risk_Rank_Keys!$C$2:$C$800))</f>
        <v/>
      </c>
      <c r="O200">
        <f>IF(OR(B200="NW",COUNT(Risk_Rank_Keys!D200)=0),0.5,(SUMPRODUCT(--ISNUMBER(Risk_Rank_Keys!$D$2:$D$800),--(Risk_Rank_Keys!$D$2:$D$800&lt;Risk_Rank_Keys!D200))+(SUMPRODUCT(--ISNUMBER(Risk_Rank_Keys!$D$2:$D$800),--(Risk_Rank_Keys!$D$2:$D$800=Risk_Rank_Keys!D200))+1)/2)/COUNT(Risk_Rank_Keys!$D$2:$D$800))</f>
        <v/>
      </c>
      <c r="P200">
        <f>AVERAGE(M200:O200)</f>
        <v/>
      </c>
      <c r="Q200">
        <f>0.4*H200+0.4*I200+0.2*P200</f>
        <v/>
      </c>
      <c r="R200">
        <f>PERCENTILE($Q$2:$Q$800,0.75)</f>
        <v/>
      </c>
      <c r="S200">
        <f>OR(Q200&gt;=R200,AND(B200="CW",COUNT(J200:L200)&lt;3))</f>
        <v/>
      </c>
      <c r="T200" t="n">
        <v>0.4376428504132654</v>
      </c>
      <c r="U200" t="n">
        <v>10.6705345869689</v>
      </c>
      <c r="V200" t="n">
        <v>0.7962355315134156</v>
      </c>
      <c r="W200">
        <f>Q200-V200</f>
        <v/>
      </c>
    </row>
    <row r="201">
      <c r="A201" t="inlineStr">
        <is>
          <t>2022-02-03</t>
        </is>
      </c>
      <c r="B201" t="inlineStr">
        <is>
          <t>CW</t>
        </is>
      </c>
      <c r="C201" t="n">
        <v>7.978308376447247</v>
      </c>
      <c r="D201">
        <f>SUMPRODUCT(Risk_Inputs!B201:AJ201,Risk_Coefs!$B$2:$AJ$2)</f>
        <v/>
      </c>
      <c r="E201">
        <f>1/(1+EXP(-MAX(-25,MIN(25,D201))))</f>
        <v/>
      </c>
      <c r="F201">
        <f>SUMPRODUCT(Risk_Inputs!B201:AJ201,Risk_Coefs!$B$3:$AJ$3)</f>
        <v/>
      </c>
      <c r="G201">
        <f>MAX(0,F201)</f>
        <v/>
      </c>
      <c r="H201">
        <f>(SUMPRODUCT(--ISNUMBER($E$2:$E$800),--($E$2:$E$800&lt;E201))+(SUMPRODUCT(--ISNUMBER($E$2:$E$800),--($E$2:$E$800=E201))+1)/2)/COUNT($E$2:$E$800)</f>
        <v/>
      </c>
      <c r="I201">
        <f>(SUMPRODUCT(--ISNUMBER($G$2:$G$800),--($G$2:$G$800&lt;G201))+(SUMPRODUCT(--ISNUMBER($G$2:$G$800),--($G$2:$G$800=G201))+1)/2)/COUNT($G$2:$G$800)</f>
        <v/>
      </c>
      <c r="J201" t="n">
        <v>13.41789992952743</v>
      </c>
      <c r="K201" t="n">
        <v>3.382663847780115</v>
      </c>
      <c r="L201" t="n">
        <v>0.4228329809725069</v>
      </c>
      <c r="M201">
        <f>IF(OR(B201="NW",COUNT(Risk_Rank_Keys!B201)=0),0.5,(SUMPRODUCT(--ISNUMBER(Risk_Rank_Keys!$B$2:$B$800),--(Risk_Rank_Keys!$B$2:$B$800&lt;Risk_Rank_Keys!B201))+(SUMPRODUCT(--ISNUMBER(Risk_Rank_Keys!$B$2:$B$800),--(Risk_Rank_Keys!$B$2:$B$800=Risk_Rank_Keys!B201))+1)/2)/COUNT(Risk_Rank_Keys!$B$2:$B$800))</f>
        <v/>
      </c>
      <c r="N201">
        <f>IF(OR(B201="NW",COUNT(Risk_Rank_Keys!C201)=0),0.5,(SUMPRODUCT(--ISNUMBER(Risk_Rank_Keys!$C$2:$C$800),--(Risk_Rank_Keys!$C$2:$C$800&lt;Risk_Rank_Keys!C201))+(SUMPRODUCT(--ISNUMBER(Risk_Rank_Keys!$C$2:$C$800),--(Risk_Rank_Keys!$C$2:$C$800=Risk_Rank_Keys!C201))+1)/2)/COUNT(Risk_Rank_Keys!$C$2:$C$800))</f>
        <v/>
      </c>
      <c r="O201">
        <f>IF(OR(B201="NW",COUNT(Risk_Rank_Keys!D201)=0),0.5,(SUMPRODUCT(--ISNUMBER(Risk_Rank_Keys!$D$2:$D$800),--(Risk_Rank_Keys!$D$2:$D$800&lt;Risk_Rank_Keys!D201))+(SUMPRODUCT(--ISNUMBER(Risk_Rank_Keys!$D$2:$D$800),--(Risk_Rank_Keys!$D$2:$D$800=Risk_Rank_Keys!D201))+1)/2)/COUNT(Risk_Rank_Keys!$D$2:$D$800))</f>
        <v/>
      </c>
      <c r="P201">
        <f>AVERAGE(M201:O201)</f>
        <v/>
      </c>
      <c r="Q201">
        <f>0.4*H201+0.4*I201+0.2*P201</f>
        <v/>
      </c>
      <c r="R201">
        <f>PERCENTILE($Q$2:$Q$800,0.75)</f>
        <v/>
      </c>
      <c r="S201">
        <f>OR(Q201&gt;=R201,AND(B201="CW",COUNT(J201:L201)&lt;3))</f>
        <v/>
      </c>
      <c r="T201" t="n">
        <v>0.2348772871295435</v>
      </c>
      <c r="U201" t="n">
        <v>4.38628595959316</v>
      </c>
      <c r="V201" t="n">
        <v>0.2498078432536254</v>
      </c>
      <c r="W201">
        <f>Q201-V201</f>
        <v/>
      </c>
    </row>
    <row r="202">
      <c r="A202" t="inlineStr">
        <is>
          <t>2022-02-04</t>
        </is>
      </c>
      <c r="B202" t="inlineStr">
        <is>
          <t>CW</t>
        </is>
      </c>
      <c r="C202" t="n">
        <v>34.86671619665722</v>
      </c>
      <c r="D202">
        <f>SUMPRODUCT(Risk_Inputs!B202:AJ202,Risk_Coefs!$B$2:$AJ$2)</f>
        <v/>
      </c>
      <c r="E202">
        <f>1/(1+EXP(-MAX(-25,MIN(25,D202))))</f>
        <v/>
      </c>
      <c r="F202">
        <f>SUMPRODUCT(Risk_Inputs!B202:AJ202,Risk_Coefs!$B$3:$AJ$3)</f>
        <v/>
      </c>
      <c r="G202">
        <f>MAX(0,F202)</f>
        <v/>
      </c>
      <c r="H202">
        <f>(SUMPRODUCT(--ISNUMBER($E$2:$E$800),--($E$2:$E$800&lt;E202))+(SUMPRODUCT(--ISNUMBER($E$2:$E$800),--($E$2:$E$800=E202))+1)/2)/COUNT($E$2:$E$800)</f>
        <v/>
      </c>
      <c r="I202">
        <f>(SUMPRODUCT(--ISNUMBER($G$2:$G$800),--($G$2:$G$800&lt;G202))+(SUMPRODUCT(--ISNUMBER($G$2:$G$800),--($G$2:$G$800=G202))+1)/2)/COUNT($G$2:$G$800)</f>
        <v/>
      </c>
      <c r="J202" t="n">
        <v>7.645587098355809</v>
      </c>
      <c r="K202" t="n">
        <v>1.428358875167389</v>
      </c>
      <c r="L202" t="n">
        <v>0.2380598125278925</v>
      </c>
      <c r="M202">
        <f>IF(OR(B202="NW",COUNT(Risk_Rank_Keys!B202)=0),0.5,(SUMPRODUCT(--ISNUMBER(Risk_Rank_Keys!$B$2:$B$800),--(Risk_Rank_Keys!$B$2:$B$800&lt;Risk_Rank_Keys!B202))+(SUMPRODUCT(--ISNUMBER(Risk_Rank_Keys!$B$2:$B$800),--(Risk_Rank_Keys!$B$2:$B$800=Risk_Rank_Keys!B202))+1)/2)/COUNT(Risk_Rank_Keys!$B$2:$B$800))</f>
        <v/>
      </c>
      <c r="N202">
        <f>IF(OR(B202="NW",COUNT(Risk_Rank_Keys!C202)=0),0.5,(SUMPRODUCT(--ISNUMBER(Risk_Rank_Keys!$C$2:$C$800),--(Risk_Rank_Keys!$C$2:$C$800&lt;Risk_Rank_Keys!C202))+(SUMPRODUCT(--ISNUMBER(Risk_Rank_Keys!$C$2:$C$800),--(Risk_Rank_Keys!$C$2:$C$800=Risk_Rank_Keys!C202))+1)/2)/COUNT(Risk_Rank_Keys!$C$2:$C$800))</f>
        <v/>
      </c>
      <c r="O202">
        <f>IF(OR(B202="NW",COUNT(Risk_Rank_Keys!D202)=0),0.5,(SUMPRODUCT(--ISNUMBER(Risk_Rank_Keys!$D$2:$D$800),--(Risk_Rank_Keys!$D$2:$D$800&lt;Risk_Rank_Keys!D202))+(SUMPRODUCT(--ISNUMBER(Risk_Rank_Keys!$D$2:$D$800),--(Risk_Rank_Keys!$D$2:$D$800=Risk_Rank_Keys!D202))+1)/2)/COUNT(Risk_Rank_Keys!$D$2:$D$800))</f>
        <v/>
      </c>
      <c r="P202">
        <f>AVERAGE(M202:O202)</f>
        <v/>
      </c>
      <c r="Q202">
        <f>0.4*H202+0.4*I202+0.2*P202</f>
        <v/>
      </c>
      <c r="R202">
        <f>PERCENTILE($Q$2:$Q$800,0.75)</f>
        <v/>
      </c>
      <c r="S202">
        <f>OR(Q202&gt;=R202,AND(B202="CW",COUNT(J202:L202)&lt;3))</f>
        <v/>
      </c>
      <c r="T202" t="n">
        <v>0.2804703239905038</v>
      </c>
      <c r="U202" t="n">
        <v>8.071353913316939</v>
      </c>
      <c r="V202" t="n">
        <v>0.4737326818914159</v>
      </c>
      <c r="W202">
        <f>Q202-V202</f>
        <v/>
      </c>
    </row>
    <row r="203">
      <c r="A203" t="inlineStr">
        <is>
          <t>2022-02-09</t>
        </is>
      </c>
      <c r="B203" t="inlineStr">
        <is>
          <t>NW</t>
        </is>
      </c>
      <c r="C203" t="n">
        <v>47.2700233610214</v>
      </c>
      <c r="D203">
        <f>SUMPRODUCT(Risk_Inputs!B203:AJ203,Risk_Coefs!$B$2:$AJ$2)</f>
        <v/>
      </c>
      <c r="E203">
        <f>1/(1+EXP(-MAX(-25,MIN(25,D203))))</f>
        <v/>
      </c>
      <c r="F203">
        <f>SUMPRODUCT(Risk_Inputs!B203:AJ203,Risk_Coefs!$B$3:$AJ$3)</f>
        <v/>
      </c>
      <c r="G203">
        <f>MAX(0,F203)</f>
        <v/>
      </c>
      <c r="H203">
        <f>(SUMPRODUCT(--ISNUMBER($E$2:$E$800),--($E$2:$E$800&lt;E203))+(SUMPRODUCT(--ISNUMBER($E$2:$E$800),--($E$2:$E$800=E203))+1)/2)/COUNT($E$2:$E$800)</f>
        <v/>
      </c>
      <c r="I203">
        <f>(SUMPRODUCT(--ISNUMBER($G$2:$G$800),--($G$2:$G$800&lt;G203))+(SUMPRODUCT(--ISNUMBER($G$2:$G$800),--($G$2:$G$800=G203))+1)/2)/COUNT($G$2:$G$800)</f>
        <v/>
      </c>
      <c r="M203">
        <f>IF(OR(B203="NW",COUNT(Risk_Rank_Keys!B203)=0),0.5,(SUMPRODUCT(--ISNUMBER(Risk_Rank_Keys!$B$2:$B$800),--(Risk_Rank_Keys!$B$2:$B$800&lt;Risk_Rank_Keys!B203))+(SUMPRODUCT(--ISNUMBER(Risk_Rank_Keys!$B$2:$B$800),--(Risk_Rank_Keys!$B$2:$B$800=Risk_Rank_Keys!B203))+1)/2)/COUNT(Risk_Rank_Keys!$B$2:$B$800))</f>
        <v/>
      </c>
      <c r="N203">
        <f>IF(OR(B203="NW",COUNT(Risk_Rank_Keys!C203)=0),0.5,(SUMPRODUCT(--ISNUMBER(Risk_Rank_Keys!$C$2:$C$800),--(Risk_Rank_Keys!$C$2:$C$800&lt;Risk_Rank_Keys!C203))+(SUMPRODUCT(--ISNUMBER(Risk_Rank_Keys!$C$2:$C$800),--(Risk_Rank_Keys!$C$2:$C$800=Risk_Rank_Keys!C203))+1)/2)/COUNT(Risk_Rank_Keys!$C$2:$C$800))</f>
        <v/>
      </c>
      <c r="O203">
        <f>IF(OR(B203="NW",COUNT(Risk_Rank_Keys!D203)=0),0.5,(SUMPRODUCT(--ISNUMBER(Risk_Rank_Keys!$D$2:$D$800),--(Risk_Rank_Keys!$D$2:$D$800&lt;Risk_Rank_Keys!D203))+(SUMPRODUCT(--ISNUMBER(Risk_Rank_Keys!$D$2:$D$800),--(Risk_Rank_Keys!$D$2:$D$800=Risk_Rank_Keys!D203))+1)/2)/COUNT(Risk_Rank_Keys!$D$2:$D$800))</f>
        <v/>
      </c>
      <c r="P203">
        <f>AVERAGE(M203:O203)</f>
        <v/>
      </c>
      <c r="Q203">
        <f>0.4*H203+0.4*I203+0.2*P203</f>
        <v/>
      </c>
      <c r="R203">
        <f>PERCENTILE($Q$2:$Q$800,0.75)</f>
        <v/>
      </c>
      <c r="S203">
        <f>OR(Q203&gt;=R203,AND(B203="CW",COUNT(J203:L203)&lt;3))</f>
        <v/>
      </c>
      <c r="T203" t="n">
        <v>0.3760436879943408</v>
      </c>
      <c r="U203" t="n">
        <v>11.41366346749264</v>
      </c>
      <c r="V203" t="n">
        <v>0.8168961201501878</v>
      </c>
      <c r="W203">
        <f>Q203-V203</f>
        <v/>
      </c>
    </row>
    <row r="204">
      <c r="A204" t="inlineStr">
        <is>
          <t>2022-02-10</t>
        </is>
      </c>
      <c r="B204" t="inlineStr">
        <is>
          <t>CW</t>
        </is>
      </c>
      <c r="C204" t="n">
        <v>5.853112897765477</v>
      </c>
      <c r="D204">
        <f>SUMPRODUCT(Risk_Inputs!B204:AJ204,Risk_Coefs!$B$2:$AJ$2)</f>
        <v/>
      </c>
      <c r="E204">
        <f>1/(1+EXP(-MAX(-25,MIN(25,D204))))</f>
        <v/>
      </c>
      <c r="F204">
        <f>SUMPRODUCT(Risk_Inputs!B204:AJ204,Risk_Coefs!$B$3:$AJ$3)</f>
        <v/>
      </c>
      <c r="G204">
        <f>MAX(0,F204)</f>
        <v/>
      </c>
      <c r="H204">
        <f>(SUMPRODUCT(--ISNUMBER($E$2:$E$800),--($E$2:$E$800&lt;E204))+(SUMPRODUCT(--ISNUMBER($E$2:$E$800),--($E$2:$E$800=E204))+1)/2)/COUNT($E$2:$E$800)</f>
        <v/>
      </c>
      <c r="I204">
        <f>(SUMPRODUCT(--ISNUMBER($G$2:$G$800),--($G$2:$G$800&lt;G204))+(SUMPRODUCT(--ISNUMBER($G$2:$G$800),--($G$2:$G$800=G204))+1)/2)/COUNT($G$2:$G$800)</f>
        <v/>
      </c>
      <c r="J204" t="n">
        <v>14.44401943377119</v>
      </c>
      <c r="K204" t="n">
        <v>5.785920925747335</v>
      </c>
      <c r="L204" t="n">
        <v>0.241080038572813</v>
      </c>
      <c r="M204">
        <f>IF(OR(B204="NW",COUNT(Risk_Rank_Keys!B204)=0),0.5,(SUMPRODUCT(--ISNUMBER(Risk_Rank_Keys!$B$2:$B$800),--(Risk_Rank_Keys!$B$2:$B$800&lt;Risk_Rank_Keys!B204))+(SUMPRODUCT(--ISNUMBER(Risk_Rank_Keys!$B$2:$B$800),--(Risk_Rank_Keys!$B$2:$B$800=Risk_Rank_Keys!B204))+1)/2)/COUNT(Risk_Rank_Keys!$B$2:$B$800))</f>
        <v/>
      </c>
      <c r="N204">
        <f>IF(OR(B204="NW",COUNT(Risk_Rank_Keys!C204)=0),0.5,(SUMPRODUCT(--ISNUMBER(Risk_Rank_Keys!$C$2:$C$800),--(Risk_Rank_Keys!$C$2:$C$800&lt;Risk_Rank_Keys!C204))+(SUMPRODUCT(--ISNUMBER(Risk_Rank_Keys!$C$2:$C$800),--(Risk_Rank_Keys!$C$2:$C$800=Risk_Rank_Keys!C204))+1)/2)/COUNT(Risk_Rank_Keys!$C$2:$C$800))</f>
        <v/>
      </c>
      <c r="O204">
        <f>IF(OR(B204="NW",COUNT(Risk_Rank_Keys!D204)=0),0.5,(SUMPRODUCT(--ISNUMBER(Risk_Rank_Keys!$D$2:$D$800),--(Risk_Rank_Keys!$D$2:$D$800&lt;Risk_Rank_Keys!D204))+(SUMPRODUCT(--ISNUMBER(Risk_Rank_Keys!$D$2:$D$800),--(Risk_Rank_Keys!$D$2:$D$800=Risk_Rank_Keys!D204))+1)/2)/COUNT(Risk_Rank_Keys!$D$2:$D$800))</f>
        <v/>
      </c>
      <c r="P204">
        <f>AVERAGE(M204:O204)</f>
        <v/>
      </c>
      <c r="Q204">
        <f>0.4*H204+0.4*I204+0.2*P204</f>
        <v/>
      </c>
      <c r="R204">
        <f>PERCENTILE($Q$2:$Q$800,0.75)</f>
        <v/>
      </c>
      <c r="S204">
        <f>OR(Q204&gt;=R204,AND(B204="CW",COUNT(J204:L204)&lt;3))</f>
        <v/>
      </c>
      <c r="T204" t="n">
        <v>0.3192592408106432</v>
      </c>
      <c r="U204" t="n">
        <v>9.554236719455915</v>
      </c>
      <c r="V204" t="n">
        <v>0.6893568145677216</v>
      </c>
      <c r="W204">
        <f>Q204-V204</f>
        <v/>
      </c>
    </row>
    <row r="205">
      <c r="A205" t="inlineStr">
        <is>
          <t>2022-02-11</t>
        </is>
      </c>
      <c r="B205" t="inlineStr">
        <is>
          <t>CW</t>
        </is>
      </c>
      <c r="C205" t="n">
        <v>-4.336764181890091</v>
      </c>
      <c r="D205">
        <f>SUMPRODUCT(Risk_Inputs!B205:AJ205,Risk_Coefs!$B$2:$AJ$2)</f>
        <v/>
      </c>
      <c r="E205">
        <f>1/(1+EXP(-MAX(-25,MIN(25,D205))))</f>
        <v/>
      </c>
      <c r="F205">
        <f>SUMPRODUCT(Risk_Inputs!B205:AJ205,Risk_Coefs!$B$3:$AJ$3)</f>
        <v/>
      </c>
      <c r="G205">
        <f>MAX(0,F205)</f>
        <v/>
      </c>
      <c r="H205">
        <f>(SUMPRODUCT(--ISNUMBER($E$2:$E$800),--($E$2:$E$800&lt;E205))+(SUMPRODUCT(--ISNUMBER($E$2:$E$800),--($E$2:$E$800=E205))+1)/2)/COUNT($E$2:$E$800)</f>
        <v/>
      </c>
      <c r="I205">
        <f>(SUMPRODUCT(--ISNUMBER($G$2:$G$800),--($G$2:$G$800&lt;G205))+(SUMPRODUCT(--ISNUMBER($G$2:$G$800),--($G$2:$G$800=G205))+1)/2)/COUNT($G$2:$G$800)</f>
        <v/>
      </c>
      <c r="J205" t="n">
        <v>11.63221520459983</v>
      </c>
      <c r="K205" t="n">
        <v>1.336157731790784</v>
      </c>
      <c r="L205" t="n">
        <v>0.1955352778230387</v>
      </c>
      <c r="M205">
        <f>IF(OR(B205="NW",COUNT(Risk_Rank_Keys!B205)=0),0.5,(SUMPRODUCT(--ISNUMBER(Risk_Rank_Keys!$B$2:$B$800),--(Risk_Rank_Keys!$B$2:$B$800&lt;Risk_Rank_Keys!B205))+(SUMPRODUCT(--ISNUMBER(Risk_Rank_Keys!$B$2:$B$800),--(Risk_Rank_Keys!$B$2:$B$800=Risk_Rank_Keys!B205))+1)/2)/COUNT(Risk_Rank_Keys!$B$2:$B$800))</f>
        <v/>
      </c>
      <c r="N205">
        <f>IF(OR(B205="NW",COUNT(Risk_Rank_Keys!C205)=0),0.5,(SUMPRODUCT(--ISNUMBER(Risk_Rank_Keys!$C$2:$C$800),--(Risk_Rank_Keys!$C$2:$C$800&lt;Risk_Rank_Keys!C205))+(SUMPRODUCT(--ISNUMBER(Risk_Rank_Keys!$C$2:$C$800),--(Risk_Rank_Keys!$C$2:$C$800=Risk_Rank_Keys!C205))+1)/2)/COUNT(Risk_Rank_Keys!$C$2:$C$800))</f>
        <v/>
      </c>
      <c r="O205">
        <f>IF(OR(B205="NW",COUNT(Risk_Rank_Keys!D205)=0),0.5,(SUMPRODUCT(--ISNUMBER(Risk_Rank_Keys!$D$2:$D$800),--(Risk_Rank_Keys!$D$2:$D$800&lt;Risk_Rank_Keys!D205))+(SUMPRODUCT(--ISNUMBER(Risk_Rank_Keys!$D$2:$D$800),--(Risk_Rank_Keys!$D$2:$D$800=Risk_Rank_Keys!D205))+1)/2)/COUNT(Risk_Rank_Keys!$D$2:$D$800))</f>
        <v/>
      </c>
      <c r="P205">
        <f>AVERAGE(M205:O205)</f>
        <v/>
      </c>
      <c r="Q205">
        <f>0.4*H205+0.4*I205+0.2*P205</f>
        <v/>
      </c>
      <c r="R205">
        <f>PERCENTILE($Q$2:$Q$800,0.75)</f>
        <v/>
      </c>
      <c r="S205">
        <f>OR(Q205&gt;=R205,AND(B205="CW",COUNT(J205:L205)&lt;3))</f>
        <v/>
      </c>
      <c r="T205" t="n">
        <v>0.2510143055652705</v>
      </c>
      <c r="U205" t="n">
        <v>4.900581939345636</v>
      </c>
      <c r="V205" t="n">
        <v>0.2210380362715133</v>
      </c>
      <c r="W205">
        <f>Q205-V205</f>
        <v/>
      </c>
    </row>
    <row r="206">
      <c r="A206" t="inlineStr">
        <is>
          <t>2022-02-14</t>
        </is>
      </c>
      <c r="B206" t="inlineStr">
        <is>
          <t>CW</t>
        </is>
      </c>
      <c r="C206" t="n">
        <v>-40.0380059239502</v>
      </c>
      <c r="D206">
        <f>SUMPRODUCT(Risk_Inputs!B206:AJ206,Risk_Coefs!$B$2:$AJ$2)</f>
        <v/>
      </c>
      <c r="E206">
        <f>1/(1+EXP(-MAX(-25,MIN(25,D206))))</f>
        <v/>
      </c>
      <c r="F206">
        <f>SUMPRODUCT(Risk_Inputs!B206:AJ206,Risk_Coefs!$B$3:$AJ$3)</f>
        <v/>
      </c>
      <c r="G206">
        <f>MAX(0,F206)</f>
        <v/>
      </c>
      <c r="H206">
        <f>(SUMPRODUCT(--ISNUMBER($E$2:$E$800),--($E$2:$E$800&lt;E206))+(SUMPRODUCT(--ISNUMBER($E$2:$E$800),--($E$2:$E$800=E206))+1)/2)/COUNT($E$2:$E$800)</f>
        <v/>
      </c>
      <c r="I206">
        <f>(SUMPRODUCT(--ISNUMBER($G$2:$G$800),--($G$2:$G$800&lt;G206))+(SUMPRODUCT(--ISNUMBER($G$2:$G$800),--($G$2:$G$800=G206))+1)/2)/COUNT($G$2:$G$800)</f>
        <v/>
      </c>
      <c r="J206" t="n">
        <v>22.12265719000982</v>
      </c>
      <c r="K206" t="n">
        <v>7.118515713744777</v>
      </c>
      <c r="L206" t="n">
        <v>0.1767007446674211</v>
      </c>
      <c r="M206">
        <f>IF(OR(B206="NW",COUNT(Risk_Rank_Keys!B206)=0),0.5,(SUMPRODUCT(--ISNUMBER(Risk_Rank_Keys!$B$2:$B$800),--(Risk_Rank_Keys!$B$2:$B$800&lt;Risk_Rank_Keys!B206))+(SUMPRODUCT(--ISNUMBER(Risk_Rank_Keys!$B$2:$B$800),--(Risk_Rank_Keys!$B$2:$B$800=Risk_Rank_Keys!B206))+1)/2)/COUNT(Risk_Rank_Keys!$B$2:$B$800))</f>
        <v/>
      </c>
      <c r="N206">
        <f>IF(OR(B206="NW",COUNT(Risk_Rank_Keys!C206)=0),0.5,(SUMPRODUCT(--ISNUMBER(Risk_Rank_Keys!$C$2:$C$800),--(Risk_Rank_Keys!$C$2:$C$800&lt;Risk_Rank_Keys!C206))+(SUMPRODUCT(--ISNUMBER(Risk_Rank_Keys!$C$2:$C$800),--(Risk_Rank_Keys!$C$2:$C$800=Risk_Rank_Keys!C206))+1)/2)/COUNT(Risk_Rank_Keys!$C$2:$C$800))</f>
        <v/>
      </c>
      <c r="O206">
        <f>IF(OR(B206="NW",COUNT(Risk_Rank_Keys!D206)=0),0.5,(SUMPRODUCT(--ISNUMBER(Risk_Rank_Keys!$D$2:$D$800),--(Risk_Rank_Keys!$D$2:$D$800&lt;Risk_Rank_Keys!D206))+(SUMPRODUCT(--ISNUMBER(Risk_Rank_Keys!$D$2:$D$800),--(Risk_Rank_Keys!$D$2:$D$800=Risk_Rank_Keys!D206))+1)/2)/COUNT(Risk_Rank_Keys!$D$2:$D$800))</f>
        <v/>
      </c>
      <c r="P206">
        <f>AVERAGE(M206:O206)</f>
        <v/>
      </c>
      <c r="Q206">
        <f>0.4*H206+0.4*I206+0.2*P206</f>
        <v/>
      </c>
      <c r="R206">
        <f>PERCENTILE($Q$2:$Q$800,0.75)</f>
        <v/>
      </c>
      <c r="S206">
        <f>OR(Q206&gt;=R206,AND(B206="CW",COUNT(J206:L206)&lt;3))</f>
        <v/>
      </c>
      <c r="T206" t="n">
        <v>0.3443895215605545</v>
      </c>
      <c r="U206" t="n">
        <v>7.153895530921639</v>
      </c>
      <c r="V206" t="n">
        <v>0.6152133449005586</v>
      </c>
      <c r="W206">
        <f>Q206-V206</f>
        <v/>
      </c>
    </row>
    <row r="207">
      <c r="A207" t="inlineStr">
        <is>
          <t>2022-02-16</t>
        </is>
      </c>
      <c r="B207" t="inlineStr">
        <is>
          <t>NW</t>
        </is>
      </c>
      <c r="C207" t="n">
        <v>-44.61782289689349</v>
      </c>
      <c r="D207">
        <f>SUMPRODUCT(Risk_Inputs!B207:AJ207,Risk_Coefs!$B$2:$AJ$2)</f>
        <v/>
      </c>
      <c r="E207">
        <f>1/(1+EXP(-MAX(-25,MIN(25,D207))))</f>
        <v/>
      </c>
      <c r="F207">
        <f>SUMPRODUCT(Risk_Inputs!B207:AJ207,Risk_Coefs!$B$3:$AJ$3)</f>
        <v/>
      </c>
      <c r="G207">
        <f>MAX(0,F207)</f>
        <v/>
      </c>
      <c r="H207">
        <f>(SUMPRODUCT(--ISNUMBER($E$2:$E$800),--($E$2:$E$800&lt;E207))+(SUMPRODUCT(--ISNUMBER($E$2:$E$800),--($E$2:$E$800=E207))+1)/2)/COUNT($E$2:$E$800)</f>
        <v/>
      </c>
      <c r="I207">
        <f>(SUMPRODUCT(--ISNUMBER($G$2:$G$800),--($G$2:$G$800&lt;G207))+(SUMPRODUCT(--ISNUMBER($G$2:$G$800),--($G$2:$G$800=G207))+1)/2)/COUNT($G$2:$G$800)</f>
        <v/>
      </c>
      <c r="M207">
        <f>IF(OR(B207="NW",COUNT(Risk_Rank_Keys!B207)=0),0.5,(SUMPRODUCT(--ISNUMBER(Risk_Rank_Keys!$B$2:$B$800),--(Risk_Rank_Keys!$B$2:$B$800&lt;Risk_Rank_Keys!B207))+(SUMPRODUCT(--ISNUMBER(Risk_Rank_Keys!$B$2:$B$800),--(Risk_Rank_Keys!$B$2:$B$800=Risk_Rank_Keys!B207))+1)/2)/COUNT(Risk_Rank_Keys!$B$2:$B$800))</f>
        <v/>
      </c>
      <c r="N207">
        <f>IF(OR(B207="NW",COUNT(Risk_Rank_Keys!C207)=0),0.5,(SUMPRODUCT(--ISNUMBER(Risk_Rank_Keys!$C$2:$C$800),--(Risk_Rank_Keys!$C$2:$C$800&lt;Risk_Rank_Keys!C207))+(SUMPRODUCT(--ISNUMBER(Risk_Rank_Keys!$C$2:$C$800),--(Risk_Rank_Keys!$C$2:$C$800=Risk_Rank_Keys!C207))+1)/2)/COUNT(Risk_Rank_Keys!$C$2:$C$800))</f>
        <v/>
      </c>
      <c r="O207">
        <f>IF(OR(B207="NW",COUNT(Risk_Rank_Keys!D207)=0),0.5,(SUMPRODUCT(--ISNUMBER(Risk_Rank_Keys!$D$2:$D$800),--(Risk_Rank_Keys!$D$2:$D$800&lt;Risk_Rank_Keys!D207))+(SUMPRODUCT(--ISNUMBER(Risk_Rank_Keys!$D$2:$D$800),--(Risk_Rank_Keys!$D$2:$D$800=Risk_Rank_Keys!D207))+1)/2)/COUNT(Risk_Rank_Keys!$D$2:$D$800))</f>
        <v/>
      </c>
      <c r="P207">
        <f>AVERAGE(M207:O207)</f>
        <v/>
      </c>
      <c r="Q207">
        <f>0.4*H207+0.4*I207+0.2*P207</f>
        <v/>
      </c>
      <c r="R207">
        <f>PERCENTILE($Q$2:$Q$800,0.75)</f>
        <v/>
      </c>
      <c r="S207">
        <f>OR(Q207&gt;=R207,AND(B207="CW",COUNT(J207:L207)&lt;3))</f>
        <v/>
      </c>
      <c r="T207" t="n">
        <v>0.4211199255127135</v>
      </c>
      <c r="U207" t="n">
        <v>13.87297450893467</v>
      </c>
      <c r="V207" t="n">
        <v>0.8734668335419274</v>
      </c>
      <c r="W207">
        <f>Q207-V207</f>
        <v/>
      </c>
    </row>
    <row r="208">
      <c r="A208" t="inlineStr">
        <is>
          <t>2022-02-17</t>
        </is>
      </c>
      <c r="B208" t="inlineStr">
        <is>
          <t>CW</t>
        </is>
      </c>
      <c r="C208" t="n">
        <v>-35.1024101244863</v>
      </c>
      <c r="D208">
        <f>SUMPRODUCT(Risk_Inputs!B208:AJ208,Risk_Coefs!$B$2:$AJ$2)</f>
        <v/>
      </c>
      <c r="E208">
        <f>1/(1+EXP(-MAX(-25,MIN(25,D208))))</f>
        <v/>
      </c>
      <c r="F208">
        <f>SUMPRODUCT(Risk_Inputs!B208:AJ208,Risk_Coefs!$B$3:$AJ$3)</f>
        <v/>
      </c>
      <c r="G208">
        <f>MAX(0,F208)</f>
        <v/>
      </c>
      <c r="H208">
        <f>(SUMPRODUCT(--ISNUMBER($E$2:$E$800),--($E$2:$E$800&lt;E208))+(SUMPRODUCT(--ISNUMBER($E$2:$E$800),--($E$2:$E$800=E208))+1)/2)/COUNT($E$2:$E$800)</f>
        <v/>
      </c>
      <c r="I208">
        <f>(SUMPRODUCT(--ISNUMBER($G$2:$G$800),--($G$2:$G$800&lt;G208))+(SUMPRODUCT(--ISNUMBER($G$2:$G$800),--($G$2:$G$800=G208))+1)/2)/COUNT($G$2:$G$800)</f>
        <v/>
      </c>
      <c r="J208" t="n">
        <v>12.41008434261151</v>
      </c>
      <c r="K208" t="n">
        <v>2.432179607109442</v>
      </c>
      <c r="L208" t="n">
        <v>0.2338634237605238</v>
      </c>
      <c r="M208">
        <f>IF(OR(B208="NW",COUNT(Risk_Rank_Keys!B208)=0),0.5,(SUMPRODUCT(--ISNUMBER(Risk_Rank_Keys!$B$2:$B$800),--(Risk_Rank_Keys!$B$2:$B$800&lt;Risk_Rank_Keys!B208))+(SUMPRODUCT(--ISNUMBER(Risk_Rank_Keys!$B$2:$B$800),--(Risk_Rank_Keys!$B$2:$B$800=Risk_Rank_Keys!B208))+1)/2)/COUNT(Risk_Rank_Keys!$B$2:$B$800))</f>
        <v/>
      </c>
      <c r="N208">
        <f>IF(OR(B208="NW",COUNT(Risk_Rank_Keys!C208)=0),0.5,(SUMPRODUCT(--ISNUMBER(Risk_Rank_Keys!$C$2:$C$800),--(Risk_Rank_Keys!$C$2:$C$800&lt;Risk_Rank_Keys!C208))+(SUMPRODUCT(--ISNUMBER(Risk_Rank_Keys!$C$2:$C$800),--(Risk_Rank_Keys!$C$2:$C$800=Risk_Rank_Keys!C208))+1)/2)/COUNT(Risk_Rank_Keys!$C$2:$C$800))</f>
        <v/>
      </c>
      <c r="O208">
        <f>IF(OR(B208="NW",COUNT(Risk_Rank_Keys!D208)=0),0.5,(SUMPRODUCT(--ISNUMBER(Risk_Rank_Keys!$D$2:$D$800),--(Risk_Rank_Keys!$D$2:$D$800&lt;Risk_Rank_Keys!D208))+(SUMPRODUCT(--ISNUMBER(Risk_Rank_Keys!$D$2:$D$800),--(Risk_Rank_Keys!$D$2:$D$800=Risk_Rank_Keys!D208))+1)/2)/COUNT(Risk_Rank_Keys!$D$2:$D$800))</f>
        <v/>
      </c>
      <c r="P208">
        <f>AVERAGE(M208:O208)</f>
        <v/>
      </c>
      <c r="Q208">
        <f>0.4*H208+0.4*I208+0.2*P208</f>
        <v/>
      </c>
      <c r="R208">
        <f>PERCENTILE($Q$2:$Q$800,0.75)</f>
        <v/>
      </c>
      <c r="S208">
        <f>OR(Q208&gt;=R208,AND(B208="CW",COUNT(J208:L208)&lt;3))</f>
        <v/>
      </c>
      <c r="T208" t="n">
        <v>0.2833543473024261</v>
      </c>
      <c r="U208" t="n">
        <v>8.79683556599926</v>
      </c>
      <c r="V208" t="n">
        <v>0.5502950282460235</v>
      </c>
      <c r="W208">
        <f>Q208-V208</f>
        <v/>
      </c>
    </row>
    <row r="209">
      <c r="A209" t="inlineStr">
        <is>
          <t>2022-02-18</t>
        </is>
      </c>
      <c r="B209" t="inlineStr">
        <is>
          <t>CW</t>
        </is>
      </c>
      <c r="C209" t="n">
        <v>46.51214132051059</v>
      </c>
      <c r="D209">
        <f>SUMPRODUCT(Risk_Inputs!B209:AJ209,Risk_Coefs!$B$2:$AJ$2)</f>
        <v/>
      </c>
      <c r="E209">
        <f>1/(1+EXP(-MAX(-25,MIN(25,D209))))</f>
        <v/>
      </c>
      <c r="F209">
        <f>SUMPRODUCT(Risk_Inputs!B209:AJ209,Risk_Coefs!$B$3:$AJ$3)</f>
        <v/>
      </c>
      <c r="G209">
        <f>MAX(0,F209)</f>
        <v/>
      </c>
      <c r="H209">
        <f>(SUMPRODUCT(--ISNUMBER($E$2:$E$800),--($E$2:$E$800&lt;E209))+(SUMPRODUCT(--ISNUMBER($E$2:$E$800),--($E$2:$E$800=E209))+1)/2)/COUNT($E$2:$E$800)</f>
        <v/>
      </c>
      <c r="I209">
        <f>(SUMPRODUCT(--ISNUMBER($G$2:$G$800),--($G$2:$G$800&lt;G209))+(SUMPRODUCT(--ISNUMBER($G$2:$G$800),--($G$2:$G$800=G209))+1)/2)/COUNT($G$2:$G$800)</f>
        <v/>
      </c>
      <c r="J209" t="n">
        <v>35.41047779534392</v>
      </c>
      <c r="K209" t="n">
        <v>21.37592137592137</v>
      </c>
      <c r="L209" t="n">
        <v>0.2903730176457411</v>
      </c>
      <c r="M209">
        <f>IF(OR(B209="NW",COUNT(Risk_Rank_Keys!B209)=0),0.5,(SUMPRODUCT(--ISNUMBER(Risk_Rank_Keys!$B$2:$B$800),--(Risk_Rank_Keys!$B$2:$B$800&lt;Risk_Rank_Keys!B209))+(SUMPRODUCT(--ISNUMBER(Risk_Rank_Keys!$B$2:$B$800),--(Risk_Rank_Keys!$B$2:$B$800=Risk_Rank_Keys!B209))+1)/2)/COUNT(Risk_Rank_Keys!$B$2:$B$800))</f>
        <v/>
      </c>
      <c r="N209">
        <f>IF(OR(B209="NW",COUNT(Risk_Rank_Keys!C209)=0),0.5,(SUMPRODUCT(--ISNUMBER(Risk_Rank_Keys!$C$2:$C$800),--(Risk_Rank_Keys!$C$2:$C$800&lt;Risk_Rank_Keys!C209))+(SUMPRODUCT(--ISNUMBER(Risk_Rank_Keys!$C$2:$C$800),--(Risk_Rank_Keys!$C$2:$C$800=Risk_Rank_Keys!C209))+1)/2)/COUNT(Risk_Rank_Keys!$C$2:$C$800))</f>
        <v/>
      </c>
      <c r="O209">
        <f>IF(OR(B209="NW",COUNT(Risk_Rank_Keys!D209)=0),0.5,(SUMPRODUCT(--ISNUMBER(Risk_Rank_Keys!$D$2:$D$800),--(Risk_Rank_Keys!$D$2:$D$800&lt;Risk_Rank_Keys!D209))+(SUMPRODUCT(--ISNUMBER(Risk_Rank_Keys!$D$2:$D$800),--(Risk_Rank_Keys!$D$2:$D$800=Risk_Rank_Keys!D209))+1)/2)/COUNT(Risk_Rank_Keys!$D$2:$D$800))</f>
        <v/>
      </c>
      <c r="P209">
        <f>AVERAGE(M209:O209)</f>
        <v/>
      </c>
      <c r="Q209">
        <f>0.4*H209+0.4*I209+0.2*P209</f>
        <v/>
      </c>
      <c r="R209">
        <f>PERCENTILE($Q$2:$Q$800,0.75)</f>
        <v/>
      </c>
      <c r="S209">
        <f>OR(Q209&gt;=R209,AND(B209="CW",COUNT(J209:L209)&lt;3))</f>
        <v/>
      </c>
      <c r="T209" t="n">
        <v>0.1373016118971859</v>
      </c>
      <c r="U209" t="n">
        <v>4.620495301039478</v>
      </c>
      <c r="V209" t="n">
        <v>0.2183568605340591</v>
      </c>
      <c r="W209">
        <f>Q209-V209</f>
        <v/>
      </c>
    </row>
    <row r="210">
      <c r="A210" t="inlineStr">
        <is>
          <t>2022-02-21</t>
        </is>
      </c>
      <c r="B210" t="inlineStr">
        <is>
          <t>CW</t>
        </is>
      </c>
      <c r="C210" t="n">
        <v>59.07995561622788</v>
      </c>
      <c r="D210">
        <f>SUMPRODUCT(Risk_Inputs!B210:AJ210,Risk_Coefs!$B$2:$AJ$2)</f>
        <v/>
      </c>
      <c r="E210">
        <f>1/(1+EXP(-MAX(-25,MIN(25,D210))))</f>
        <v/>
      </c>
      <c r="F210">
        <f>SUMPRODUCT(Risk_Inputs!B210:AJ210,Risk_Coefs!$B$3:$AJ$3)</f>
        <v/>
      </c>
      <c r="G210">
        <f>MAX(0,F210)</f>
        <v/>
      </c>
      <c r="H210">
        <f>(SUMPRODUCT(--ISNUMBER($E$2:$E$800),--($E$2:$E$800&lt;E210))+(SUMPRODUCT(--ISNUMBER($E$2:$E$800),--($E$2:$E$800=E210))+1)/2)/COUNT($E$2:$E$800)</f>
        <v/>
      </c>
      <c r="I210">
        <f>(SUMPRODUCT(--ISNUMBER($G$2:$G$800),--($G$2:$G$800&lt;G210))+(SUMPRODUCT(--ISNUMBER($G$2:$G$800),--($G$2:$G$800=G210))+1)/2)/COUNT($G$2:$G$800)</f>
        <v/>
      </c>
      <c r="J210" t="n">
        <v>38.31651357491081</v>
      </c>
      <c r="K210" t="n">
        <v>4.672380425767219</v>
      </c>
      <c r="L210" t="n">
        <v>0.2764722145424385</v>
      </c>
      <c r="M210">
        <f>IF(OR(B210="NW",COUNT(Risk_Rank_Keys!B210)=0),0.5,(SUMPRODUCT(--ISNUMBER(Risk_Rank_Keys!$B$2:$B$800),--(Risk_Rank_Keys!$B$2:$B$800&lt;Risk_Rank_Keys!B210))+(SUMPRODUCT(--ISNUMBER(Risk_Rank_Keys!$B$2:$B$800),--(Risk_Rank_Keys!$B$2:$B$800=Risk_Rank_Keys!B210))+1)/2)/COUNT(Risk_Rank_Keys!$B$2:$B$800))</f>
        <v/>
      </c>
      <c r="N210">
        <f>IF(OR(B210="NW",COUNT(Risk_Rank_Keys!C210)=0),0.5,(SUMPRODUCT(--ISNUMBER(Risk_Rank_Keys!$C$2:$C$800),--(Risk_Rank_Keys!$C$2:$C$800&lt;Risk_Rank_Keys!C210))+(SUMPRODUCT(--ISNUMBER(Risk_Rank_Keys!$C$2:$C$800),--(Risk_Rank_Keys!$C$2:$C$800=Risk_Rank_Keys!C210))+1)/2)/COUNT(Risk_Rank_Keys!$C$2:$C$800))</f>
        <v/>
      </c>
      <c r="O210">
        <f>IF(OR(B210="NW",COUNT(Risk_Rank_Keys!D210)=0),0.5,(SUMPRODUCT(--ISNUMBER(Risk_Rank_Keys!$D$2:$D$800),--(Risk_Rank_Keys!$D$2:$D$800&lt;Risk_Rank_Keys!D210))+(SUMPRODUCT(--ISNUMBER(Risk_Rank_Keys!$D$2:$D$800),--(Risk_Rank_Keys!$D$2:$D$800=Risk_Rank_Keys!D210))+1)/2)/COUNT(Risk_Rank_Keys!$D$2:$D$800))</f>
        <v/>
      </c>
      <c r="P210">
        <f>AVERAGE(M210:O210)</f>
        <v/>
      </c>
      <c r="Q210">
        <f>0.4*H210+0.4*I210+0.2*P210</f>
        <v/>
      </c>
      <c r="R210">
        <f>PERCENTILE($Q$2:$Q$800,0.75)</f>
        <v/>
      </c>
      <c r="S210">
        <f>OR(Q210&gt;=R210,AND(B210="CW",COUNT(J210:L210)&lt;3))</f>
        <v/>
      </c>
      <c r="T210" t="n">
        <v>0.2703517800535382</v>
      </c>
      <c r="U210" t="n">
        <v>7.47372240247916</v>
      </c>
      <c r="V210" t="n">
        <v>0.5012016997071538</v>
      </c>
      <c r="W210">
        <f>Q210-V210</f>
        <v/>
      </c>
    </row>
    <row r="211">
      <c r="A211" t="inlineStr">
        <is>
          <t>2022-02-22</t>
        </is>
      </c>
      <c r="B211" t="inlineStr">
        <is>
          <t>CW</t>
        </is>
      </c>
      <c r="C211" t="n">
        <v>82.66148853195655</v>
      </c>
      <c r="D211">
        <f>SUMPRODUCT(Risk_Inputs!B211:AJ211,Risk_Coefs!$B$2:$AJ$2)</f>
        <v/>
      </c>
      <c r="E211">
        <f>1/(1+EXP(-MAX(-25,MIN(25,D211))))</f>
        <v/>
      </c>
      <c r="F211">
        <f>SUMPRODUCT(Risk_Inputs!B211:AJ211,Risk_Coefs!$B$3:$AJ$3)</f>
        <v/>
      </c>
      <c r="G211">
        <f>MAX(0,F211)</f>
        <v/>
      </c>
      <c r="H211">
        <f>(SUMPRODUCT(--ISNUMBER($E$2:$E$800),--($E$2:$E$800&lt;E211))+(SUMPRODUCT(--ISNUMBER($E$2:$E$800),--($E$2:$E$800=E211))+1)/2)/COUNT($E$2:$E$800)</f>
        <v/>
      </c>
      <c r="I211">
        <f>(SUMPRODUCT(--ISNUMBER($G$2:$G$800),--($G$2:$G$800&lt;G211))+(SUMPRODUCT(--ISNUMBER($G$2:$G$800),--($G$2:$G$800=G211))+1)/2)/COUNT($G$2:$G$800)</f>
        <v/>
      </c>
      <c r="J211" t="n">
        <v>131.8221817988513</v>
      </c>
      <c r="K211" t="n">
        <v>31.69262415515722</v>
      </c>
      <c r="L211" t="n">
        <v>0.455480458419037</v>
      </c>
      <c r="M211">
        <f>IF(OR(B211="NW",COUNT(Risk_Rank_Keys!B211)=0),0.5,(SUMPRODUCT(--ISNUMBER(Risk_Rank_Keys!$B$2:$B$800),--(Risk_Rank_Keys!$B$2:$B$800&lt;Risk_Rank_Keys!B211))+(SUMPRODUCT(--ISNUMBER(Risk_Rank_Keys!$B$2:$B$800),--(Risk_Rank_Keys!$B$2:$B$800=Risk_Rank_Keys!B211))+1)/2)/COUNT(Risk_Rank_Keys!$B$2:$B$800))</f>
        <v/>
      </c>
      <c r="N211">
        <f>IF(OR(B211="NW",COUNT(Risk_Rank_Keys!C211)=0),0.5,(SUMPRODUCT(--ISNUMBER(Risk_Rank_Keys!$C$2:$C$800),--(Risk_Rank_Keys!$C$2:$C$800&lt;Risk_Rank_Keys!C211))+(SUMPRODUCT(--ISNUMBER(Risk_Rank_Keys!$C$2:$C$800),--(Risk_Rank_Keys!$C$2:$C$800=Risk_Rank_Keys!C211))+1)/2)/COUNT(Risk_Rank_Keys!$C$2:$C$800))</f>
        <v/>
      </c>
      <c r="O211">
        <f>IF(OR(B211="NW",COUNT(Risk_Rank_Keys!D211)=0),0.5,(SUMPRODUCT(--ISNUMBER(Risk_Rank_Keys!$D$2:$D$800),--(Risk_Rank_Keys!$D$2:$D$800&lt;Risk_Rank_Keys!D211))+(SUMPRODUCT(--ISNUMBER(Risk_Rank_Keys!$D$2:$D$800),--(Risk_Rank_Keys!$D$2:$D$800=Risk_Rank_Keys!D211))+1)/2)/COUNT(Risk_Rank_Keys!$D$2:$D$800))</f>
        <v/>
      </c>
      <c r="P211">
        <f>AVERAGE(M211:O211)</f>
        <v/>
      </c>
      <c r="Q211">
        <f>0.4*H211+0.4*I211+0.2*P211</f>
        <v/>
      </c>
      <c r="R211">
        <f>PERCENTILE($Q$2:$Q$800,0.75)</f>
        <v/>
      </c>
      <c r="S211">
        <f>OR(Q211&gt;=R211,AND(B211="CW",COUNT(J211:L211)&lt;3))</f>
        <v/>
      </c>
      <c r="T211" t="n">
        <v>0.1168497170584365</v>
      </c>
      <c r="U211" t="n">
        <v>0</v>
      </c>
      <c r="V211" t="n">
        <v>0.197045935499337</v>
      </c>
      <c r="W211">
        <f>Q211-V211</f>
        <v/>
      </c>
    </row>
    <row r="212">
      <c r="A212" t="inlineStr">
        <is>
          <t>2022-02-23</t>
        </is>
      </c>
      <c r="B212" t="inlineStr">
        <is>
          <t>NW</t>
        </is>
      </c>
      <c r="C212" t="n">
        <v>60.06037262851115</v>
      </c>
      <c r="D212">
        <f>SUMPRODUCT(Risk_Inputs!B212:AJ212,Risk_Coefs!$B$2:$AJ$2)</f>
        <v/>
      </c>
      <c r="E212">
        <f>1/(1+EXP(-MAX(-25,MIN(25,D212))))</f>
        <v/>
      </c>
      <c r="F212">
        <f>SUMPRODUCT(Risk_Inputs!B212:AJ212,Risk_Coefs!$B$3:$AJ$3)</f>
        <v/>
      </c>
      <c r="G212">
        <f>MAX(0,F212)</f>
        <v/>
      </c>
      <c r="H212">
        <f>(SUMPRODUCT(--ISNUMBER($E$2:$E$800),--($E$2:$E$800&lt;E212))+(SUMPRODUCT(--ISNUMBER($E$2:$E$800),--($E$2:$E$800=E212))+1)/2)/COUNT($E$2:$E$800)</f>
        <v/>
      </c>
      <c r="I212">
        <f>(SUMPRODUCT(--ISNUMBER($G$2:$G$800),--($G$2:$G$800&lt;G212))+(SUMPRODUCT(--ISNUMBER($G$2:$G$800),--($G$2:$G$800=G212))+1)/2)/COUNT($G$2:$G$800)</f>
        <v/>
      </c>
      <c r="M212">
        <f>IF(OR(B212="NW",COUNT(Risk_Rank_Keys!B212)=0),0.5,(SUMPRODUCT(--ISNUMBER(Risk_Rank_Keys!$B$2:$B$800),--(Risk_Rank_Keys!$B$2:$B$800&lt;Risk_Rank_Keys!B212))+(SUMPRODUCT(--ISNUMBER(Risk_Rank_Keys!$B$2:$B$800),--(Risk_Rank_Keys!$B$2:$B$800=Risk_Rank_Keys!B212))+1)/2)/COUNT(Risk_Rank_Keys!$B$2:$B$800))</f>
        <v/>
      </c>
      <c r="N212">
        <f>IF(OR(B212="NW",COUNT(Risk_Rank_Keys!C212)=0),0.5,(SUMPRODUCT(--ISNUMBER(Risk_Rank_Keys!$C$2:$C$800),--(Risk_Rank_Keys!$C$2:$C$800&lt;Risk_Rank_Keys!C212))+(SUMPRODUCT(--ISNUMBER(Risk_Rank_Keys!$C$2:$C$800),--(Risk_Rank_Keys!$C$2:$C$800=Risk_Rank_Keys!C212))+1)/2)/COUNT(Risk_Rank_Keys!$C$2:$C$800))</f>
        <v/>
      </c>
      <c r="O212">
        <f>IF(OR(B212="NW",COUNT(Risk_Rank_Keys!D212)=0),0.5,(SUMPRODUCT(--ISNUMBER(Risk_Rank_Keys!$D$2:$D$800),--(Risk_Rank_Keys!$D$2:$D$800&lt;Risk_Rank_Keys!D212))+(SUMPRODUCT(--ISNUMBER(Risk_Rank_Keys!$D$2:$D$800),--(Risk_Rank_Keys!$D$2:$D$800=Risk_Rank_Keys!D212))+1)/2)/COUNT(Risk_Rank_Keys!$D$2:$D$800))</f>
        <v/>
      </c>
      <c r="P212">
        <f>AVERAGE(M212:O212)</f>
        <v/>
      </c>
      <c r="Q212">
        <f>0.4*H212+0.4*I212+0.2*P212</f>
        <v/>
      </c>
      <c r="R212">
        <f>PERCENTILE($Q$2:$Q$800,0.75)</f>
        <v/>
      </c>
      <c r="S212">
        <f>OR(Q212&gt;=R212,AND(B212="CW",COUNT(J212:L212)&lt;3))</f>
        <v/>
      </c>
      <c r="T212" t="n">
        <v>0.3965202030540056</v>
      </c>
      <c r="U212" t="n">
        <v>14.46962515746622</v>
      </c>
      <c r="V212" t="n">
        <v>0.8654568210262829</v>
      </c>
      <c r="W212">
        <f>Q212-V212</f>
        <v/>
      </c>
    </row>
    <row r="213">
      <c r="A213" t="inlineStr">
        <is>
          <t>2022-02-24</t>
        </is>
      </c>
      <c r="B213" t="inlineStr">
        <is>
          <t>CW</t>
        </is>
      </c>
      <c r="C213" t="n">
        <v>16.47844966360178</v>
      </c>
      <c r="D213">
        <f>SUMPRODUCT(Risk_Inputs!B213:AJ213,Risk_Coefs!$B$2:$AJ$2)</f>
        <v/>
      </c>
      <c r="E213">
        <f>1/(1+EXP(-MAX(-25,MIN(25,D213))))</f>
        <v/>
      </c>
      <c r="F213">
        <f>SUMPRODUCT(Risk_Inputs!B213:AJ213,Risk_Coefs!$B$3:$AJ$3)</f>
        <v/>
      </c>
      <c r="G213">
        <f>MAX(0,F213)</f>
        <v/>
      </c>
      <c r="H213">
        <f>(SUMPRODUCT(--ISNUMBER($E$2:$E$800),--($E$2:$E$800&lt;E213))+(SUMPRODUCT(--ISNUMBER($E$2:$E$800),--($E$2:$E$800=E213))+1)/2)/COUNT($E$2:$E$800)</f>
        <v/>
      </c>
      <c r="I213">
        <f>(SUMPRODUCT(--ISNUMBER($G$2:$G$800),--($G$2:$G$800&lt;G213))+(SUMPRODUCT(--ISNUMBER($G$2:$G$800),--($G$2:$G$800=G213))+1)/2)/COUNT($G$2:$G$800)</f>
        <v/>
      </c>
      <c r="J213" t="n">
        <v>16.55792729482861</v>
      </c>
      <c r="K213" t="n">
        <v>6.817691477885658</v>
      </c>
      <c r="L213" t="n">
        <v>0.3236245954692557</v>
      </c>
      <c r="M213">
        <f>IF(OR(B213="NW",COUNT(Risk_Rank_Keys!B213)=0),0.5,(SUMPRODUCT(--ISNUMBER(Risk_Rank_Keys!$B$2:$B$800),--(Risk_Rank_Keys!$B$2:$B$800&lt;Risk_Rank_Keys!B213))+(SUMPRODUCT(--ISNUMBER(Risk_Rank_Keys!$B$2:$B$800),--(Risk_Rank_Keys!$B$2:$B$800=Risk_Rank_Keys!B213))+1)/2)/COUNT(Risk_Rank_Keys!$B$2:$B$800))</f>
        <v/>
      </c>
      <c r="N213">
        <f>IF(OR(B213="NW",COUNT(Risk_Rank_Keys!C213)=0),0.5,(SUMPRODUCT(--ISNUMBER(Risk_Rank_Keys!$C$2:$C$800),--(Risk_Rank_Keys!$C$2:$C$800&lt;Risk_Rank_Keys!C213))+(SUMPRODUCT(--ISNUMBER(Risk_Rank_Keys!$C$2:$C$800),--(Risk_Rank_Keys!$C$2:$C$800=Risk_Rank_Keys!C213))+1)/2)/COUNT(Risk_Rank_Keys!$C$2:$C$800))</f>
        <v/>
      </c>
      <c r="O213">
        <f>IF(OR(B213="NW",COUNT(Risk_Rank_Keys!D213)=0),0.5,(SUMPRODUCT(--ISNUMBER(Risk_Rank_Keys!$D$2:$D$800),--(Risk_Rank_Keys!$D$2:$D$800&lt;Risk_Rank_Keys!D213))+(SUMPRODUCT(--ISNUMBER(Risk_Rank_Keys!$D$2:$D$800),--(Risk_Rank_Keys!$D$2:$D$800=Risk_Rank_Keys!D213))+1)/2)/COUNT(Risk_Rank_Keys!$D$2:$D$800))</f>
        <v/>
      </c>
      <c r="P213">
        <f>AVERAGE(M213:O213)</f>
        <v/>
      </c>
      <c r="Q213">
        <f>0.4*H213+0.4*I213+0.2*P213</f>
        <v/>
      </c>
      <c r="R213">
        <f>PERCENTILE($Q$2:$Q$800,0.75)</f>
        <v/>
      </c>
      <c r="S213">
        <f>OR(Q213&gt;=R213,AND(B213="CW",COUNT(J213:L213)&lt;3))</f>
        <v/>
      </c>
      <c r="T213" t="n">
        <v>0.4009842191283808</v>
      </c>
      <c r="U213" t="n">
        <v>7.949523336911079</v>
      </c>
      <c r="V213" t="n">
        <v>0.7461579414993988</v>
      </c>
      <c r="W213">
        <f>Q213-V213</f>
        <v/>
      </c>
    </row>
    <row r="214">
      <c r="A214" t="inlineStr">
        <is>
          <t>2022-03-02</t>
        </is>
      </c>
      <c r="B214" t="inlineStr">
        <is>
          <t>CW</t>
        </is>
      </c>
      <c r="C214" t="n">
        <v>38.42789883911931</v>
      </c>
      <c r="D214">
        <f>SUMPRODUCT(Risk_Inputs!B214:AJ214,Risk_Coefs!$B$2:$AJ$2)</f>
        <v/>
      </c>
      <c r="E214">
        <f>1/(1+EXP(-MAX(-25,MIN(25,D214))))</f>
        <v/>
      </c>
      <c r="F214">
        <f>SUMPRODUCT(Risk_Inputs!B214:AJ214,Risk_Coefs!$B$3:$AJ$3)</f>
        <v/>
      </c>
      <c r="G214">
        <f>MAX(0,F214)</f>
        <v/>
      </c>
      <c r="H214">
        <f>(SUMPRODUCT(--ISNUMBER($E$2:$E$800),--($E$2:$E$800&lt;E214))+(SUMPRODUCT(--ISNUMBER($E$2:$E$800),--($E$2:$E$800=E214))+1)/2)/COUNT($E$2:$E$800)</f>
        <v/>
      </c>
      <c r="I214">
        <f>(SUMPRODUCT(--ISNUMBER($G$2:$G$800),--($G$2:$G$800&lt;G214))+(SUMPRODUCT(--ISNUMBER($G$2:$G$800),--($G$2:$G$800=G214))+1)/2)/COUNT($G$2:$G$800)</f>
        <v/>
      </c>
      <c r="J214" t="n">
        <v>28.95933050362876</v>
      </c>
      <c r="K214" t="n">
        <v>1.598288447017344</v>
      </c>
      <c r="L214" t="n">
        <v>0.1258494840171226</v>
      </c>
      <c r="M214">
        <f>IF(OR(B214="NW",COUNT(Risk_Rank_Keys!B214)=0),0.5,(SUMPRODUCT(--ISNUMBER(Risk_Rank_Keys!$B$2:$B$800),--(Risk_Rank_Keys!$B$2:$B$800&lt;Risk_Rank_Keys!B214))+(SUMPRODUCT(--ISNUMBER(Risk_Rank_Keys!$B$2:$B$800),--(Risk_Rank_Keys!$B$2:$B$800=Risk_Rank_Keys!B214))+1)/2)/COUNT(Risk_Rank_Keys!$B$2:$B$800))</f>
        <v/>
      </c>
      <c r="N214">
        <f>IF(OR(B214="NW",COUNT(Risk_Rank_Keys!C214)=0),0.5,(SUMPRODUCT(--ISNUMBER(Risk_Rank_Keys!$C$2:$C$800),--(Risk_Rank_Keys!$C$2:$C$800&lt;Risk_Rank_Keys!C214))+(SUMPRODUCT(--ISNUMBER(Risk_Rank_Keys!$C$2:$C$800),--(Risk_Rank_Keys!$C$2:$C$800=Risk_Rank_Keys!C214))+1)/2)/COUNT(Risk_Rank_Keys!$C$2:$C$800))</f>
        <v/>
      </c>
      <c r="O214">
        <f>IF(OR(B214="NW",COUNT(Risk_Rank_Keys!D214)=0),0.5,(SUMPRODUCT(--ISNUMBER(Risk_Rank_Keys!$D$2:$D$800),--(Risk_Rank_Keys!$D$2:$D$800&lt;Risk_Rank_Keys!D214))+(SUMPRODUCT(--ISNUMBER(Risk_Rank_Keys!$D$2:$D$800),--(Risk_Rank_Keys!$D$2:$D$800=Risk_Rank_Keys!D214))+1)/2)/COUNT(Risk_Rank_Keys!$D$2:$D$800))</f>
        <v/>
      </c>
      <c r="P214">
        <f>AVERAGE(M214:O214)</f>
        <v/>
      </c>
      <c r="Q214">
        <f>0.4*H214+0.4*I214+0.2*P214</f>
        <v/>
      </c>
      <c r="R214">
        <f>PERCENTILE($Q$2:$Q$800,0.75)</f>
        <v/>
      </c>
      <c r="S214">
        <f>OR(Q214&gt;=R214,AND(B214="CW",COUNT(J214:L214)&lt;3))</f>
        <v/>
      </c>
      <c r="T214" t="n">
        <v>0.4635091391704548</v>
      </c>
      <c r="U214" t="n">
        <v>12.38069720210629</v>
      </c>
      <c r="V214" t="n">
        <v>0.8430662689123841</v>
      </c>
      <c r="W214">
        <f>Q214-V214</f>
        <v/>
      </c>
    </row>
    <row r="215">
      <c r="A215" t="inlineStr">
        <is>
          <t>2022-03-03</t>
        </is>
      </c>
      <c r="B215" t="inlineStr">
        <is>
          <t>NW</t>
        </is>
      </c>
      <c r="C215" t="n">
        <v>88.35413955740445</v>
      </c>
      <c r="D215">
        <f>SUMPRODUCT(Risk_Inputs!B215:AJ215,Risk_Coefs!$B$2:$AJ$2)</f>
        <v/>
      </c>
      <c r="E215">
        <f>1/(1+EXP(-MAX(-25,MIN(25,D215))))</f>
        <v/>
      </c>
      <c r="F215">
        <f>SUMPRODUCT(Risk_Inputs!B215:AJ215,Risk_Coefs!$B$3:$AJ$3)</f>
        <v/>
      </c>
      <c r="G215">
        <f>MAX(0,F215)</f>
        <v/>
      </c>
      <c r="H215">
        <f>(SUMPRODUCT(--ISNUMBER($E$2:$E$800),--($E$2:$E$800&lt;E215))+(SUMPRODUCT(--ISNUMBER($E$2:$E$800),--($E$2:$E$800=E215))+1)/2)/COUNT($E$2:$E$800)</f>
        <v/>
      </c>
      <c r="I215">
        <f>(SUMPRODUCT(--ISNUMBER($G$2:$G$800),--($G$2:$G$800&lt;G215))+(SUMPRODUCT(--ISNUMBER($G$2:$G$800),--($G$2:$G$800=G215))+1)/2)/COUNT($G$2:$G$800)</f>
        <v/>
      </c>
      <c r="M215">
        <f>IF(OR(B215="NW",COUNT(Risk_Rank_Keys!B215)=0),0.5,(SUMPRODUCT(--ISNUMBER(Risk_Rank_Keys!$B$2:$B$800),--(Risk_Rank_Keys!$B$2:$B$800&lt;Risk_Rank_Keys!B215))+(SUMPRODUCT(--ISNUMBER(Risk_Rank_Keys!$B$2:$B$800),--(Risk_Rank_Keys!$B$2:$B$800=Risk_Rank_Keys!B215))+1)/2)/COUNT(Risk_Rank_Keys!$B$2:$B$800))</f>
        <v/>
      </c>
      <c r="N215">
        <f>IF(OR(B215="NW",COUNT(Risk_Rank_Keys!C215)=0),0.5,(SUMPRODUCT(--ISNUMBER(Risk_Rank_Keys!$C$2:$C$800),--(Risk_Rank_Keys!$C$2:$C$800&lt;Risk_Rank_Keys!C215))+(SUMPRODUCT(--ISNUMBER(Risk_Rank_Keys!$C$2:$C$800),--(Risk_Rank_Keys!$C$2:$C$800=Risk_Rank_Keys!C215))+1)/2)/COUNT(Risk_Rank_Keys!$C$2:$C$800))</f>
        <v/>
      </c>
      <c r="O215">
        <f>IF(OR(B215="NW",COUNT(Risk_Rank_Keys!D215)=0),0.5,(SUMPRODUCT(--ISNUMBER(Risk_Rank_Keys!$D$2:$D$800),--(Risk_Rank_Keys!$D$2:$D$800&lt;Risk_Rank_Keys!D215))+(SUMPRODUCT(--ISNUMBER(Risk_Rank_Keys!$D$2:$D$800),--(Risk_Rank_Keys!$D$2:$D$800=Risk_Rank_Keys!D215))+1)/2)/COUNT(Risk_Rank_Keys!$D$2:$D$800))</f>
        <v/>
      </c>
      <c r="P215">
        <f>AVERAGE(M215:O215)</f>
        <v/>
      </c>
      <c r="Q215">
        <f>0.4*H215+0.4*I215+0.2*P215</f>
        <v/>
      </c>
      <c r="R215">
        <f>PERCENTILE($Q$2:$Q$800,0.75)</f>
        <v/>
      </c>
      <c r="S215">
        <f>OR(Q215&gt;=R215,AND(B215="CW",COUNT(J215:L215)&lt;3))</f>
        <v/>
      </c>
      <c r="T215" t="n">
        <v>0.5201268640149495</v>
      </c>
      <c r="U215" t="n">
        <v>18.72834066768636</v>
      </c>
      <c r="V215" t="n">
        <v>0.8994993742177723</v>
      </c>
      <c r="W215">
        <f>Q215-V215</f>
        <v/>
      </c>
    </row>
    <row r="216">
      <c r="A216" t="inlineStr">
        <is>
          <t>2022-03-09</t>
        </is>
      </c>
      <c r="B216" t="inlineStr">
        <is>
          <t>CW</t>
        </is>
      </c>
      <c r="C216" t="n">
        <v>-1.432396491447116</v>
      </c>
      <c r="D216">
        <f>SUMPRODUCT(Risk_Inputs!B216:AJ216,Risk_Coefs!$B$2:$AJ$2)</f>
        <v/>
      </c>
      <c r="E216">
        <f>1/(1+EXP(-MAX(-25,MIN(25,D216))))</f>
        <v/>
      </c>
      <c r="F216">
        <f>SUMPRODUCT(Risk_Inputs!B216:AJ216,Risk_Coefs!$B$3:$AJ$3)</f>
        <v/>
      </c>
      <c r="G216">
        <f>MAX(0,F216)</f>
        <v/>
      </c>
      <c r="H216">
        <f>(SUMPRODUCT(--ISNUMBER($E$2:$E$800),--($E$2:$E$800&lt;E216))+(SUMPRODUCT(--ISNUMBER($E$2:$E$800),--($E$2:$E$800=E216))+1)/2)/COUNT($E$2:$E$800)</f>
        <v/>
      </c>
      <c r="I216">
        <f>(SUMPRODUCT(--ISNUMBER($G$2:$G$800),--($G$2:$G$800&lt;G216))+(SUMPRODUCT(--ISNUMBER($G$2:$G$800),--($G$2:$G$800=G216))+1)/2)/COUNT($G$2:$G$800)</f>
        <v/>
      </c>
      <c r="J216" t="n">
        <v>18.22032578565421</v>
      </c>
      <c r="K216" t="n">
        <v>4.618376276130286</v>
      </c>
      <c r="L216" t="n">
        <v>0.2268676065467564</v>
      </c>
      <c r="M216">
        <f>IF(OR(B216="NW",COUNT(Risk_Rank_Keys!B216)=0),0.5,(SUMPRODUCT(--ISNUMBER(Risk_Rank_Keys!$B$2:$B$800),--(Risk_Rank_Keys!$B$2:$B$800&lt;Risk_Rank_Keys!B216))+(SUMPRODUCT(--ISNUMBER(Risk_Rank_Keys!$B$2:$B$800),--(Risk_Rank_Keys!$B$2:$B$800=Risk_Rank_Keys!B216))+1)/2)/COUNT(Risk_Rank_Keys!$B$2:$B$800))</f>
        <v/>
      </c>
      <c r="N216">
        <f>IF(OR(B216="NW",COUNT(Risk_Rank_Keys!C216)=0),0.5,(SUMPRODUCT(--ISNUMBER(Risk_Rank_Keys!$C$2:$C$800),--(Risk_Rank_Keys!$C$2:$C$800&lt;Risk_Rank_Keys!C216))+(SUMPRODUCT(--ISNUMBER(Risk_Rank_Keys!$C$2:$C$800),--(Risk_Rank_Keys!$C$2:$C$800=Risk_Rank_Keys!C216))+1)/2)/COUNT(Risk_Rank_Keys!$C$2:$C$800))</f>
        <v/>
      </c>
      <c r="O216">
        <f>IF(OR(B216="NW",COUNT(Risk_Rank_Keys!D216)=0),0.5,(SUMPRODUCT(--ISNUMBER(Risk_Rank_Keys!$D$2:$D$800),--(Risk_Rank_Keys!$D$2:$D$800&lt;Risk_Rank_Keys!D216))+(SUMPRODUCT(--ISNUMBER(Risk_Rank_Keys!$D$2:$D$800),--(Risk_Rank_Keys!$D$2:$D$800=Risk_Rank_Keys!D216))+1)/2)/COUNT(Risk_Rank_Keys!$D$2:$D$800))</f>
        <v/>
      </c>
      <c r="P216">
        <f>AVERAGE(M216:O216)</f>
        <v/>
      </c>
      <c r="Q216">
        <f>0.4*H216+0.4*I216+0.2*P216</f>
        <v/>
      </c>
      <c r="R216">
        <f>PERCENTILE($Q$2:$Q$800,0.75)</f>
        <v/>
      </c>
      <c r="S216">
        <f>OR(Q216&gt;=R216,AND(B216="CW",COUNT(J216:L216)&lt;3))</f>
        <v/>
      </c>
      <c r="T216" t="n">
        <v>0.3791294623021033</v>
      </c>
      <c r="U216" t="n">
        <v>8.7348060088602</v>
      </c>
      <c r="V216" t="n">
        <v>0.7408136274480712</v>
      </c>
      <c r="W216">
        <f>Q216-V216</f>
        <v/>
      </c>
    </row>
    <row r="217">
      <c r="A217" t="inlineStr">
        <is>
          <t>2022-03-11</t>
        </is>
      </c>
      <c r="B217" t="inlineStr">
        <is>
          <t>CW</t>
        </is>
      </c>
      <c r="C217" t="n">
        <v>6.695379800651361</v>
      </c>
      <c r="D217">
        <f>SUMPRODUCT(Risk_Inputs!B217:AJ217,Risk_Coefs!$B$2:$AJ$2)</f>
        <v/>
      </c>
      <c r="E217">
        <f>1/(1+EXP(-MAX(-25,MIN(25,D217))))</f>
        <v/>
      </c>
      <c r="F217">
        <f>SUMPRODUCT(Risk_Inputs!B217:AJ217,Risk_Coefs!$B$3:$AJ$3)</f>
        <v/>
      </c>
      <c r="G217">
        <f>MAX(0,F217)</f>
        <v/>
      </c>
      <c r="H217">
        <f>(SUMPRODUCT(--ISNUMBER($E$2:$E$800),--($E$2:$E$800&lt;E217))+(SUMPRODUCT(--ISNUMBER($E$2:$E$800),--($E$2:$E$800=E217))+1)/2)/COUNT($E$2:$E$800)</f>
        <v/>
      </c>
      <c r="I217">
        <f>(SUMPRODUCT(--ISNUMBER($G$2:$G$800),--($G$2:$G$800&lt;G217))+(SUMPRODUCT(--ISNUMBER($G$2:$G$800),--($G$2:$G$800=G217))+1)/2)/COUNT($G$2:$G$800)</f>
        <v/>
      </c>
      <c r="J217" t="n">
        <v>9.019988777807043</v>
      </c>
      <c r="K217" t="n">
        <v>1.810327093190704</v>
      </c>
      <c r="L217" t="n">
        <v>0.2468627854350933</v>
      </c>
      <c r="M217">
        <f>IF(OR(B217="NW",COUNT(Risk_Rank_Keys!B217)=0),0.5,(SUMPRODUCT(--ISNUMBER(Risk_Rank_Keys!$B$2:$B$800),--(Risk_Rank_Keys!$B$2:$B$800&lt;Risk_Rank_Keys!B217))+(SUMPRODUCT(--ISNUMBER(Risk_Rank_Keys!$B$2:$B$800),--(Risk_Rank_Keys!$B$2:$B$800=Risk_Rank_Keys!B217))+1)/2)/COUNT(Risk_Rank_Keys!$B$2:$B$800))</f>
        <v/>
      </c>
      <c r="N217">
        <f>IF(OR(B217="NW",COUNT(Risk_Rank_Keys!C217)=0),0.5,(SUMPRODUCT(--ISNUMBER(Risk_Rank_Keys!$C$2:$C$800),--(Risk_Rank_Keys!$C$2:$C$800&lt;Risk_Rank_Keys!C217))+(SUMPRODUCT(--ISNUMBER(Risk_Rank_Keys!$C$2:$C$800),--(Risk_Rank_Keys!$C$2:$C$800=Risk_Rank_Keys!C217))+1)/2)/COUNT(Risk_Rank_Keys!$C$2:$C$800))</f>
        <v/>
      </c>
      <c r="O217">
        <f>IF(OR(B217="NW",COUNT(Risk_Rank_Keys!D217)=0),0.5,(SUMPRODUCT(--ISNUMBER(Risk_Rank_Keys!$D$2:$D$800),--(Risk_Rank_Keys!$D$2:$D$800&lt;Risk_Rank_Keys!D217))+(SUMPRODUCT(--ISNUMBER(Risk_Rank_Keys!$D$2:$D$800),--(Risk_Rank_Keys!$D$2:$D$800=Risk_Rank_Keys!D217))+1)/2)/COUNT(Risk_Rank_Keys!$D$2:$D$800))</f>
        <v/>
      </c>
      <c r="P217">
        <f>AVERAGE(M217:O217)</f>
        <v/>
      </c>
      <c r="Q217">
        <f>0.4*H217+0.4*I217+0.2*P217</f>
        <v/>
      </c>
      <c r="R217">
        <f>PERCENTILE($Q$2:$Q$800,0.75)</f>
        <v/>
      </c>
      <c r="S217">
        <f>OR(Q217&gt;=R217,AND(B217="CW",COUNT(J217:L217)&lt;3))</f>
        <v/>
      </c>
      <c r="T217" t="n">
        <v>0.374363416368666</v>
      </c>
      <c r="U217" t="n">
        <v>9.819653632393969</v>
      </c>
      <c r="V217" t="n">
        <v>0.7442075723431602</v>
      </c>
      <c r="W217">
        <f>Q217-V217</f>
        <v/>
      </c>
    </row>
    <row r="218">
      <c r="A218" t="inlineStr">
        <is>
          <t>2022-03-14</t>
        </is>
      </c>
      <c r="B218" t="inlineStr">
        <is>
          <t>CW</t>
        </is>
      </c>
      <c r="C218" t="n">
        <v>-13.68875573008097</v>
      </c>
      <c r="D218">
        <f>SUMPRODUCT(Risk_Inputs!B218:AJ218,Risk_Coefs!$B$2:$AJ$2)</f>
        <v/>
      </c>
      <c r="E218">
        <f>1/(1+EXP(-MAX(-25,MIN(25,D218))))</f>
        <v/>
      </c>
      <c r="F218">
        <f>SUMPRODUCT(Risk_Inputs!B218:AJ218,Risk_Coefs!$B$3:$AJ$3)</f>
        <v/>
      </c>
      <c r="G218">
        <f>MAX(0,F218)</f>
        <v/>
      </c>
      <c r="H218">
        <f>(SUMPRODUCT(--ISNUMBER($E$2:$E$800),--($E$2:$E$800&lt;E218))+(SUMPRODUCT(--ISNUMBER($E$2:$E$800),--($E$2:$E$800=E218))+1)/2)/COUNT($E$2:$E$800)</f>
        <v/>
      </c>
      <c r="I218">
        <f>(SUMPRODUCT(--ISNUMBER($G$2:$G$800),--($G$2:$G$800&lt;G218))+(SUMPRODUCT(--ISNUMBER($G$2:$G$800),--($G$2:$G$800=G218))+1)/2)/COUNT($G$2:$G$800)</f>
        <v/>
      </c>
      <c r="J218" t="n">
        <v>14.53924096168835</v>
      </c>
      <c r="K218" t="n">
        <v>1.154299175500597</v>
      </c>
      <c r="L218" t="n">
        <v>0.1766784452296819</v>
      </c>
      <c r="M218">
        <f>IF(OR(B218="NW",COUNT(Risk_Rank_Keys!B218)=0),0.5,(SUMPRODUCT(--ISNUMBER(Risk_Rank_Keys!$B$2:$B$800),--(Risk_Rank_Keys!$B$2:$B$800&lt;Risk_Rank_Keys!B218))+(SUMPRODUCT(--ISNUMBER(Risk_Rank_Keys!$B$2:$B$800),--(Risk_Rank_Keys!$B$2:$B$800=Risk_Rank_Keys!B218))+1)/2)/COUNT(Risk_Rank_Keys!$B$2:$B$800))</f>
        <v/>
      </c>
      <c r="N218">
        <f>IF(OR(B218="NW",COUNT(Risk_Rank_Keys!C218)=0),0.5,(SUMPRODUCT(--ISNUMBER(Risk_Rank_Keys!$C$2:$C$800),--(Risk_Rank_Keys!$C$2:$C$800&lt;Risk_Rank_Keys!C218))+(SUMPRODUCT(--ISNUMBER(Risk_Rank_Keys!$C$2:$C$800),--(Risk_Rank_Keys!$C$2:$C$800=Risk_Rank_Keys!C218))+1)/2)/COUNT(Risk_Rank_Keys!$C$2:$C$800))</f>
        <v/>
      </c>
      <c r="O218">
        <f>IF(OR(B218="NW",COUNT(Risk_Rank_Keys!D218)=0),0.5,(SUMPRODUCT(--ISNUMBER(Risk_Rank_Keys!$D$2:$D$800),--(Risk_Rank_Keys!$D$2:$D$800&lt;Risk_Rank_Keys!D218))+(SUMPRODUCT(--ISNUMBER(Risk_Rank_Keys!$D$2:$D$800),--(Risk_Rank_Keys!$D$2:$D$800=Risk_Rank_Keys!D218))+1)/2)/COUNT(Risk_Rank_Keys!$D$2:$D$800))</f>
        <v/>
      </c>
      <c r="P218">
        <f>AVERAGE(M218:O218)</f>
        <v/>
      </c>
      <c r="Q218">
        <f>0.4*H218+0.4*I218+0.2*P218</f>
        <v/>
      </c>
      <c r="R218">
        <f>PERCENTILE($Q$2:$Q$800,0.75)</f>
        <v/>
      </c>
      <c r="S218">
        <f>OR(Q218&gt;=R218,AND(B218="CW",COUNT(J218:L218)&lt;3))</f>
        <v/>
      </c>
      <c r="T218" t="n">
        <v>0.4453555177229775</v>
      </c>
      <c r="U218" t="n">
        <v>8.73544813177365</v>
      </c>
      <c r="V218" t="n">
        <v>0.7105712684789041</v>
      </c>
      <c r="W218">
        <f>Q218-V218</f>
        <v/>
      </c>
    </row>
    <row r="219">
      <c r="A219" t="inlineStr">
        <is>
          <t>2022-03-15</t>
        </is>
      </c>
      <c r="B219" t="inlineStr">
        <is>
          <t>CW</t>
        </is>
      </c>
      <c r="C219" t="n">
        <v>2.727317136649358</v>
      </c>
      <c r="D219">
        <f>SUMPRODUCT(Risk_Inputs!B219:AJ219,Risk_Coefs!$B$2:$AJ$2)</f>
        <v/>
      </c>
      <c r="E219">
        <f>1/(1+EXP(-MAX(-25,MIN(25,D219))))</f>
        <v/>
      </c>
      <c r="F219">
        <f>SUMPRODUCT(Risk_Inputs!B219:AJ219,Risk_Coefs!$B$3:$AJ$3)</f>
        <v/>
      </c>
      <c r="G219">
        <f>MAX(0,F219)</f>
        <v/>
      </c>
      <c r="H219">
        <f>(SUMPRODUCT(--ISNUMBER($E$2:$E$800),--($E$2:$E$800&lt;E219))+(SUMPRODUCT(--ISNUMBER($E$2:$E$800),--($E$2:$E$800=E219))+1)/2)/COUNT($E$2:$E$800)</f>
        <v/>
      </c>
      <c r="I219">
        <f>(SUMPRODUCT(--ISNUMBER($G$2:$G$800),--($G$2:$G$800&lt;G219))+(SUMPRODUCT(--ISNUMBER($G$2:$G$800),--($G$2:$G$800=G219))+1)/2)/COUNT($G$2:$G$800)</f>
        <v/>
      </c>
      <c r="J219" t="n">
        <v>7.717509580356289</v>
      </c>
      <c r="K219" t="n">
        <v>0.8064516129032137</v>
      </c>
      <c r="L219" t="n">
        <v>0.1057641459545153</v>
      </c>
      <c r="M219">
        <f>IF(OR(B219="NW",COUNT(Risk_Rank_Keys!B219)=0),0.5,(SUMPRODUCT(--ISNUMBER(Risk_Rank_Keys!$B$2:$B$800),--(Risk_Rank_Keys!$B$2:$B$800&lt;Risk_Rank_Keys!B219))+(SUMPRODUCT(--ISNUMBER(Risk_Rank_Keys!$B$2:$B$800),--(Risk_Rank_Keys!$B$2:$B$800=Risk_Rank_Keys!B219))+1)/2)/COUNT(Risk_Rank_Keys!$B$2:$B$800))</f>
        <v/>
      </c>
      <c r="N219">
        <f>IF(OR(B219="NW",COUNT(Risk_Rank_Keys!C219)=0),0.5,(SUMPRODUCT(--ISNUMBER(Risk_Rank_Keys!$C$2:$C$800),--(Risk_Rank_Keys!$C$2:$C$800&lt;Risk_Rank_Keys!C219))+(SUMPRODUCT(--ISNUMBER(Risk_Rank_Keys!$C$2:$C$800),--(Risk_Rank_Keys!$C$2:$C$800=Risk_Rank_Keys!C219))+1)/2)/COUNT(Risk_Rank_Keys!$C$2:$C$800))</f>
        <v/>
      </c>
      <c r="O219">
        <f>IF(OR(B219="NW",COUNT(Risk_Rank_Keys!D219)=0),0.5,(SUMPRODUCT(--ISNUMBER(Risk_Rank_Keys!$D$2:$D$800),--(Risk_Rank_Keys!$D$2:$D$800&lt;Risk_Rank_Keys!D219))+(SUMPRODUCT(--ISNUMBER(Risk_Rank_Keys!$D$2:$D$800),--(Risk_Rank_Keys!$D$2:$D$800=Risk_Rank_Keys!D219))+1)/2)/COUNT(Risk_Rank_Keys!$D$2:$D$800))</f>
        <v/>
      </c>
      <c r="P219">
        <f>AVERAGE(M219:O219)</f>
        <v/>
      </c>
      <c r="Q219">
        <f>0.4*H219+0.4*I219+0.2*P219</f>
        <v/>
      </c>
      <c r="R219">
        <f>PERCENTILE($Q$2:$Q$800,0.75)</f>
        <v/>
      </c>
      <c r="S219">
        <f>OR(Q219&gt;=R219,AND(B219="CW",COUNT(J219:L219)&lt;3))</f>
        <v/>
      </c>
      <c r="T219" t="n">
        <v>0.4336751341006082</v>
      </c>
      <c r="U219" t="n">
        <v>8.567824332476608</v>
      </c>
      <c r="V219" t="n">
        <v>0.6613857745240593</v>
      </c>
      <c r="W219">
        <f>Q219-V219</f>
        <v/>
      </c>
    </row>
    <row r="220">
      <c r="A220" t="inlineStr">
        <is>
          <t>2022-03-16</t>
        </is>
      </c>
      <c r="B220" t="inlineStr">
        <is>
          <t>NW</t>
        </is>
      </c>
      <c r="C220" t="n">
        <v>14.52262433703495</v>
      </c>
      <c r="D220">
        <f>SUMPRODUCT(Risk_Inputs!B220:AJ220,Risk_Coefs!$B$2:$AJ$2)</f>
        <v/>
      </c>
      <c r="E220">
        <f>1/(1+EXP(-MAX(-25,MIN(25,D220))))</f>
        <v/>
      </c>
      <c r="F220">
        <f>SUMPRODUCT(Risk_Inputs!B220:AJ220,Risk_Coefs!$B$3:$AJ$3)</f>
        <v/>
      </c>
      <c r="G220">
        <f>MAX(0,F220)</f>
        <v/>
      </c>
      <c r="H220">
        <f>(SUMPRODUCT(--ISNUMBER($E$2:$E$800),--($E$2:$E$800&lt;E220))+(SUMPRODUCT(--ISNUMBER($E$2:$E$800),--($E$2:$E$800=E220))+1)/2)/COUNT($E$2:$E$800)</f>
        <v/>
      </c>
      <c r="I220">
        <f>(SUMPRODUCT(--ISNUMBER($G$2:$G$800),--($G$2:$G$800&lt;G220))+(SUMPRODUCT(--ISNUMBER($G$2:$G$800),--($G$2:$G$800=G220))+1)/2)/COUNT($G$2:$G$800)</f>
        <v/>
      </c>
      <c r="M220">
        <f>IF(OR(B220="NW",COUNT(Risk_Rank_Keys!B220)=0),0.5,(SUMPRODUCT(--ISNUMBER(Risk_Rank_Keys!$B$2:$B$800),--(Risk_Rank_Keys!$B$2:$B$800&lt;Risk_Rank_Keys!B220))+(SUMPRODUCT(--ISNUMBER(Risk_Rank_Keys!$B$2:$B$800),--(Risk_Rank_Keys!$B$2:$B$800=Risk_Rank_Keys!B220))+1)/2)/COUNT(Risk_Rank_Keys!$B$2:$B$800))</f>
        <v/>
      </c>
      <c r="N220">
        <f>IF(OR(B220="NW",COUNT(Risk_Rank_Keys!C220)=0),0.5,(SUMPRODUCT(--ISNUMBER(Risk_Rank_Keys!$C$2:$C$800),--(Risk_Rank_Keys!$C$2:$C$800&lt;Risk_Rank_Keys!C220))+(SUMPRODUCT(--ISNUMBER(Risk_Rank_Keys!$C$2:$C$800),--(Risk_Rank_Keys!$C$2:$C$800=Risk_Rank_Keys!C220))+1)/2)/COUNT(Risk_Rank_Keys!$C$2:$C$800))</f>
        <v/>
      </c>
      <c r="O220">
        <f>IF(OR(B220="NW",COUNT(Risk_Rank_Keys!D220)=0),0.5,(SUMPRODUCT(--ISNUMBER(Risk_Rank_Keys!$D$2:$D$800),--(Risk_Rank_Keys!$D$2:$D$800&lt;Risk_Rank_Keys!D220))+(SUMPRODUCT(--ISNUMBER(Risk_Rank_Keys!$D$2:$D$800),--(Risk_Rank_Keys!$D$2:$D$800=Risk_Rank_Keys!D220))+1)/2)/COUNT(Risk_Rank_Keys!$D$2:$D$800))</f>
        <v/>
      </c>
      <c r="P220">
        <f>AVERAGE(M220:O220)</f>
        <v/>
      </c>
      <c r="Q220">
        <f>0.4*H220+0.4*I220+0.2*P220</f>
        <v/>
      </c>
      <c r="R220">
        <f>PERCENTILE($Q$2:$Q$800,0.75)</f>
        <v/>
      </c>
      <c r="S220">
        <f>OR(Q220&gt;=R220,AND(B220="CW",COUNT(J220:L220)&lt;3))</f>
        <v/>
      </c>
      <c r="T220" t="n">
        <v>0.4553582924830182</v>
      </c>
      <c r="U220" t="n">
        <v>15.45587392279217</v>
      </c>
      <c r="V220" t="n">
        <v>0.888485607008761</v>
      </c>
      <c r="W220">
        <f>Q220-V220</f>
        <v/>
      </c>
    </row>
    <row r="221">
      <c r="A221" t="inlineStr">
        <is>
          <t>2022-03-17</t>
        </is>
      </c>
      <c r="B221" t="inlineStr">
        <is>
          <t>NW</t>
        </is>
      </c>
      <c r="C221" t="n">
        <v>28.85915957537649</v>
      </c>
      <c r="D221">
        <f>SUMPRODUCT(Risk_Inputs!B221:AJ221,Risk_Coefs!$B$2:$AJ$2)</f>
        <v/>
      </c>
      <c r="E221">
        <f>1/(1+EXP(-MAX(-25,MIN(25,D221))))</f>
        <v/>
      </c>
      <c r="F221">
        <f>SUMPRODUCT(Risk_Inputs!B221:AJ221,Risk_Coefs!$B$3:$AJ$3)</f>
        <v/>
      </c>
      <c r="G221">
        <f>MAX(0,F221)</f>
        <v/>
      </c>
      <c r="H221">
        <f>(SUMPRODUCT(--ISNUMBER($E$2:$E$800),--($E$2:$E$800&lt;E221))+(SUMPRODUCT(--ISNUMBER($E$2:$E$800),--($E$2:$E$800=E221))+1)/2)/COUNT($E$2:$E$800)</f>
        <v/>
      </c>
      <c r="I221">
        <f>(SUMPRODUCT(--ISNUMBER($G$2:$G$800),--($G$2:$G$800&lt;G221))+(SUMPRODUCT(--ISNUMBER($G$2:$G$800),--($G$2:$G$800=G221))+1)/2)/COUNT($G$2:$G$800)</f>
        <v/>
      </c>
      <c r="M221">
        <f>IF(OR(B221="NW",COUNT(Risk_Rank_Keys!B221)=0),0.5,(SUMPRODUCT(--ISNUMBER(Risk_Rank_Keys!$B$2:$B$800),--(Risk_Rank_Keys!$B$2:$B$800&lt;Risk_Rank_Keys!B221))+(SUMPRODUCT(--ISNUMBER(Risk_Rank_Keys!$B$2:$B$800),--(Risk_Rank_Keys!$B$2:$B$800=Risk_Rank_Keys!B221))+1)/2)/COUNT(Risk_Rank_Keys!$B$2:$B$800))</f>
        <v/>
      </c>
      <c r="N221">
        <f>IF(OR(B221="NW",COUNT(Risk_Rank_Keys!C221)=0),0.5,(SUMPRODUCT(--ISNUMBER(Risk_Rank_Keys!$C$2:$C$800),--(Risk_Rank_Keys!$C$2:$C$800&lt;Risk_Rank_Keys!C221))+(SUMPRODUCT(--ISNUMBER(Risk_Rank_Keys!$C$2:$C$800),--(Risk_Rank_Keys!$C$2:$C$800=Risk_Rank_Keys!C221))+1)/2)/COUNT(Risk_Rank_Keys!$C$2:$C$800))</f>
        <v/>
      </c>
      <c r="O221">
        <f>IF(OR(B221="NW",COUNT(Risk_Rank_Keys!D221)=0),0.5,(SUMPRODUCT(--ISNUMBER(Risk_Rank_Keys!$D$2:$D$800),--(Risk_Rank_Keys!$D$2:$D$800&lt;Risk_Rank_Keys!D221))+(SUMPRODUCT(--ISNUMBER(Risk_Rank_Keys!$D$2:$D$800),--(Risk_Rank_Keys!$D$2:$D$800=Risk_Rank_Keys!D221))+1)/2)/COUNT(Risk_Rank_Keys!$D$2:$D$800))</f>
        <v/>
      </c>
      <c r="P221">
        <f>AVERAGE(M221:O221)</f>
        <v/>
      </c>
      <c r="Q221">
        <f>0.4*H221+0.4*I221+0.2*P221</f>
        <v/>
      </c>
      <c r="R221">
        <f>PERCENTILE($Q$2:$Q$800,0.75)</f>
        <v/>
      </c>
      <c r="S221">
        <f>OR(Q221&gt;=R221,AND(B221="CW",COUNT(J221:L221)&lt;3))</f>
        <v/>
      </c>
      <c r="T221" t="n">
        <v>0.4317052419093685</v>
      </c>
      <c r="U221" t="n">
        <v>14.2706168784731</v>
      </c>
      <c r="V221" t="n">
        <v>0.878973717146433</v>
      </c>
      <c r="W221">
        <f>Q221-V221</f>
        <v/>
      </c>
    </row>
    <row r="222">
      <c r="A222" t="inlineStr">
        <is>
          <t>2022-03-21</t>
        </is>
      </c>
      <c r="B222" t="inlineStr">
        <is>
          <t>CW</t>
        </is>
      </c>
      <c r="C222" t="n">
        <v>-0.1420317403254656</v>
      </c>
      <c r="D222">
        <f>SUMPRODUCT(Risk_Inputs!B222:AJ222,Risk_Coefs!$B$2:$AJ$2)</f>
        <v/>
      </c>
      <c r="E222">
        <f>1/(1+EXP(-MAX(-25,MIN(25,D222))))</f>
        <v/>
      </c>
      <c r="F222">
        <f>SUMPRODUCT(Risk_Inputs!B222:AJ222,Risk_Coefs!$B$3:$AJ$3)</f>
        <v/>
      </c>
      <c r="G222">
        <f>MAX(0,F222)</f>
        <v/>
      </c>
      <c r="H222">
        <f>(SUMPRODUCT(--ISNUMBER($E$2:$E$800),--($E$2:$E$800&lt;E222))+(SUMPRODUCT(--ISNUMBER($E$2:$E$800),--($E$2:$E$800=E222))+1)/2)/COUNT($E$2:$E$800)</f>
        <v/>
      </c>
      <c r="I222">
        <f>(SUMPRODUCT(--ISNUMBER($G$2:$G$800),--($G$2:$G$800&lt;G222))+(SUMPRODUCT(--ISNUMBER($G$2:$G$800),--($G$2:$G$800=G222))+1)/2)/COUNT($G$2:$G$800)</f>
        <v/>
      </c>
      <c r="J222" t="n">
        <v>15.92817002382167</v>
      </c>
      <c r="K222" t="n">
        <v>1.88507540301612</v>
      </c>
      <c r="L222" t="n">
        <v>0.1560062402496085</v>
      </c>
      <c r="M222">
        <f>IF(OR(B222="NW",COUNT(Risk_Rank_Keys!B222)=0),0.5,(SUMPRODUCT(--ISNUMBER(Risk_Rank_Keys!$B$2:$B$800),--(Risk_Rank_Keys!$B$2:$B$800&lt;Risk_Rank_Keys!B222))+(SUMPRODUCT(--ISNUMBER(Risk_Rank_Keys!$B$2:$B$800),--(Risk_Rank_Keys!$B$2:$B$800=Risk_Rank_Keys!B222))+1)/2)/COUNT(Risk_Rank_Keys!$B$2:$B$800))</f>
        <v/>
      </c>
      <c r="N222">
        <f>IF(OR(B222="NW",COUNT(Risk_Rank_Keys!C222)=0),0.5,(SUMPRODUCT(--ISNUMBER(Risk_Rank_Keys!$C$2:$C$800),--(Risk_Rank_Keys!$C$2:$C$800&lt;Risk_Rank_Keys!C222))+(SUMPRODUCT(--ISNUMBER(Risk_Rank_Keys!$C$2:$C$800),--(Risk_Rank_Keys!$C$2:$C$800=Risk_Rank_Keys!C222))+1)/2)/COUNT(Risk_Rank_Keys!$C$2:$C$800))</f>
        <v/>
      </c>
      <c r="O222">
        <f>IF(OR(B222="NW",COUNT(Risk_Rank_Keys!D222)=0),0.5,(SUMPRODUCT(--ISNUMBER(Risk_Rank_Keys!$D$2:$D$800),--(Risk_Rank_Keys!$D$2:$D$800&lt;Risk_Rank_Keys!D222))+(SUMPRODUCT(--ISNUMBER(Risk_Rank_Keys!$D$2:$D$800),--(Risk_Rank_Keys!$D$2:$D$800=Risk_Rank_Keys!D222))+1)/2)/COUNT(Risk_Rank_Keys!$D$2:$D$800))</f>
        <v/>
      </c>
      <c r="P222">
        <f>AVERAGE(M222:O222)</f>
        <v/>
      </c>
      <c r="Q222">
        <f>0.4*H222+0.4*I222+0.2*P222</f>
        <v/>
      </c>
      <c r="R222">
        <f>PERCENTILE($Q$2:$Q$800,0.75)</f>
        <v/>
      </c>
      <c r="S222">
        <f>OR(Q222&gt;=R222,AND(B222="CW",COUNT(J222:L222)&lt;3))</f>
        <v/>
      </c>
      <c r="T222" t="n">
        <v>0.4002729895706111</v>
      </c>
      <c r="U222" t="n">
        <v>6.823848280849577</v>
      </c>
      <c r="V222" t="n">
        <v>0.609567165837818</v>
      </c>
      <c r="W222">
        <f>Q222-V222</f>
        <v/>
      </c>
    </row>
    <row r="223">
      <c r="A223" t="inlineStr">
        <is>
          <t>2022-03-22</t>
        </is>
      </c>
      <c r="B223" t="inlineStr">
        <is>
          <t>CW</t>
        </is>
      </c>
      <c r="C223" t="n">
        <v>10.51105899955237</v>
      </c>
      <c r="D223">
        <f>SUMPRODUCT(Risk_Inputs!B223:AJ223,Risk_Coefs!$B$2:$AJ$2)</f>
        <v/>
      </c>
      <c r="E223">
        <f>1/(1+EXP(-MAX(-25,MIN(25,D223))))</f>
        <v/>
      </c>
      <c r="F223">
        <f>SUMPRODUCT(Risk_Inputs!B223:AJ223,Risk_Coefs!$B$3:$AJ$3)</f>
        <v/>
      </c>
      <c r="G223">
        <f>MAX(0,F223)</f>
        <v/>
      </c>
      <c r="H223">
        <f>(SUMPRODUCT(--ISNUMBER($E$2:$E$800),--($E$2:$E$800&lt;E223))+(SUMPRODUCT(--ISNUMBER($E$2:$E$800),--($E$2:$E$800=E223))+1)/2)/COUNT($E$2:$E$800)</f>
        <v/>
      </c>
      <c r="I223">
        <f>(SUMPRODUCT(--ISNUMBER($G$2:$G$800),--($G$2:$G$800&lt;G223))+(SUMPRODUCT(--ISNUMBER($G$2:$G$800),--($G$2:$G$800=G223))+1)/2)/COUNT($G$2:$G$800)</f>
        <v/>
      </c>
      <c r="J223" t="n">
        <v>15.30601812770052</v>
      </c>
      <c r="K223" t="n">
        <v>1.284085990477561</v>
      </c>
      <c r="L223" t="n">
        <v>0.1875631222045897</v>
      </c>
      <c r="M223">
        <f>IF(OR(B223="NW",COUNT(Risk_Rank_Keys!B223)=0),0.5,(SUMPRODUCT(--ISNUMBER(Risk_Rank_Keys!$B$2:$B$800),--(Risk_Rank_Keys!$B$2:$B$800&lt;Risk_Rank_Keys!B223))+(SUMPRODUCT(--ISNUMBER(Risk_Rank_Keys!$B$2:$B$800),--(Risk_Rank_Keys!$B$2:$B$800=Risk_Rank_Keys!B223))+1)/2)/COUNT(Risk_Rank_Keys!$B$2:$B$800))</f>
        <v/>
      </c>
      <c r="N223">
        <f>IF(OR(B223="NW",COUNT(Risk_Rank_Keys!C223)=0),0.5,(SUMPRODUCT(--ISNUMBER(Risk_Rank_Keys!$C$2:$C$800),--(Risk_Rank_Keys!$C$2:$C$800&lt;Risk_Rank_Keys!C223))+(SUMPRODUCT(--ISNUMBER(Risk_Rank_Keys!$C$2:$C$800),--(Risk_Rank_Keys!$C$2:$C$800=Risk_Rank_Keys!C223))+1)/2)/COUNT(Risk_Rank_Keys!$C$2:$C$800))</f>
        <v/>
      </c>
      <c r="O223">
        <f>IF(OR(B223="NW",COUNT(Risk_Rank_Keys!D223)=0),0.5,(SUMPRODUCT(--ISNUMBER(Risk_Rank_Keys!$D$2:$D$800),--(Risk_Rank_Keys!$D$2:$D$800&lt;Risk_Rank_Keys!D223))+(SUMPRODUCT(--ISNUMBER(Risk_Rank_Keys!$D$2:$D$800),--(Risk_Rank_Keys!$D$2:$D$800=Risk_Rank_Keys!D223))+1)/2)/COUNT(Risk_Rank_Keys!$D$2:$D$800))</f>
        <v/>
      </c>
      <c r="P223">
        <f>AVERAGE(M223:O223)</f>
        <v/>
      </c>
      <c r="Q223">
        <f>0.4*H223+0.4*I223+0.2*P223</f>
        <v/>
      </c>
      <c r="R223">
        <f>PERCENTILE($Q$2:$Q$800,0.75)</f>
        <v/>
      </c>
      <c r="S223">
        <f>OR(Q223&gt;=R223,AND(B223="CW",COUNT(J223:L223)&lt;3))</f>
        <v/>
      </c>
      <c r="T223" t="n">
        <v>0.3891359255360373</v>
      </c>
      <c r="U223" t="n">
        <v>7.439378063196614</v>
      </c>
      <c r="V223" t="n">
        <v>0.6254653509820796</v>
      </c>
      <c r="W223">
        <f>Q223-V223</f>
        <v/>
      </c>
    </row>
    <row r="224">
      <c r="A224" t="inlineStr">
        <is>
          <t>2022-03-23</t>
        </is>
      </c>
      <c r="B224" t="inlineStr">
        <is>
          <t>CW</t>
        </is>
      </c>
      <c r="C224" t="n">
        <v>5.899843205088643</v>
      </c>
      <c r="D224">
        <f>SUMPRODUCT(Risk_Inputs!B224:AJ224,Risk_Coefs!$B$2:$AJ$2)</f>
        <v/>
      </c>
      <c r="E224">
        <f>1/(1+EXP(-MAX(-25,MIN(25,D224))))</f>
        <v/>
      </c>
      <c r="F224">
        <f>SUMPRODUCT(Risk_Inputs!B224:AJ224,Risk_Coefs!$B$3:$AJ$3)</f>
        <v/>
      </c>
      <c r="G224">
        <f>MAX(0,F224)</f>
        <v/>
      </c>
      <c r="H224">
        <f>(SUMPRODUCT(--ISNUMBER($E$2:$E$800),--($E$2:$E$800&lt;E224))+(SUMPRODUCT(--ISNUMBER($E$2:$E$800),--($E$2:$E$800=E224))+1)/2)/COUNT($E$2:$E$800)</f>
        <v/>
      </c>
      <c r="I224">
        <f>(SUMPRODUCT(--ISNUMBER($G$2:$G$800),--($G$2:$G$800&lt;G224))+(SUMPRODUCT(--ISNUMBER($G$2:$G$800),--($G$2:$G$800=G224))+1)/2)/COUNT($G$2:$G$800)</f>
        <v/>
      </c>
      <c r="J224" t="n">
        <v>9.098710968107753</v>
      </c>
      <c r="K224" t="n">
        <v>1.260600504240202</v>
      </c>
      <c r="L224" t="n">
        <v>0.2062800825120343</v>
      </c>
      <c r="M224">
        <f>IF(OR(B224="NW",COUNT(Risk_Rank_Keys!B224)=0),0.5,(SUMPRODUCT(--ISNUMBER(Risk_Rank_Keys!$B$2:$B$800),--(Risk_Rank_Keys!$B$2:$B$800&lt;Risk_Rank_Keys!B224))+(SUMPRODUCT(--ISNUMBER(Risk_Rank_Keys!$B$2:$B$800),--(Risk_Rank_Keys!$B$2:$B$800=Risk_Rank_Keys!B224))+1)/2)/COUNT(Risk_Rank_Keys!$B$2:$B$800))</f>
        <v/>
      </c>
      <c r="N224">
        <f>IF(OR(B224="NW",COUNT(Risk_Rank_Keys!C224)=0),0.5,(SUMPRODUCT(--ISNUMBER(Risk_Rank_Keys!$C$2:$C$800),--(Risk_Rank_Keys!$C$2:$C$800&lt;Risk_Rank_Keys!C224))+(SUMPRODUCT(--ISNUMBER(Risk_Rank_Keys!$C$2:$C$800),--(Risk_Rank_Keys!$C$2:$C$800=Risk_Rank_Keys!C224))+1)/2)/COUNT(Risk_Rank_Keys!$C$2:$C$800))</f>
        <v/>
      </c>
      <c r="O224">
        <f>IF(OR(B224="NW",COUNT(Risk_Rank_Keys!D224)=0),0.5,(SUMPRODUCT(--ISNUMBER(Risk_Rank_Keys!$D$2:$D$800),--(Risk_Rank_Keys!$D$2:$D$800&lt;Risk_Rank_Keys!D224))+(SUMPRODUCT(--ISNUMBER(Risk_Rank_Keys!$D$2:$D$800),--(Risk_Rank_Keys!$D$2:$D$800=Risk_Rank_Keys!D224))+1)/2)/COUNT(Risk_Rank_Keys!$D$2:$D$800))</f>
        <v/>
      </c>
      <c r="P224">
        <f>AVERAGE(M224:O224)</f>
        <v/>
      </c>
      <c r="Q224">
        <f>0.4*H224+0.4*I224+0.2*P224</f>
        <v/>
      </c>
      <c r="R224">
        <f>PERCENTILE($Q$2:$Q$800,0.75)</f>
        <v/>
      </c>
      <c r="S224">
        <f>OR(Q224&gt;=R224,AND(B224="CW",COUNT(J224:L224)&lt;3))</f>
        <v/>
      </c>
      <c r="T224" t="n">
        <v>0.3965753619177781</v>
      </c>
      <c r="U224" t="n">
        <v>6.801150571415926</v>
      </c>
      <c r="V224" t="n">
        <v>0.5911145324030678</v>
      </c>
      <c r="W224">
        <f>Q224-V224</f>
        <v/>
      </c>
    </row>
    <row r="225">
      <c r="A225" t="inlineStr">
        <is>
          <t>2022-03-24</t>
        </is>
      </c>
      <c r="B225" t="inlineStr">
        <is>
          <t>CW</t>
        </is>
      </c>
      <c r="C225" t="n">
        <v>8.626205187247027</v>
      </c>
      <c r="D225">
        <f>SUMPRODUCT(Risk_Inputs!B225:AJ225,Risk_Coefs!$B$2:$AJ$2)</f>
        <v/>
      </c>
      <c r="E225">
        <f>1/(1+EXP(-MAX(-25,MIN(25,D225))))</f>
        <v/>
      </c>
      <c r="F225">
        <f>SUMPRODUCT(Risk_Inputs!B225:AJ225,Risk_Coefs!$B$3:$AJ$3)</f>
        <v/>
      </c>
      <c r="G225">
        <f>MAX(0,F225)</f>
        <v/>
      </c>
      <c r="H225">
        <f>(SUMPRODUCT(--ISNUMBER($E$2:$E$800),--($E$2:$E$800&lt;E225))+(SUMPRODUCT(--ISNUMBER($E$2:$E$800),--($E$2:$E$800=E225))+1)/2)/COUNT($E$2:$E$800)</f>
        <v/>
      </c>
      <c r="I225">
        <f>(SUMPRODUCT(--ISNUMBER($G$2:$G$800),--($G$2:$G$800&lt;G225))+(SUMPRODUCT(--ISNUMBER($G$2:$G$800),--($G$2:$G$800=G225))+1)/2)/COUNT($G$2:$G$800)</f>
        <v/>
      </c>
      <c r="J225" t="n">
        <v>5.714052487653141</v>
      </c>
      <c r="K225" t="n">
        <v>2.569916855631145</v>
      </c>
      <c r="L225" t="n">
        <v>0.226757369614521</v>
      </c>
      <c r="M225">
        <f>IF(OR(B225="NW",COUNT(Risk_Rank_Keys!B225)=0),0.5,(SUMPRODUCT(--ISNUMBER(Risk_Rank_Keys!$B$2:$B$800),--(Risk_Rank_Keys!$B$2:$B$800&lt;Risk_Rank_Keys!B225))+(SUMPRODUCT(--ISNUMBER(Risk_Rank_Keys!$B$2:$B$800),--(Risk_Rank_Keys!$B$2:$B$800=Risk_Rank_Keys!B225))+1)/2)/COUNT(Risk_Rank_Keys!$B$2:$B$800))</f>
        <v/>
      </c>
      <c r="N225">
        <f>IF(OR(B225="NW",COUNT(Risk_Rank_Keys!C225)=0),0.5,(SUMPRODUCT(--ISNUMBER(Risk_Rank_Keys!$C$2:$C$800),--(Risk_Rank_Keys!$C$2:$C$800&lt;Risk_Rank_Keys!C225))+(SUMPRODUCT(--ISNUMBER(Risk_Rank_Keys!$C$2:$C$800),--(Risk_Rank_Keys!$C$2:$C$800=Risk_Rank_Keys!C225))+1)/2)/COUNT(Risk_Rank_Keys!$C$2:$C$800))</f>
        <v/>
      </c>
      <c r="O225">
        <f>IF(OR(B225="NW",COUNT(Risk_Rank_Keys!D225)=0),0.5,(SUMPRODUCT(--ISNUMBER(Risk_Rank_Keys!$D$2:$D$800),--(Risk_Rank_Keys!$D$2:$D$800&lt;Risk_Rank_Keys!D225))+(SUMPRODUCT(--ISNUMBER(Risk_Rank_Keys!$D$2:$D$800),--(Risk_Rank_Keys!$D$2:$D$800=Risk_Rank_Keys!D225))+1)/2)/COUNT(Risk_Rank_Keys!$D$2:$D$800))</f>
        <v/>
      </c>
      <c r="P225">
        <f>AVERAGE(M225:O225)</f>
        <v/>
      </c>
      <c r="Q225">
        <f>0.4*H225+0.4*I225+0.2*P225</f>
        <v/>
      </c>
      <c r="R225">
        <f>PERCENTILE($Q$2:$Q$800,0.75)</f>
        <v/>
      </c>
      <c r="S225">
        <f>OR(Q225&gt;=R225,AND(B225="CW",COUNT(J225:L225)&lt;3))</f>
        <v/>
      </c>
      <c r="T225" t="n">
        <v>0.3887131409259078</v>
      </c>
      <c r="U225" t="n">
        <v>5.929249005935847</v>
      </c>
      <c r="V225" t="n">
        <v>0.5414032766434566</v>
      </c>
      <c r="W225">
        <f>Q225-V225</f>
        <v/>
      </c>
    </row>
    <row r="226">
      <c r="A226" t="inlineStr">
        <is>
          <t>2022-03-25</t>
        </is>
      </c>
      <c r="B226" t="inlineStr">
        <is>
          <t>CW</t>
        </is>
      </c>
      <c r="C226" t="n">
        <v>37.3815588778881</v>
      </c>
      <c r="D226">
        <f>SUMPRODUCT(Risk_Inputs!B226:AJ226,Risk_Coefs!$B$2:$AJ$2)</f>
        <v/>
      </c>
      <c r="E226">
        <f>1/(1+EXP(-MAX(-25,MIN(25,D226))))</f>
        <v/>
      </c>
      <c r="F226">
        <f>SUMPRODUCT(Risk_Inputs!B226:AJ226,Risk_Coefs!$B$3:$AJ$3)</f>
        <v/>
      </c>
      <c r="G226">
        <f>MAX(0,F226)</f>
        <v/>
      </c>
      <c r="H226">
        <f>(SUMPRODUCT(--ISNUMBER($E$2:$E$800),--($E$2:$E$800&lt;E226))+(SUMPRODUCT(--ISNUMBER($E$2:$E$800),--($E$2:$E$800=E226))+1)/2)/COUNT($E$2:$E$800)</f>
        <v/>
      </c>
      <c r="I226">
        <f>(SUMPRODUCT(--ISNUMBER($G$2:$G$800),--($G$2:$G$800&lt;G226))+(SUMPRODUCT(--ISNUMBER($G$2:$G$800),--($G$2:$G$800=G226))+1)/2)/COUNT($G$2:$G$800)</f>
        <v/>
      </c>
      <c r="J226" t="n">
        <v>15.06678642830238</v>
      </c>
      <c r="K226" t="n">
        <v>1.690251572327056</v>
      </c>
      <c r="L226" t="n">
        <v>0.2096436058700239</v>
      </c>
      <c r="M226">
        <f>IF(OR(B226="NW",COUNT(Risk_Rank_Keys!B226)=0),0.5,(SUMPRODUCT(--ISNUMBER(Risk_Rank_Keys!$B$2:$B$800),--(Risk_Rank_Keys!$B$2:$B$800&lt;Risk_Rank_Keys!B226))+(SUMPRODUCT(--ISNUMBER(Risk_Rank_Keys!$B$2:$B$800),--(Risk_Rank_Keys!$B$2:$B$800=Risk_Rank_Keys!B226))+1)/2)/COUNT(Risk_Rank_Keys!$B$2:$B$800))</f>
        <v/>
      </c>
      <c r="N226">
        <f>IF(OR(B226="NW",COUNT(Risk_Rank_Keys!C226)=0),0.5,(SUMPRODUCT(--ISNUMBER(Risk_Rank_Keys!$C$2:$C$800),--(Risk_Rank_Keys!$C$2:$C$800&lt;Risk_Rank_Keys!C226))+(SUMPRODUCT(--ISNUMBER(Risk_Rank_Keys!$C$2:$C$800),--(Risk_Rank_Keys!$C$2:$C$800=Risk_Rank_Keys!C226))+1)/2)/COUNT(Risk_Rank_Keys!$C$2:$C$800))</f>
        <v/>
      </c>
      <c r="O226">
        <f>IF(OR(B226="NW",COUNT(Risk_Rank_Keys!D226)=0),0.5,(SUMPRODUCT(--ISNUMBER(Risk_Rank_Keys!$D$2:$D$800),--(Risk_Rank_Keys!$D$2:$D$800&lt;Risk_Rank_Keys!D226))+(SUMPRODUCT(--ISNUMBER(Risk_Rank_Keys!$D$2:$D$800),--(Risk_Rank_Keys!$D$2:$D$800=Risk_Rank_Keys!D226))+1)/2)/COUNT(Risk_Rank_Keys!$D$2:$D$800))</f>
        <v/>
      </c>
      <c r="P226">
        <f>AVERAGE(M226:O226)</f>
        <v/>
      </c>
      <c r="Q226">
        <f>0.4*H226+0.4*I226+0.2*P226</f>
        <v/>
      </c>
      <c r="R226">
        <f>PERCENTILE($Q$2:$Q$800,0.75)</f>
        <v/>
      </c>
      <c r="S226">
        <f>OR(Q226&gt;=R226,AND(B226="CW",COUNT(J226:L226)&lt;3))</f>
        <v/>
      </c>
      <c r="T226" t="n">
        <v>0.260826504669273</v>
      </c>
      <c r="U226" t="n">
        <v>7.523766735589104</v>
      </c>
      <c r="V226" t="n">
        <v>0.4124287158110819</v>
      </c>
      <c r="W226">
        <f>Q226-V226</f>
        <v/>
      </c>
    </row>
    <row r="227">
      <c r="A227" t="inlineStr">
        <is>
          <t>2022-03-28</t>
        </is>
      </c>
      <c r="B227" t="inlineStr">
        <is>
          <t>CW</t>
        </is>
      </c>
      <c r="C227" t="n">
        <v>55.3849190385832</v>
      </c>
      <c r="D227">
        <f>SUMPRODUCT(Risk_Inputs!B227:AJ227,Risk_Coefs!$B$2:$AJ$2)</f>
        <v/>
      </c>
      <c r="E227">
        <f>1/(1+EXP(-MAX(-25,MIN(25,D227))))</f>
        <v/>
      </c>
      <c r="F227">
        <f>SUMPRODUCT(Risk_Inputs!B227:AJ227,Risk_Coefs!$B$3:$AJ$3)</f>
        <v/>
      </c>
      <c r="G227">
        <f>MAX(0,F227)</f>
        <v/>
      </c>
      <c r="H227">
        <f>(SUMPRODUCT(--ISNUMBER($E$2:$E$800),--($E$2:$E$800&lt;E227))+(SUMPRODUCT(--ISNUMBER($E$2:$E$800),--($E$2:$E$800=E227))+1)/2)/COUNT($E$2:$E$800)</f>
        <v/>
      </c>
      <c r="I227">
        <f>(SUMPRODUCT(--ISNUMBER($G$2:$G$800),--($G$2:$G$800&lt;G227))+(SUMPRODUCT(--ISNUMBER($G$2:$G$800),--($G$2:$G$800=G227))+1)/2)/COUNT($G$2:$G$800)</f>
        <v/>
      </c>
      <c r="J227" t="n">
        <v>12.25979108850225</v>
      </c>
      <c r="K227" t="n">
        <v>3.234172387490472</v>
      </c>
      <c r="L227" t="n">
        <v>0.2288329519450801</v>
      </c>
      <c r="M227">
        <f>IF(OR(B227="NW",COUNT(Risk_Rank_Keys!B227)=0),0.5,(SUMPRODUCT(--ISNUMBER(Risk_Rank_Keys!$B$2:$B$800),--(Risk_Rank_Keys!$B$2:$B$800&lt;Risk_Rank_Keys!B227))+(SUMPRODUCT(--ISNUMBER(Risk_Rank_Keys!$B$2:$B$800),--(Risk_Rank_Keys!$B$2:$B$800=Risk_Rank_Keys!B227))+1)/2)/COUNT(Risk_Rank_Keys!$B$2:$B$800))</f>
        <v/>
      </c>
      <c r="N227">
        <f>IF(OR(B227="NW",COUNT(Risk_Rank_Keys!C227)=0),0.5,(SUMPRODUCT(--ISNUMBER(Risk_Rank_Keys!$C$2:$C$800),--(Risk_Rank_Keys!$C$2:$C$800&lt;Risk_Rank_Keys!C227))+(SUMPRODUCT(--ISNUMBER(Risk_Rank_Keys!$C$2:$C$800),--(Risk_Rank_Keys!$C$2:$C$800=Risk_Rank_Keys!C227))+1)/2)/COUNT(Risk_Rank_Keys!$C$2:$C$800))</f>
        <v/>
      </c>
      <c r="O227">
        <f>IF(OR(B227="NW",COUNT(Risk_Rank_Keys!D227)=0),0.5,(SUMPRODUCT(--ISNUMBER(Risk_Rank_Keys!$D$2:$D$800),--(Risk_Rank_Keys!$D$2:$D$800&lt;Risk_Rank_Keys!D227))+(SUMPRODUCT(--ISNUMBER(Risk_Rank_Keys!$D$2:$D$800),--(Risk_Rank_Keys!$D$2:$D$800=Risk_Rank_Keys!D227))+1)/2)/COUNT(Risk_Rank_Keys!$D$2:$D$800))</f>
        <v/>
      </c>
      <c r="P227">
        <f>AVERAGE(M227:O227)</f>
        <v/>
      </c>
      <c r="Q227">
        <f>0.4*H227+0.4*I227+0.2*P227</f>
        <v/>
      </c>
      <c r="R227">
        <f>PERCENTILE($Q$2:$Q$800,0.75)</f>
        <v/>
      </c>
      <c r="S227">
        <f>OR(Q227&gt;=R227,AND(B227="CW",COUNT(J227:L227)&lt;3))</f>
        <v/>
      </c>
      <c r="T227" t="n">
        <v>0.3370782149848268</v>
      </c>
      <c r="U227" t="n">
        <v>8.468667397519026</v>
      </c>
      <c r="V227" t="n">
        <v>0.6527020933302845</v>
      </c>
      <c r="W227">
        <f>Q227-V227</f>
        <v/>
      </c>
    </row>
    <row r="228">
      <c r="A228" t="inlineStr">
        <is>
          <t>2022-03-29</t>
        </is>
      </c>
      <c r="B228" t="inlineStr">
        <is>
          <t>CW</t>
        </is>
      </c>
      <c r="C228" t="n">
        <v>41.47014995455269</v>
      </c>
      <c r="D228">
        <f>SUMPRODUCT(Risk_Inputs!B228:AJ228,Risk_Coefs!$B$2:$AJ$2)</f>
        <v/>
      </c>
      <c r="E228">
        <f>1/(1+EXP(-MAX(-25,MIN(25,D228))))</f>
        <v/>
      </c>
      <c r="F228">
        <f>SUMPRODUCT(Risk_Inputs!B228:AJ228,Risk_Coefs!$B$3:$AJ$3)</f>
        <v/>
      </c>
      <c r="G228">
        <f>MAX(0,F228)</f>
        <v/>
      </c>
      <c r="H228">
        <f>(SUMPRODUCT(--ISNUMBER($E$2:$E$800),--($E$2:$E$800&lt;E228))+(SUMPRODUCT(--ISNUMBER($E$2:$E$800),--($E$2:$E$800=E228))+1)/2)/COUNT($E$2:$E$800)</f>
        <v/>
      </c>
      <c r="I228">
        <f>(SUMPRODUCT(--ISNUMBER($G$2:$G$800),--($G$2:$G$800&lt;G228))+(SUMPRODUCT(--ISNUMBER($G$2:$G$800),--($G$2:$G$800=G228))+1)/2)/COUNT($G$2:$G$800)</f>
        <v/>
      </c>
      <c r="J228" t="n">
        <v>5.083854717296818</v>
      </c>
      <c r="K228" t="n">
        <v>4.081177520071368</v>
      </c>
      <c r="L228" t="n">
        <v>0.111507582515611</v>
      </c>
      <c r="M228">
        <f>IF(OR(B228="NW",COUNT(Risk_Rank_Keys!B228)=0),0.5,(SUMPRODUCT(--ISNUMBER(Risk_Rank_Keys!$B$2:$B$800),--(Risk_Rank_Keys!$B$2:$B$800&lt;Risk_Rank_Keys!B228))+(SUMPRODUCT(--ISNUMBER(Risk_Rank_Keys!$B$2:$B$800),--(Risk_Rank_Keys!$B$2:$B$800=Risk_Rank_Keys!B228))+1)/2)/COUNT(Risk_Rank_Keys!$B$2:$B$800))</f>
        <v/>
      </c>
      <c r="N228">
        <f>IF(OR(B228="NW",COUNT(Risk_Rank_Keys!C228)=0),0.5,(SUMPRODUCT(--ISNUMBER(Risk_Rank_Keys!$C$2:$C$800),--(Risk_Rank_Keys!$C$2:$C$800&lt;Risk_Rank_Keys!C228))+(SUMPRODUCT(--ISNUMBER(Risk_Rank_Keys!$C$2:$C$800),--(Risk_Rank_Keys!$C$2:$C$800=Risk_Rank_Keys!C228))+1)/2)/COUNT(Risk_Rank_Keys!$C$2:$C$800))</f>
        <v/>
      </c>
      <c r="O228">
        <f>IF(OR(B228="NW",COUNT(Risk_Rank_Keys!D228)=0),0.5,(SUMPRODUCT(--ISNUMBER(Risk_Rank_Keys!$D$2:$D$800),--(Risk_Rank_Keys!$D$2:$D$800&lt;Risk_Rank_Keys!D228))+(SUMPRODUCT(--ISNUMBER(Risk_Rank_Keys!$D$2:$D$800),--(Risk_Rank_Keys!$D$2:$D$800=Risk_Rank_Keys!D228))+1)/2)/COUNT(Risk_Rank_Keys!$D$2:$D$800))</f>
        <v/>
      </c>
      <c r="P228">
        <f>AVERAGE(M228:O228)</f>
        <v/>
      </c>
      <c r="Q228">
        <f>0.4*H228+0.4*I228+0.2*P228</f>
        <v/>
      </c>
      <c r="R228">
        <f>PERCENTILE($Q$2:$Q$800,0.75)</f>
        <v/>
      </c>
      <c r="S228">
        <f>OR(Q228&gt;=R228,AND(B228="CW",COUNT(J228:L228)&lt;3))</f>
        <v/>
      </c>
      <c r="T228" t="n">
        <v>0.2683483115906046</v>
      </c>
      <c r="U228" t="n">
        <v>5.486231811124378</v>
      </c>
      <c r="V228" t="n">
        <v>0.2846738339242044</v>
      </c>
      <c r="W228">
        <f>Q228-V228</f>
        <v/>
      </c>
    </row>
    <row r="229">
      <c r="A229" t="inlineStr">
        <is>
          <t>2022-03-30</t>
        </is>
      </c>
      <c r="B229" t="inlineStr">
        <is>
          <t>NW</t>
        </is>
      </c>
      <c r="C229" t="n">
        <v>-13.39723043637225</v>
      </c>
      <c r="D229">
        <f>SUMPRODUCT(Risk_Inputs!B229:AJ229,Risk_Coefs!$B$2:$AJ$2)</f>
        <v/>
      </c>
      <c r="E229">
        <f>1/(1+EXP(-MAX(-25,MIN(25,D229))))</f>
        <v/>
      </c>
      <c r="F229">
        <f>SUMPRODUCT(Risk_Inputs!B229:AJ229,Risk_Coefs!$B$3:$AJ$3)</f>
        <v/>
      </c>
      <c r="G229">
        <f>MAX(0,F229)</f>
        <v/>
      </c>
      <c r="H229">
        <f>(SUMPRODUCT(--ISNUMBER($E$2:$E$800),--($E$2:$E$800&lt;E229))+(SUMPRODUCT(--ISNUMBER($E$2:$E$800),--($E$2:$E$800=E229))+1)/2)/COUNT($E$2:$E$800)</f>
        <v/>
      </c>
      <c r="I229">
        <f>(SUMPRODUCT(--ISNUMBER($G$2:$G$800),--($G$2:$G$800&lt;G229))+(SUMPRODUCT(--ISNUMBER($G$2:$G$800),--($G$2:$G$800=G229))+1)/2)/COUNT($G$2:$G$800)</f>
        <v/>
      </c>
      <c r="M229">
        <f>IF(OR(B229="NW",COUNT(Risk_Rank_Keys!B229)=0),0.5,(SUMPRODUCT(--ISNUMBER(Risk_Rank_Keys!$B$2:$B$800),--(Risk_Rank_Keys!$B$2:$B$800&lt;Risk_Rank_Keys!B229))+(SUMPRODUCT(--ISNUMBER(Risk_Rank_Keys!$B$2:$B$800),--(Risk_Rank_Keys!$B$2:$B$800=Risk_Rank_Keys!B229))+1)/2)/COUNT(Risk_Rank_Keys!$B$2:$B$800))</f>
        <v/>
      </c>
      <c r="N229">
        <f>IF(OR(B229="NW",COUNT(Risk_Rank_Keys!C229)=0),0.5,(SUMPRODUCT(--ISNUMBER(Risk_Rank_Keys!$C$2:$C$800),--(Risk_Rank_Keys!$C$2:$C$800&lt;Risk_Rank_Keys!C229))+(SUMPRODUCT(--ISNUMBER(Risk_Rank_Keys!$C$2:$C$800),--(Risk_Rank_Keys!$C$2:$C$800=Risk_Rank_Keys!C229))+1)/2)/COUNT(Risk_Rank_Keys!$C$2:$C$800))</f>
        <v/>
      </c>
      <c r="O229">
        <f>IF(OR(B229="NW",COUNT(Risk_Rank_Keys!D229)=0),0.5,(SUMPRODUCT(--ISNUMBER(Risk_Rank_Keys!$D$2:$D$800),--(Risk_Rank_Keys!$D$2:$D$800&lt;Risk_Rank_Keys!D229))+(SUMPRODUCT(--ISNUMBER(Risk_Rank_Keys!$D$2:$D$800),--(Risk_Rank_Keys!$D$2:$D$800=Risk_Rank_Keys!D229))+1)/2)/COUNT(Risk_Rank_Keys!$D$2:$D$800))</f>
        <v/>
      </c>
      <c r="P229">
        <f>AVERAGE(M229:O229)</f>
        <v/>
      </c>
      <c r="Q229">
        <f>0.4*H229+0.4*I229+0.2*P229</f>
        <v/>
      </c>
      <c r="R229">
        <f>PERCENTILE($Q$2:$Q$800,0.75)</f>
        <v/>
      </c>
      <c r="S229">
        <f>OR(Q229&gt;=R229,AND(B229="CW",COUNT(J229:L229)&lt;3))</f>
        <v/>
      </c>
      <c r="T229" t="n">
        <v>0.3621378457245287</v>
      </c>
      <c r="U229" t="n">
        <v>11.08560367364712</v>
      </c>
      <c r="V229" t="n">
        <v>0.7948685857321652</v>
      </c>
      <c r="W229">
        <f>Q229-V229</f>
        <v/>
      </c>
    </row>
    <row r="230">
      <c r="A230" t="inlineStr">
        <is>
          <t>2022-03-31</t>
        </is>
      </c>
      <c r="B230" t="inlineStr">
        <is>
          <t>CW</t>
        </is>
      </c>
      <c r="C230" t="n">
        <v>32.76263655275994</v>
      </c>
      <c r="D230">
        <f>SUMPRODUCT(Risk_Inputs!B230:AJ230,Risk_Coefs!$B$2:$AJ$2)</f>
        <v/>
      </c>
      <c r="E230">
        <f>1/(1+EXP(-MAX(-25,MIN(25,D230))))</f>
        <v/>
      </c>
      <c r="F230">
        <f>SUMPRODUCT(Risk_Inputs!B230:AJ230,Risk_Coefs!$B$3:$AJ$3)</f>
        <v/>
      </c>
      <c r="G230">
        <f>MAX(0,F230)</f>
        <v/>
      </c>
      <c r="H230">
        <f>(SUMPRODUCT(--ISNUMBER($E$2:$E$800),--($E$2:$E$800&lt;E230))+(SUMPRODUCT(--ISNUMBER($E$2:$E$800),--($E$2:$E$800=E230))+1)/2)/COUNT($E$2:$E$800)</f>
        <v/>
      </c>
      <c r="I230">
        <f>(SUMPRODUCT(--ISNUMBER($G$2:$G$800),--($G$2:$G$800&lt;G230))+(SUMPRODUCT(--ISNUMBER($G$2:$G$800),--($G$2:$G$800=G230))+1)/2)/COUNT($G$2:$G$800)</f>
        <v/>
      </c>
      <c r="J230" t="n">
        <v>24.32680625823572</v>
      </c>
      <c r="K230" t="n">
        <v>15.30715005035247</v>
      </c>
      <c r="L230" t="n">
        <v>0.4531722054380693</v>
      </c>
      <c r="M230">
        <f>IF(OR(B230="NW",COUNT(Risk_Rank_Keys!B230)=0),0.5,(SUMPRODUCT(--ISNUMBER(Risk_Rank_Keys!$B$2:$B$800),--(Risk_Rank_Keys!$B$2:$B$800&lt;Risk_Rank_Keys!B230))+(SUMPRODUCT(--ISNUMBER(Risk_Rank_Keys!$B$2:$B$800),--(Risk_Rank_Keys!$B$2:$B$800=Risk_Rank_Keys!B230))+1)/2)/COUNT(Risk_Rank_Keys!$B$2:$B$800))</f>
        <v/>
      </c>
      <c r="N230">
        <f>IF(OR(B230="NW",COUNT(Risk_Rank_Keys!C230)=0),0.5,(SUMPRODUCT(--ISNUMBER(Risk_Rank_Keys!$C$2:$C$800),--(Risk_Rank_Keys!$C$2:$C$800&lt;Risk_Rank_Keys!C230))+(SUMPRODUCT(--ISNUMBER(Risk_Rank_Keys!$C$2:$C$800),--(Risk_Rank_Keys!$C$2:$C$800=Risk_Rank_Keys!C230))+1)/2)/COUNT(Risk_Rank_Keys!$C$2:$C$800))</f>
        <v/>
      </c>
      <c r="O230">
        <f>IF(OR(B230="NW",COUNT(Risk_Rank_Keys!D230)=0),0.5,(SUMPRODUCT(--ISNUMBER(Risk_Rank_Keys!$D$2:$D$800),--(Risk_Rank_Keys!$D$2:$D$800&lt;Risk_Rank_Keys!D230))+(SUMPRODUCT(--ISNUMBER(Risk_Rank_Keys!$D$2:$D$800),--(Risk_Rank_Keys!$D$2:$D$800=Risk_Rank_Keys!D230))+1)/2)/COUNT(Risk_Rank_Keys!$D$2:$D$800))</f>
        <v/>
      </c>
      <c r="P230">
        <f>AVERAGE(M230:O230)</f>
        <v/>
      </c>
      <c r="Q230">
        <f>0.4*H230+0.4*I230+0.2*P230</f>
        <v/>
      </c>
      <c r="R230">
        <f>PERCENTILE($Q$2:$Q$800,0.75)</f>
        <v/>
      </c>
      <c r="S230">
        <f>OR(Q230&gt;=R230,AND(B230="CW",COUNT(J230:L230)&lt;3))</f>
        <v/>
      </c>
      <c r="T230" t="n">
        <v>0.1777713349022841</v>
      </c>
      <c r="U230" t="n">
        <v>5.393341183319039</v>
      </c>
      <c r="V230" t="n">
        <v>0.2794121429099252</v>
      </c>
      <c r="W230">
        <f>Q230-V230</f>
        <v/>
      </c>
    </row>
    <row r="231">
      <c r="A231" t="inlineStr">
        <is>
          <t>2022-04-01</t>
        </is>
      </c>
      <c r="B231" t="inlineStr">
        <is>
          <t>CW</t>
        </is>
      </c>
      <c r="C231" t="n">
        <v>39.19377922863595</v>
      </c>
      <c r="D231">
        <f>SUMPRODUCT(Risk_Inputs!B231:AJ231,Risk_Coefs!$B$2:$AJ$2)</f>
        <v/>
      </c>
      <c r="E231">
        <f>1/(1+EXP(-MAX(-25,MIN(25,D231))))</f>
        <v/>
      </c>
      <c r="F231">
        <f>SUMPRODUCT(Risk_Inputs!B231:AJ231,Risk_Coefs!$B$3:$AJ$3)</f>
        <v/>
      </c>
      <c r="G231">
        <f>MAX(0,F231)</f>
        <v/>
      </c>
      <c r="H231">
        <f>(SUMPRODUCT(--ISNUMBER($E$2:$E$800),--($E$2:$E$800&lt;E231))+(SUMPRODUCT(--ISNUMBER($E$2:$E$800),--($E$2:$E$800=E231))+1)/2)/COUNT($E$2:$E$800)</f>
        <v/>
      </c>
      <c r="I231">
        <f>(SUMPRODUCT(--ISNUMBER($G$2:$G$800),--($G$2:$G$800&lt;G231))+(SUMPRODUCT(--ISNUMBER($G$2:$G$800),--($G$2:$G$800=G231))+1)/2)/COUNT($G$2:$G$800)</f>
        <v/>
      </c>
      <c r="J231" t="n">
        <v>19.95579376531674</v>
      </c>
      <c r="K231" t="n">
        <v>8.216633323806786</v>
      </c>
      <c r="L231" t="n">
        <v>0.3143755358673972</v>
      </c>
      <c r="M231">
        <f>IF(OR(B231="NW",COUNT(Risk_Rank_Keys!B231)=0),0.5,(SUMPRODUCT(--ISNUMBER(Risk_Rank_Keys!$B$2:$B$800),--(Risk_Rank_Keys!$B$2:$B$800&lt;Risk_Rank_Keys!B231))+(SUMPRODUCT(--ISNUMBER(Risk_Rank_Keys!$B$2:$B$800),--(Risk_Rank_Keys!$B$2:$B$800=Risk_Rank_Keys!B231))+1)/2)/COUNT(Risk_Rank_Keys!$B$2:$B$800))</f>
        <v/>
      </c>
      <c r="N231">
        <f>IF(OR(B231="NW",COUNT(Risk_Rank_Keys!C231)=0),0.5,(SUMPRODUCT(--ISNUMBER(Risk_Rank_Keys!$C$2:$C$800),--(Risk_Rank_Keys!$C$2:$C$800&lt;Risk_Rank_Keys!C231))+(SUMPRODUCT(--ISNUMBER(Risk_Rank_Keys!$C$2:$C$800),--(Risk_Rank_Keys!$C$2:$C$800=Risk_Rank_Keys!C231))+1)/2)/COUNT(Risk_Rank_Keys!$C$2:$C$800))</f>
        <v/>
      </c>
      <c r="O231">
        <f>IF(OR(B231="NW",COUNT(Risk_Rank_Keys!D231)=0),0.5,(SUMPRODUCT(--ISNUMBER(Risk_Rank_Keys!$D$2:$D$800),--(Risk_Rank_Keys!$D$2:$D$800&lt;Risk_Rank_Keys!D231))+(SUMPRODUCT(--ISNUMBER(Risk_Rank_Keys!$D$2:$D$800),--(Risk_Rank_Keys!$D$2:$D$800=Risk_Rank_Keys!D231))+1)/2)/COUNT(Risk_Rank_Keys!$D$2:$D$800))</f>
        <v/>
      </c>
      <c r="P231">
        <f>AVERAGE(M231:O231)</f>
        <v/>
      </c>
      <c r="Q231">
        <f>0.4*H231+0.4*I231+0.2*P231</f>
        <v/>
      </c>
      <c r="R231">
        <f>PERCENTILE($Q$2:$Q$800,0.75)</f>
        <v/>
      </c>
      <c r="S231">
        <f>OR(Q231&gt;=R231,AND(B231="CW",COUNT(J231:L231)&lt;3))</f>
        <v/>
      </c>
      <c r="T231" t="n">
        <v>0.2258489320796749</v>
      </c>
      <c r="U231" t="n">
        <v>6.669242527983098</v>
      </c>
      <c r="V231" t="n">
        <v>0.3708892275269703</v>
      </c>
      <c r="W231">
        <f>Q231-V231</f>
        <v/>
      </c>
    </row>
    <row r="232">
      <c r="A232" t="inlineStr">
        <is>
          <t>2022-04-05</t>
        </is>
      </c>
      <c r="B232" t="inlineStr">
        <is>
          <t>CW</t>
        </is>
      </c>
      <c r="C232" t="n">
        <v>14.71660381381932</v>
      </c>
      <c r="D232">
        <f>SUMPRODUCT(Risk_Inputs!B232:AJ232,Risk_Coefs!$B$2:$AJ$2)</f>
        <v/>
      </c>
      <c r="E232">
        <f>1/(1+EXP(-MAX(-25,MIN(25,D232))))</f>
        <v/>
      </c>
      <c r="F232">
        <f>SUMPRODUCT(Risk_Inputs!B232:AJ232,Risk_Coefs!$B$3:$AJ$3)</f>
        <v/>
      </c>
      <c r="G232">
        <f>MAX(0,F232)</f>
        <v/>
      </c>
      <c r="H232">
        <f>(SUMPRODUCT(--ISNUMBER($E$2:$E$800),--($E$2:$E$800&lt;E232))+(SUMPRODUCT(--ISNUMBER($E$2:$E$800),--($E$2:$E$800=E232))+1)/2)/COUNT($E$2:$E$800)</f>
        <v/>
      </c>
      <c r="I232">
        <f>(SUMPRODUCT(--ISNUMBER($G$2:$G$800),--($G$2:$G$800&lt;G232))+(SUMPRODUCT(--ISNUMBER($G$2:$G$800),--($G$2:$G$800=G232))+1)/2)/COUNT($G$2:$G$800)</f>
        <v/>
      </c>
      <c r="J232" t="n">
        <v>11.6880994651717</v>
      </c>
      <c r="K232" t="n">
        <v>3.632183908045979</v>
      </c>
      <c r="L232" t="n">
        <v>0.2988505747126463</v>
      </c>
      <c r="M232">
        <f>IF(OR(B232="NW",COUNT(Risk_Rank_Keys!B232)=0),0.5,(SUMPRODUCT(--ISNUMBER(Risk_Rank_Keys!$B$2:$B$800),--(Risk_Rank_Keys!$B$2:$B$800&lt;Risk_Rank_Keys!B232))+(SUMPRODUCT(--ISNUMBER(Risk_Rank_Keys!$B$2:$B$800),--(Risk_Rank_Keys!$B$2:$B$800=Risk_Rank_Keys!B232))+1)/2)/COUNT(Risk_Rank_Keys!$B$2:$B$800))</f>
        <v/>
      </c>
      <c r="N232">
        <f>IF(OR(B232="NW",COUNT(Risk_Rank_Keys!C232)=0),0.5,(SUMPRODUCT(--ISNUMBER(Risk_Rank_Keys!$C$2:$C$800),--(Risk_Rank_Keys!$C$2:$C$800&lt;Risk_Rank_Keys!C232))+(SUMPRODUCT(--ISNUMBER(Risk_Rank_Keys!$C$2:$C$800),--(Risk_Rank_Keys!$C$2:$C$800=Risk_Rank_Keys!C232))+1)/2)/COUNT(Risk_Rank_Keys!$C$2:$C$800))</f>
        <v/>
      </c>
      <c r="O232">
        <f>IF(OR(B232="NW",COUNT(Risk_Rank_Keys!D232)=0),0.5,(SUMPRODUCT(--ISNUMBER(Risk_Rank_Keys!$D$2:$D$800),--(Risk_Rank_Keys!$D$2:$D$800&lt;Risk_Rank_Keys!D232))+(SUMPRODUCT(--ISNUMBER(Risk_Rank_Keys!$D$2:$D$800),--(Risk_Rank_Keys!$D$2:$D$800=Risk_Rank_Keys!D232))+1)/2)/COUNT(Risk_Rank_Keys!$D$2:$D$800))</f>
        <v/>
      </c>
      <c r="P232">
        <f>AVERAGE(M232:O232)</f>
        <v/>
      </c>
      <c r="Q232">
        <f>0.4*H232+0.4*I232+0.2*P232</f>
        <v/>
      </c>
      <c r="R232">
        <f>PERCENTILE($Q$2:$Q$800,0.75)</f>
        <v/>
      </c>
      <c r="S232">
        <f>OR(Q232&gt;=R232,AND(B232="CW",COUNT(J232:L232)&lt;3))</f>
        <v/>
      </c>
      <c r="T232" t="n">
        <v>0.2268008097376844</v>
      </c>
      <c r="U232" t="n">
        <v>3.918289765119324</v>
      </c>
      <c r="V232" t="n">
        <v>0.2094421839479731</v>
      </c>
      <c r="W232">
        <f>Q232-V232</f>
        <v/>
      </c>
    </row>
    <row r="233">
      <c r="A233" t="inlineStr">
        <is>
          <t>2022-04-06</t>
        </is>
      </c>
      <c r="B233" t="inlineStr">
        <is>
          <t>CW</t>
        </is>
      </c>
      <c r="C233" t="n">
        <v>16.26782850770254</v>
      </c>
      <c r="D233">
        <f>SUMPRODUCT(Risk_Inputs!B233:AJ233,Risk_Coefs!$B$2:$AJ$2)</f>
        <v/>
      </c>
      <c r="E233">
        <f>1/(1+EXP(-MAX(-25,MIN(25,D233))))</f>
        <v/>
      </c>
      <c r="F233">
        <f>SUMPRODUCT(Risk_Inputs!B233:AJ233,Risk_Coefs!$B$3:$AJ$3)</f>
        <v/>
      </c>
      <c r="G233">
        <f>MAX(0,F233)</f>
        <v/>
      </c>
      <c r="H233">
        <f>(SUMPRODUCT(--ISNUMBER($E$2:$E$800),--($E$2:$E$800&lt;E233))+(SUMPRODUCT(--ISNUMBER($E$2:$E$800),--($E$2:$E$800=E233))+1)/2)/COUNT($E$2:$E$800)</f>
        <v/>
      </c>
      <c r="I233">
        <f>(SUMPRODUCT(--ISNUMBER($G$2:$G$800),--($G$2:$G$800&lt;G233))+(SUMPRODUCT(--ISNUMBER($G$2:$G$800),--($G$2:$G$800=G233))+1)/2)/COUNT($G$2:$G$800)</f>
        <v/>
      </c>
      <c r="J233" t="n">
        <v>15.0161928348123</v>
      </c>
      <c r="K233" t="n">
        <v>3.60665844636253</v>
      </c>
      <c r="L233" t="n">
        <v>0.2157829839704034</v>
      </c>
      <c r="M233">
        <f>IF(OR(B233="NW",COUNT(Risk_Rank_Keys!B233)=0),0.5,(SUMPRODUCT(--ISNUMBER(Risk_Rank_Keys!$B$2:$B$800),--(Risk_Rank_Keys!$B$2:$B$800&lt;Risk_Rank_Keys!B233))+(SUMPRODUCT(--ISNUMBER(Risk_Rank_Keys!$B$2:$B$800),--(Risk_Rank_Keys!$B$2:$B$800=Risk_Rank_Keys!B233))+1)/2)/COUNT(Risk_Rank_Keys!$B$2:$B$800))</f>
        <v/>
      </c>
      <c r="N233">
        <f>IF(OR(B233="NW",COUNT(Risk_Rank_Keys!C233)=0),0.5,(SUMPRODUCT(--ISNUMBER(Risk_Rank_Keys!$C$2:$C$800),--(Risk_Rank_Keys!$C$2:$C$800&lt;Risk_Rank_Keys!C233))+(SUMPRODUCT(--ISNUMBER(Risk_Rank_Keys!$C$2:$C$800),--(Risk_Rank_Keys!$C$2:$C$800=Risk_Rank_Keys!C233))+1)/2)/COUNT(Risk_Rank_Keys!$C$2:$C$800))</f>
        <v/>
      </c>
      <c r="O233">
        <f>IF(OR(B233="NW",COUNT(Risk_Rank_Keys!D233)=0),0.5,(SUMPRODUCT(--ISNUMBER(Risk_Rank_Keys!$D$2:$D$800),--(Risk_Rank_Keys!$D$2:$D$800&lt;Risk_Rank_Keys!D233))+(SUMPRODUCT(--ISNUMBER(Risk_Rank_Keys!$D$2:$D$800),--(Risk_Rank_Keys!$D$2:$D$800=Risk_Rank_Keys!D233))+1)/2)/COUNT(Risk_Rank_Keys!$D$2:$D$800))</f>
        <v/>
      </c>
      <c r="P233">
        <f>AVERAGE(M233:O233)</f>
        <v/>
      </c>
      <c r="Q233">
        <f>0.4*H233+0.4*I233+0.2*P233</f>
        <v/>
      </c>
      <c r="R233">
        <f>PERCENTILE($Q$2:$Q$800,0.75)</f>
        <v/>
      </c>
      <c r="S233">
        <f>OR(Q233&gt;=R233,AND(B233="CW",COUNT(J233:L233)&lt;3))</f>
        <v/>
      </c>
      <c r="T233" t="n">
        <v>0.2633301546783545</v>
      </c>
      <c r="U233" t="n">
        <v>5.750055354451383</v>
      </c>
      <c r="V233" t="n">
        <v>0.3473135003133275</v>
      </c>
      <c r="W233">
        <f>Q233-V233</f>
        <v/>
      </c>
    </row>
    <row r="234">
      <c r="A234" t="inlineStr">
        <is>
          <t>2022-04-07</t>
        </is>
      </c>
      <c r="B234" t="inlineStr">
        <is>
          <t>CW</t>
        </is>
      </c>
      <c r="C234" t="n">
        <v>10.47761268358916</v>
      </c>
      <c r="D234">
        <f>SUMPRODUCT(Risk_Inputs!B234:AJ234,Risk_Coefs!$B$2:$AJ$2)</f>
        <v/>
      </c>
      <c r="E234">
        <f>1/(1+EXP(-MAX(-25,MIN(25,D234))))</f>
        <v/>
      </c>
      <c r="F234">
        <f>SUMPRODUCT(Risk_Inputs!B234:AJ234,Risk_Coefs!$B$3:$AJ$3)</f>
        <v/>
      </c>
      <c r="G234">
        <f>MAX(0,F234)</f>
        <v/>
      </c>
      <c r="H234">
        <f>(SUMPRODUCT(--ISNUMBER($E$2:$E$800),--($E$2:$E$800&lt;E234))+(SUMPRODUCT(--ISNUMBER($E$2:$E$800),--($E$2:$E$800=E234))+1)/2)/COUNT($E$2:$E$800)</f>
        <v/>
      </c>
      <c r="I234">
        <f>(SUMPRODUCT(--ISNUMBER($G$2:$G$800),--($G$2:$G$800&lt;G234))+(SUMPRODUCT(--ISNUMBER($G$2:$G$800),--($G$2:$G$800=G234))+1)/2)/COUNT($G$2:$G$800)</f>
        <v/>
      </c>
      <c r="J234" t="n">
        <v>13.64879727024096</v>
      </c>
      <c r="K234" t="n">
        <v>4.146981627296591</v>
      </c>
      <c r="L234" t="n">
        <v>0.3149606299212643</v>
      </c>
      <c r="M234">
        <f>IF(OR(B234="NW",COUNT(Risk_Rank_Keys!B234)=0),0.5,(SUMPRODUCT(--ISNUMBER(Risk_Rank_Keys!$B$2:$B$800),--(Risk_Rank_Keys!$B$2:$B$800&lt;Risk_Rank_Keys!B234))+(SUMPRODUCT(--ISNUMBER(Risk_Rank_Keys!$B$2:$B$800),--(Risk_Rank_Keys!$B$2:$B$800=Risk_Rank_Keys!B234))+1)/2)/COUNT(Risk_Rank_Keys!$B$2:$B$800))</f>
        <v/>
      </c>
      <c r="N234">
        <f>IF(OR(B234="NW",COUNT(Risk_Rank_Keys!C234)=0),0.5,(SUMPRODUCT(--ISNUMBER(Risk_Rank_Keys!$C$2:$C$800),--(Risk_Rank_Keys!$C$2:$C$800&lt;Risk_Rank_Keys!C234))+(SUMPRODUCT(--ISNUMBER(Risk_Rank_Keys!$C$2:$C$800),--(Risk_Rank_Keys!$C$2:$C$800=Risk_Rank_Keys!C234))+1)/2)/COUNT(Risk_Rank_Keys!$C$2:$C$800))</f>
        <v/>
      </c>
      <c r="O234">
        <f>IF(OR(B234="NW",COUNT(Risk_Rank_Keys!D234)=0),0.5,(SUMPRODUCT(--ISNUMBER(Risk_Rank_Keys!$D$2:$D$800),--(Risk_Rank_Keys!$D$2:$D$800&lt;Risk_Rank_Keys!D234))+(SUMPRODUCT(--ISNUMBER(Risk_Rank_Keys!$D$2:$D$800),--(Risk_Rank_Keys!$D$2:$D$800=Risk_Rank_Keys!D234))+1)/2)/COUNT(Risk_Rank_Keys!$D$2:$D$800))</f>
        <v/>
      </c>
      <c r="P234">
        <f>AVERAGE(M234:O234)</f>
        <v/>
      </c>
      <c r="Q234">
        <f>0.4*H234+0.4*I234+0.2*P234</f>
        <v/>
      </c>
      <c r="R234">
        <f>PERCENTILE($Q$2:$Q$800,0.75)</f>
        <v/>
      </c>
      <c r="S234">
        <f>OR(Q234&gt;=R234,AND(B234="CW",COUNT(J234:L234)&lt;3))</f>
        <v/>
      </c>
      <c r="T234" t="n">
        <v>0.2594729690308068</v>
      </c>
      <c r="U234" t="n">
        <v>6.449089180811194</v>
      </c>
      <c r="V234" t="n">
        <v>0.4013614181837013</v>
      </c>
      <c r="W234">
        <f>Q234-V234</f>
        <v/>
      </c>
    </row>
    <row r="235">
      <c r="A235" t="inlineStr">
        <is>
          <t>2022-04-08</t>
        </is>
      </c>
      <c r="B235" t="inlineStr">
        <is>
          <t>CW</t>
        </is>
      </c>
      <c r="C235" t="n">
        <v>35.81806490597788</v>
      </c>
      <c r="D235">
        <f>SUMPRODUCT(Risk_Inputs!B235:AJ235,Risk_Coefs!$B$2:$AJ$2)</f>
        <v/>
      </c>
      <c r="E235">
        <f>1/(1+EXP(-MAX(-25,MIN(25,D235))))</f>
        <v/>
      </c>
      <c r="F235">
        <f>SUMPRODUCT(Risk_Inputs!B235:AJ235,Risk_Coefs!$B$3:$AJ$3)</f>
        <v/>
      </c>
      <c r="G235">
        <f>MAX(0,F235)</f>
        <v/>
      </c>
      <c r="H235">
        <f>(SUMPRODUCT(--ISNUMBER($E$2:$E$800),--($E$2:$E$800&lt;E235))+(SUMPRODUCT(--ISNUMBER($E$2:$E$800),--($E$2:$E$800=E235))+1)/2)/COUNT($E$2:$E$800)</f>
        <v/>
      </c>
      <c r="I235">
        <f>(SUMPRODUCT(--ISNUMBER($G$2:$G$800),--($G$2:$G$800&lt;G235))+(SUMPRODUCT(--ISNUMBER($G$2:$G$800),--($G$2:$G$800=G235))+1)/2)/COUNT($G$2:$G$800)</f>
        <v/>
      </c>
      <c r="J235" t="n">
        <v>10.05167010192804</v>
      </c>
      <c r="K235" t="n">
        <v>2.316031537450727</v>
      </c>
      <c r="L235" t="n">
        <v>0.1478318002628083</v>
      </c>
      <c r="M235">
        <f>IF(OR(B235="NW",COUNT(Risk_Rank_Keys!B235)=0),0.5,(SUMPRODUCT(--ISNUMBER(Risk_Rank_Keys!$B$2:$B$800),--(Risk_Rank_Keys!$B$2:$B$800&lt;Risk_Rank_Keys!B235))+(SUMPRODUCT(--ISNUMBER(Risk_Rank_Keys!$B$2:$B$800),--(Risk_Rank_Keys!$B$2:$B$800=Risk_Rank_Keys!B235))+1)/2)/COUNT(Risk_Rank_Keys!$B$2:$B$800))</f>
        <v/>
      </c>
      <c r="N235">
        <f>IF(OR(B235="NW",COUNT(Risk_Rank_Keys!C235)=0),0.5,(SUMPRODUCT(--ISNUMBER(Risk_Rank_Keys!$C$2:$C$800),--(Risk_Rank_Keys!$C$2:$C$800&lt;Risk_Rank_Keys!C235))+(SUMPRODUCT(--ISNUMBER(Risk_Rank_Keys!$C$2:$C$800),--(Risk_Rank_Keys!$C$2:$C$800=Risk_Rank_Keys!C235))+1)/2)/COUNT(Risk_Rank_Keys!$C$2:$C$800))</f>
        <v/>
      </c>
      <c r="O235">
        <f>IF(OR(B235="NW",COUNT(Risk_Rank_Keys!D235)=0),0.5,(SUMPRODUCT(--ISNUMBER(Risk_Rank_Keys!$D$2:$D$800),--(Risk_Rank_Keys!$D$2:$D$800&lt;Risk_Rank_Keys!D235))+(SUMPRODUCT(--ISNUMBER(Risk_Rank_Keys!$D$2:$D$800),--(Risk_Rank_Keys!$D$2:$D$800=Risk_Rank_Keys!D235))+1)/2)/COUNT(Risk_Rank_Keys!$D$2:$D$800))</f>
        <v/>
      </c>
      <c r="P235">
        <f>AVERAGE(M235:O235)</f>
        <v/>
      </c>
      <c r="Q235">
        <f>0.4*H235+0.4*I235+0.2*P235</f>
        <v/>
      </c>
      <c r="R235">
        <f>PERCENTILE($Q$2:$Q$800,0.75)</f>
        <v/>
      </c>
      <c r="S235">
        <f>OR(Q235&gt;=R235,AND(B235="CW",COUNT(J235:L235)&lt;3))</f>
        <v/>
      </c>
      <c r="T235" t="n">
        <v>0.2784427488362475</v>
      </c>
      <c r="U235" t="n">
        <v>9.109280239524756</v>
      </c>
      <c r="V235" t="n">
        <v>0.5230440886999033</v>
      </c>
      <c r="W235">
        <f>Q235-V235</f>
        <v/>
      </c>
    </row>
    <row r="236">
      <c r="A236" t="inlineStr">
        <is>
          <t>2022-04-11</t>
        </is>
      </c>
      <c r="B236" t="inlineStr">
        <is>
          <t>CW</t>
        </is>
      </c>
      <c r="C236" t="n">
        <v>41.16972820505479</v>
      </c>
      <c r="D236">
        <f>SUMPRODUCT(Risk_Inputs!B236:AJ236,Risk_Coefs!$B$2:$AJ$2)</f>
        <v/>
      </c>
      <c r="E236">
        <f>1/(1+EXP(-MAX(-25,MIN(25,D236))))</f>
        <v/>
      </c>
      <c r="F236">
        <f>SUMPRODUCT(Risk_Inputs!B236:AJ236,Risk_Coefs!$B$3:$AJ$3)</f>
        <v/>
      </c>
      <c r="G236">
        <f>MAX(0,F236)</f>
        <v/>
      </c>
      <c r="H236">
        <f>(SUMPRODUCT(--ISNUMBER($E$2:$E$800),--($E$2:$E$800&lt;E236))+(SUMPRODUCT(--ISNUMBER($E$2:$E$800),--($E$2:$E$800=E236))+1)/2)/COUNT($E$2:$E$800)</f>
        <v/>
      </c>
      <c r="I236">
        <f>(SUMPRODUCT(--ISNUMBER($G$2:$G$800),--($G$2:$G$800&lt;G236))+(SUMPRODUCT(--ISNUMBER($G$2:$G$800),--($G$2:$G$800=G236))+1)/2)/COUNT($G$2:$G$800)</f>
        <v/>
      </c>
      <c r="J236" t="n">
        <v>9.91364985664555</v>
      </c>
      <c r="K236" t="n">
        <v>4.264894984997851</v>
      </c>
      <c r="L236" t="n">
        <v>0.2571795970852954</v>
      </c>
      <c r="M236">
        <f>IF(OR(B236="NW",COUNT(Risk_Rank_Keys!B236)=0),0.5,(SUMPRODUCT(--ISNUMBER(Risk_Rank_Keys!$B$2:$B$800),--(Risk_Rank_Keys!$B$2:$B$800&lt;Risk_Rank_Keys!B236))+(SUMPRODUCT(--ISNUMBER(Risk_Rank_Keys!$B$2:$B$800),--(Risk_Rank_Keys!$B$2:$B$800=Risk_Rank_Keys!B236))+1)/2)/COUNT(Risk_Rank_Keys!$B$2:$B$800))</f>
        <v/>
      </c>
      <c r="N236">
        <f>IF(OR(B236="NW",COUNT(Risk_Rank_Keys!C236)=0),0.5,(SUMPRODUCT(--ISNUMBER(Risk_Rank_Keys!$C$2:$C$800),--(Risk_Rank_Keys!$C$2:$C$800&lt;Risk_Rank_Keys!C236))+(SUMPRODUCT(--ISNUMBER(Risk_Rank_Keys!$C$2:$C$800),--(Risk_Rank_Keys!$C$2:$C$800=Risk_Rank_Keys!C236))+1)/2)/COUNT(Risk_Rank_Keys!$C$2:$C$800))</f>
        <v/>
      </c>
      <c r="O236">
        <f>IF(OR(B236="NW",COUNT(Risk_Rank_Keys!D236)=0),0.5,(SUMPRODUCT(--ISNUMBER(Risk_Rank_Keys!$D$2:$D$800),--(Risk_Rank_Keys!$D$2:$D$800&lt;Risk_Rank_Keys!D236))+(SUMPRODUCT(--ISNUMBER(Risk_Rank_Keys!$D$2:$D$800),--(Risk_Rank_Keys!$D$2:$D$800=Risk_Rank_Keys!D236))+1)/2)/COUNT(Risk_Rank_Keys!$D$2:$D$800))</f>
        <v/>
      </c>
      <c r="P236">
        <f>AVERAGE(M236:O236)</f>
        <v/>
      </c>
      <c r="Q236">
        <f>0.4*H236+0.4*I236+0.2*P236</f>
        <v/>
      </c>
      <c r="R236">
        <f>PERCENTILE($Q$2:$Q$800,0.75)</f>
        <v/>
      </c>
      <c r="S236">
        <f>OR(Q236&gt;=R236,AND(B236="CW",COUNT(J236:L236)&lt;3))</f>
        <v/>
      </c>
      <c r="T236" t="n">
        <v>0.2646466726260815</v>
      </c>
      <c r="U236" t="n">
        <v>5.448561006472089</v>
      </c>
      <c r="V236" t="n">
        <v>0.3387245446859714</v>
      </c>
      <c r="W236">
        <f>Q236-V236</f>
        <v/>
      </c>
    </row>
    <row r="237">
      <c r="A237" t="inlineStr">
        <is>
          <t>2022-04-13</t>
        </is>
      </c>
      <c r="B237" t="inlineStr">
        <is>
          <t>NW</t>
        </is>
      </c>
      <c r="C237" t="n">
        <v>-44.57362355198723</v>
      </c>
      <c r="D237">
        <f>SUMPRODUCT(Risk_Inputs!B237:AJ237,Risk_Coefs!$B$2:$AJ$2)</f>
        <v/>
      </c>
      <c r="E237">
        <f>1/(1+EXP(-MAX(-25,MIN(25,D237))))</f>
        <v/>
      </c>
      <c r="F237">
        <f>SUMPRODUCT(Risk_Inputs!B237:AJ237,Risk_Coefs!$B$3:$AJ$3)</f>
        <v/>
      </c>
      <c r="G237">
        <f>MAX(0,F237)</f>
        <v/>
      </c>
      <c r="H237">
        <f>(SUMPRODUCT(--ISNUMBER($E$2:$E$800),--($E$2:$E$800&lt;E237))+(SUMPRODUCT(--ISNUMBER($E$2:$E$800),--($E$2:$E$800=E237))+1)/2)/COUNT($E$2:$E$800)</f>
        <v/>
      </c>
      <c r="I237">
        <f>(SUMPRODUCT(--ISNUMBER($G$2:$G$800),--($G$2:$G$800&lt;G237))+(SUMPRODUCT(--ISNUMBER($G$2:$G$800),--($G$2:$G$800=G237))+1)/2)/COUNT($G$2:$G$800)</f>
        <v/>
      </c>
      <c r="M237">
        <f>IF(OR(B237="NW",COUNT(Risk_Rank_Keys!B237)=0),0.5,(SUMPRODUCT(--ISNUMBER(Risk_Rank_Keys!$B$2:$B$800),--(Risk_Rank_Keys!$B$2:$B$800&lt;Risk_Rank_Keys!B237))+(SUMPRODUCT(--ISNUMBER(Risk_Rank_Keys!$B$2:$B$800),--(Risk_Rank_Keys!$B$2:$B$800=Risk_Rank_Keys!B237))+1)/2)/COUNT(Risk_Rank_Keys!$B$2:$B$800))</f>
        <v/>
      </c>
      <c r="N237">
        <f>IF(OR(B237="NW",COUNT(Risk_Rank_Keys!C237)=0),0.5,(SUMPRODUCT(--ISNUMBER(Risk_Rank_Keys!$C$2:$C$800),--(Risk_Rank_Keys!$C$2:$C$800&lt;Risk_Rank_Keys!C237))+(SUMPRODUCT(--ISNUMBER(Risk_Rank_Keys!$C$2:$C$800),--(Risk_Rank_Keys!$C$2:$C$800=Risk_Rank_Keys!C237))+1)/2)/COUNT(Risk_Rank_Keys!$C$2:$C$800))</f>
        <v/>
      </c>
      <c r="O237">
        <f>IF(OR(B237="NW",COUNT(Risk_Rank_Keys!D237)=0),0.5,(SUMPRODUCT(--ISNUMBER(Risk_Rank_Keys!$D$2:$D$800),--(Risk_Rank_Keys!$D$2:$D$800&lt;Risk_Rank_Keys!D237))+(SUMPRODUCT(--ISNUMBER(Risk_Rank_Keys!$D$2:$D$800),--(Risk_Rank_Keys!$D$2:$D$800=Risk_Rank_Keys!D237))+1)/2)/COUNT(Risk_Rank_Keys!$D$2:$D$800))</f>
        <v/>
      </c>
      <c r="P237">
        <f>AVERAGE(M237:O237)</f>
        <v/>
      </c>
      <c r="Q237">
        <f>0.4*H237+0.4*I237+0.2*P237</f>
        <v/>
      </c>
      <c r="R237">
        <f>PERCENTILE($Q$2:$Q$800,0.75)</f>
        <v/>
      </c>
      <c r="S237">
        <f>OR(Q237&gt;=R237,AND(B237="CW",COUNT(J237:L237)&lt;3))</f>
        <v/>
      </c>
      <c r="T237" t="n">
        <v>0.332321149519401</v>
      </c>
      <c r="U237" t="n">
        <v>9.131401605147634</v>
      </c>
      <c r="V237" t="n">
        <v>0.6772215269086358</v>
      </c>
      <c r="W237">
        <f>Q237-V237</f>
        <v/>
      </c>
    </row>
    <row r="238">
      <c r="A238" t="inlineStr">
        <is>
          <t>2022-04-18</t>
        </is>
      </c>
      <c r="B238" t="inlineStr">
        <is>
          <t>CW</t>
        </is>
      </c>
      <c r="C238" t="n">
        <v>49.81100237513071</v>
      </c>
      <c r="D238">
        <f>SUMPRODUCT(Risk_Inputs!B238:AJ238,Risk_Coefs!$B$2:$AJ$2)</f>
        <v/>
      </c>
      <c r="E238">
        <f>1/(1+EXP(-MAX(-25,MIN(25,D238))))</f>
        <v/>
      </c>
      <c r="F238">
        <f>SUMPRODUCT(Risk_Inputs!B238:AJ238,Risk_Coefs!$B$3:$AJ$3)</f>
        <v/>
      </c>
      <c r="G238">
        <f>MAX(0,F238)</f>
        <v/>
      </c>
      <c r="H238">
        <f>(SUMPRODUCT(--ISNUMBER($E$2:$E$800),--($E$2:$E$800&lt;E238))+(SUMPRODUCT(--ISNUMBER($E$2:$E$800),--($E$2:$E$800=E238))+1)/2)/COUNT($E$2:$E$800)</f>
        <v/>
      </c>
      <c r="I238">
        <f>(SUMPRODUCT(--ISNUMBER($G$2:$G$800),--($G$2:$G$800&lt;G238))+(SUMPRODUCT(--ISNUMBER($G$2:$G$800),--($G$2:$G$800=G238))+1)/2)/COUNT($G$2:$G$800)</f>
        <v/>
      </c>
      <c r="J238" t="n">
        <v>20.21297574442827</v>
      </c>
      <c r="K238" t="n">
        <v>22.98221614227085</v>
      </c>
      <c r="L238" t="n">
        <v>0.3419972640218878</v>
      </c>
      <c r="M238">
        <f>IF(OR(B238="NW",COUNT(Risk_Rank_Keys!B238)=0),0.5,(SUMPRODUCT(--ISNUMBER(Risk_Rank_Keys!$B$2:$B$800),--(Risk_Rank_Keys!$B$2:$B$800&lt;Risk_Rank_Keys!B238))+(SUMPRODUCT(--ISNUMBER(Risk_Rank_Keys!$B$2:$B$800),--(Risk_Rank_Keys!$B$2:$B$800=Risk_Rank_Keys!B238))+1)/2)/COUNT(Risk_Rank_Keys!$B$2:$B$800))</f>
        <v/>
      </c>
      <c r="N238">
        <f>IF(OR(B238="NW",COUNT(Risk_Rank_Keys!C238)=0),0.5,(SUMPRODUCT(--ISNUMBER(Risk_Rank_Keys!$C$2:$C$800),--(Risk_Rank_Keys!$C$2:$C$800&lt;Risk_Rank_Keys!C238))+(SUMPRODUCT(--ISNUMBER(Risk_Rank_Keys!$C$2:$C$800),--(Risk_Rank_Keys!$C$2:$C$800=Risk_Rank_Keys!C238))+1)/2)/COUNT(Risk_Rank_Keys!$C$2:$C$800))</f>
        <v/>
      </c>
      <c r="O238">
        <f>IF(OR(B238="NW",COUNT(Risk_Rank_Keys!D238)=0),0.5,(SUMPRODUCT(--ISNUMBER(Risk_Rank_Keys!$D$2:$D$800),--(Risk_Rank_Keys!$D$2:$D$800&lt;Risk_Rank_Keys!D238))+(SUMPRODUCT(--ISNUMBER(Risk_Rank_Keys!$D$2:$D$800),--(Risk_Rank_Keys!$D$2:$D$800=Risk_Rank_Keys!D238))+1)/2)/COUNT(Risk_Rank_Keys!$D$2:$D$800))</f>
        <v/>
      </c>
      <c r="P238">
        <f>AVERAGE(M238:O238)</f>
        <v/>
      </c>
      <c r="Q238">
        <f>0.4*H238+0.4*I238+0.2*P238</f>
        <v/>
      </c>
      <c r="R238">
        <f>PERCENTILE($Q$2:$Q$800,0.75)</f>
        <v/>
      </c>
      <c r="S238">
        <f>OR(Q238&gt;=R238,AND(B238="CW",COUNT(J238:L238)&lt;3))</f>
        <v/>
      </c>
      <c r="T238" t="n">
        <v>0.1615292170768153</v>
      </c>
      <c r="U238" t="n">
        <v>0.2205320760320415</v>
      </c>
      <c r="V238" t="n">
        <v>0.1886266480241166</v>
      </c>
      <c r="W238">
        <f>Q238-V238</f>
        <v/>
      </c>
    </row>
    <row r="239">
      <c r="A239" t="inlineStr">
        <is>
          <t>2022-04-20</t>
        </is>
      </c>
      <c r="B239" t="inlineStr">
        <is>
          <t>CW</t>
        </is>
      </c>
      <c r="C239" t="n">
        <v>11.97621172717056</v>
      </c>
      <c r="D239">
        <f>SUMPRODUCT(Risk_Inputs!B239:AJ239,Risk_Coefs!$B$2:$AJ$2)</f>
        <v/>
      </c>
      <c r="E239">
        <f>1/(1+EXP(-MAX(-25,MIN(25,D239))))</f>
        <v/>
      </c>
      <c r="F239">
        <f>SUMPRODUCT(Risk_Inputs!B239:AJ239,Risk_Coefs!$B$3:$AJ$3)</f>
        <v/>
      </c>
      <c r="G239">
        <f>MAX(0,F239)</f>
        <v/>
      </c>
      <c r="H239">
        <f>(SUMPRODUCT(--ISNUMBER($E$2:$E$800),--($E$2:$E$800&lt;E239))+(SUMPRODUCT(--ISNUMBER($E$2:$E$800),--($E$2:$E$800=E239))+1)/2)/COUNT($E$2:$E$800)</f>
        <v/>
      </c>
      <c r="I239">
        <f>(SUMPRODUCT(--ISNUMBER($G$2:$G$800),--($G$2:$G$800&lt;G239))+(SUMPRODUCT(--ISNUMBER($G$2:$G$800),--($G$2:$G$800=G239))+1)/2)/COUNT($G$2:$G$800)</f>
        <v/>
      </c>
      <c r="J239" t="n">
        <v>12.69046742731125</v>
      </c>
      <c r="K239" t="n">
        <v>5.938697318007676</v>
      </c>
      <c r="L239" t="n">
        <v>0.2189381499726358</v>
      </c>
      <c r="M239">
        <f>IF(OR(B239="NW",COUNT(Risk_Rank_Keys!B239)=0),0.5,(SUMPRODUCT(--ISNUMBER(Risk_Rank_Keys!$B$2:$B$800),--(Risk_Rank_Keys!$B$2:$B$800&lt;Risk_Rank_Keys!B239))+(SUMPRODUCT(--ISNUMBER(Risk_Rank_Keys!$B$2:$B$800),--(Risk_Rank_Keys!$B$2:$B$800=Risk_Rank_Keys!B239))+1)/2)/COUNT(Risk_Rank_Keys!$B$2:$B$800))</f>
        <v/>
      </c>
      <c r="N239">
        <f>IF(OR(B239="NW",COUNT(Risk_Rank_Keys!C239)=0),0.5,(SUMPRODUCT(--ISNUMBER(Risk_Rank_Keys!$C$2:$C$800),--(Risk_Rank_Keys!$C$2:$C$800&lt;Risk_Rank_Keys!C239))+(SUMPRODUCT(--ISNUMBER(Risk_Rank_Keys!$C$2:$C$800),--(Risk_Rank_Keys!$C$2:$C$800=Risk_Rank_Keys!C239))+1)/2)/COUNT(Risk_Rank_Keys!$C$2:$C$800))</f>
        <v/>
      </c>
      <c r="O239">
        <f>IF(OR(B239="NW",COUNT(Risk_Rank_Keys!D239)=0),0.5,(SUMPRODUCT(--ISNUMBER(Risk_Rank_Keys!$D$2:$D$800),--(Risk_Rank_Keys!$D$2:$D$800&lt;Risk_Rank_Keys!D239))+(SUMPRODUCT(--ISNUMBER(Risk_Rank_Keys!$D$2:$D$800),--(Risk_Rank_Keys!$D$2:$D$800=Risk_Rank_Keys!D239))+1)/2)/COUNT(Risk_Rank_Keys!$D$2:$D$800))</f>
        <v/>
      </c>
      <c r="P239">
        <f>AVERAGE(M239:O239)</f>
        <v/>
      </c>
      <c r="Q239">
        <f>0.4*H239+0.4*I239+0.2*P239</f>
        <v/>
      </c>
      <c r="R239">
        <f>PERCENTILE($Q$2:$Q$800,0.75)</f>
        <v/>
      </c>
      <c r="S239">
        <f>OR(Q239&gt;=R239,AND(B239="CW",COUNT(J239:L239)&lt;3))</f>
        <v/>
      </c>
      <c r="T239" t="n">
        <v>0.2803890013351798</v>
      </c>
      <c r="U239" t="n">
        <v>7.153477102598082</v>
      </c>
      <c r="V239" t="n">
        <v>0.4786139578238489</v>
      </c>
      <c r="W239">
        <f>Q239-V239</f>
        <v/>
      </c>
    </row>
    <row r="240">
      <c r="A240" t="inlineStr">
        <is>
          <t>2022-04-21</t>
        </is>
      </c>
      <c r="B240" t="inlineStr">
        <is>
          <t>NW</t>
        </is>
      </c>
      <c r="C240" t="n">
        <v>-39.2451647936619</v>
      </c>
      <c r="D240">
        <f>SUMPRODUCT(Risk_Inputs!B240:AJ240,Risk_Coefs!$B$2:$AJ$2)</f>
        <v/>
      </c>
      <c r="E240">
        <f>1/(1+EXP(-MAX(-25,MIN(25,D240))))</f>
        <v/>
      </c>
      <c r="F240">
        <f>SUMPRODUCT(Risk_Inputs!B240:AJ240,Risk_Coefs!$B$3:$AJ$3)</f>
        <v/>
      </c>
      <c r="G240">
        <f>MAX(0,F240)</f>
        <v/>
      </c>
      <c r="H240">
        <f>(SUMPRODUCT(--ISNUMBER($E$2:$E$800),--($E$2:$E$800&lt;E240))+(SUMPRODUCT(--ISNUMBER($E$2:$E$800),--($E$2:$E$800=E240))+1)/2)/COUNT($E$2:$E$800)</f>
        <v/>
      </c>
      <c r="I240">
        <f>(SUMPRODUCT(--ISNUMBER($G$2:$G$800),--($G$2:$G$800&lt;G240))+(SUMPRODUCT(--ISNUMBER($G$2:$G$800),--($G$2:$G$800=G240))+1)/2)/COUNT($G$2:$G$800)</f>
        <v/>
      </c>
      <c r="M240">
        <f>IF(OR(B240="NW",COUNT(Risk_Rank_Keys!B240)=0),0.5,(SUMPRODUCT(--ISNUMBER(Risk_Rank_Keys!$B$2:$B$800),--(Risk_Rank_Keys!$B$2:$B$800&lt;Risk_Rank_Keys!B240))+(SUMPRODUCT(--ISNUMBER(Risk_Rank_Keys!$B$2:$B$800),--(Risk_Rank_Keys!$B$2:$B$800=Risk_Rank_Keys!B240))+1)/2)/COUNT(Risk_Rank_Keys!$B$2:$B$800))</f>
        <v/>
      </c>
      <c r="N240">
        <f>IF(OR(B240="NW",COUNT(Risk_Rank_Keys!C240)=0),0.5,(SUMPRODUCT(--ISNUMBER(Risk_Rank_Keys!$C$2:$C$800),--(Risk_Rank_Keys!$C$2:$C$800&lt;Risk_Rank_Keys!C240))+(SUMPRODUCT(--ISNUMBER(Risk_Rank_Keys!$C$2:$C$800),--(Risk_Rank_Keys!$C$2:$C$800=Risk_Rank_Keys!C240))+1)/2)/COUNT(Risk_Rank_Keys!$C$2:$C$800))</f>
        <v/>
      </c>
      <c r="O240">
        <f>IF(OR(B240="NW",COUNT(Risk_Rank_Keys!D240)=0),0.5,(SUMPRODUCT(--ISNUMBER(Risk_Rank_Keys!$D$2:$D$800),--(Risk_Rank_Keys!$D$2:$D$800&lt;Risk_Rank_Keys!D240))+(SUMPRODUCT(--ISNUMBER(Risk_Rank_Keys!$D$2:$D$800),--(Risk_Rank_Keys!$D$2:$D$800=Risk_Rank_Keys!D240))+1)/2)/COUNT(Risk_Rank_Keys!$D$2:$D$800))</f>
        <v/>
      </c>
      <c r="P240">
        <f>AVERAGE(M240:O240)</f>
        <v/>
      </c>
      <c r="Q240">
        <f>0.4*H240+0.4*I240+0.2*P240</f>
        <v/>
      </c>
      <c r="R240">
        <f>PERCENTILE($Q$2:$Q$800,0.75)</f>
        <v/>
      </c>
      <c r="S240">
        <f>OR(Q240&gt;=R240,AND(B240="CW",COUNT(J240:L240)&lt;3))</f>
        <v/>
      </c>
      <c r="T240" t="n">
        <v>0.3779434117888984</v>
      </c>
      <c r="U240" t="n">
        <v>11.19272436660485</v>
      </c>
      <c r="V240" t="n">
        <v>0.8143929912390488</v>
      </c>
      <c r="W240">
        <f>Q240-V240</f>
        <v/>
      </c>
    </row>
    <row r="241">
      <c r="A241" t="inlineStr">
        <is>
          <t>2022-04-22</t>
        </is>
      </c>
      <c r="B241" t="inlineStr">
        <is>
          <t>CW</t>
        </is>
      </c>
      <c r="C241" t="n">
        <v>18.68226098800891</v>
      </c>
      <c r="D241">
        <f>SUMPRODUCT(Risk_Inputs!B241:AJ241,Risk_Coefs!$B$2:$AJ$2)</f>
        <v/>
      </c>
      <c r="E241">
        <f>1/(1+EXP(-MAX(-25,MIN(25,D241))))</f>
        <v/>
      </c>
      <c r="F241">
        <f>SUMPRODUCT(Risk_Inputs!B241:AJ241,Risk_Coefs!$B$3:$AJ$3)</f>
        <v/>
      </c>
      <c r="G241">
        <f>MAX(0,F241)</f>
        <v/>
      </c>
      <c r="H241">
        <f>(SUMPRODUCT(--ISNUMBER($E$2:$E$800),--($E$2:$E$800&lt;E241))+(SUMPRODUCT(--ISNUMBER($E$2:$E$800),--($E$2:$E$800=E241))+1)/2)/COUNT($E$2:$E$800)</f>
        <v/>
      </c>
      <c r="I241">
        <f>(SUMPRODUCT(--ISNUMBER($G$2:$G$800),--($G$2:$G$800&lt;G241))+(SUMPRODUCT(--ISNUMBER($G$2:$G$800),--($G$2:$G$800=G241))+1)/2)/COUNT($G$2:$G$800)</f>
        <v/>
      </c>
      <c r="J241" t="n">
        <v>4.500698334160881</v>
      </c>
      <c r="K241" t="n">
        <v>2.696196437168986</v>
      </c>
      <c r="L241" t="n">
        <v>0.1283903065318495</v>
      </c>
      <c r="M241">
        <f>IF(OR(B241="NW",COUNT(Risk_Rank_Keys!B241)=0),0.5,(SUMPRODUCT(--ISNUMBER(Risk_Rank_Keys!$B$2:$B$800),--(Risk_Rank_Keys!$B$2:$B$800&lt;Risk_Rank_Keys!B241))+(SUMPRODUCT(--ISNUMBER(Risk_Rank_Keys!$B$2:$B$800),--(Risk_Rank_Keys!$B$2:$B$800=Risk_Rank_Keys!B241))+1)/2)/COUNT(Risk_Rank_Keys!$B$2:$B$800))</f>
        <v/>
      </c>
      <c r="N241">
        <f>IF(OR(B241="NW",COUNT(Risk_Rank_Keys!C241)=0),0.5,(SUMPRODUCT(--ISNUMBER(Risk_Rank_Keys!$C$2:$C$800),--(Risk_Rank_Keys!$C$2:$C$800&lt;Risk_Rank_Keys!C241))+(SUMPRODUCT(--ISNUMBER(Risk_Rank_Keys!$C$2:$C$800),--(Risk_Rank_Keys!$C$2:$C$800=Risk_Rank_Keys!C241))+1)/2)/COUNT(Risk_Rank_Keys!$C$2:$C$800))</f>
        <v/>
      </c>
      <c r="O241">
        <f>IF(OR(B241="NW",COUNT(Risk_Rank_Keys!D241)=0),0.5,(SUMPRODUCT(--ISNUMBER(Risk_Rank_Keys!$D$2:$D$800),--(Risk_Rank_Keys!$D$2:$D$800&lt;Risk_Rank_Keys!D241))+(SUMPRODUCT(--ISNUMBER(Risk_Rank_Keys!$D$2:$D$800),--(Risk_Rank_Keys!$D$2:$D$800=Risk_Rank_Keys!D241))+1)/2)/COUNT(Risk_Rank_Keys!$D$2:$D$800))</f>
        <v/>
      </c>
      <c r="P241">
        <f>AVERAGE(M241:O241)</f>
        <v/>
      </c>
      <c r="Q241">
        <f>0.4*H241+0.4*I241+0.2*P241</f>
        <v/>
      </c>
      <c r="R241">
        <f>PERCENTILE($Q$2:$Q$800,0.75)</f>
        <v/>
      </c>
      <c r="S241">
        <f>OR(Q241&gt;=R241,AND(B241="CW",COUNT(J241:L241)&lt;3))</f>
        <v/>
      </c>
      <c r="T241" t="n">
        <v>0.2722312892926765</v>
      </c>
      <c r="U241" t="n">
        <v>5.563815073855481</v>
      </c>
      <c r="V241" t="n">
        <v>0.2852665087519325</v>
      </c>
      <c r="W241">
        <f>Q241-V241</f>
        <v/>
      </c>
    </row>
    <row r="242">
      <c r="A242" t="inlineStr">
        <is>
          <t>2022-04-25</t>
        </is>
      </c>
      <c r="B242" t="inlineStr">
        <is>
          <t>CW</t>
        </is>
      </c>
      <c r="C242" t="n">
        <v>-7.423701989551178</v>
      </c>
      <c r="D242">
        <f>SUMPRODUCT(Risk_Inputs!B242:AJ242,Risk_Coefs!$B$2:$AJ$2)</f>
        <v/>
      </c>
      <c r="E242">
        <f>1/(1+EXP(-MAX(-25,MIN(25,D242))))</f>
        <v/>
      </c>
      <c r="F242">
        <f>SUMPRODUCT(Risk_Inputs!B242:AJ242,Risk_Coefs!$B$3:$AJ$3)</f>
        <v/>
      </c>
      <c r="G242">
        <f>MAX(0,F242)</f>
        <v/>
      </c>
      <c r="H242">
        <f>(SUMPRODUCT(--ISNUMBER($E$2:$E$800),--($E$2:$E$800&lt;E242))+(SUMPRODUCT(--ISNUMBER($E$2:$E$800),--($E$2:$E$800=E242))+1)/2)/COUNT($E$2:$E$800)</f>
        <v/>
      </c>
      <c r="I242">
        <f>(SUMPRODUCT(--ISNUMBER($G$2:$G$800),--($G$2:$G$800&lt;G242))+(SUMPRODUCT(--ISNUMBER($G$2:$G$800),--($G$2:$G$800=G242))+1)/2)/COUNT($G$2:$G$800)</f>
        <v/>
      </c>
      <c r="J242" t="n">
        <v>9.613966793476228</v>
      </c>
      <c r="K242" t="n">
        <v>1.218686526743387</v>
      </c>
      <c r="L242" t="n">
        <v>0.2031144211238882</v>
      </c>
      <c r="M242">
        <f>IF(OR(B242="NW",COUNT(Risk_Rank_Keys!B242)=0),0.5,(SUMPRODUCT(--ISNUMBER(Risk_Rank_Keys!$B$2:$B$800),--(Risk_Rank_Keys!$B$2:$B$800&lt;Risk_Rank_Keys!B242))+(SUMPRODUCT(--ISNUMBER(Risk_Rank_Keys!$B$2:$B$800),--(Risk_Rank_Keys!$B$2:$B$800=Risk_Rank_Keys!B242))+1)/2)/COUNT(Risk_Rank_Keys!$B$2:$B$800))</f>
        <v/>
      </c>
      <c r="N242">
        <f>IF(OR(B242="NW",COUNT(Risk_Rank_Keys!C242)=0),0.5,(SUMPRODUCT(--ISNUMBER(Risk_Rank_Keys!$C$2:$C$800),--(Risk_Rank_Keys!$C$2:$C$800&lt;Risk_Rank_Keys!C242))+(SUMPRODUCT(--ISNUMBER(Risk_Rank_Keys!$C$2:$C$800),--(Risk_Rank_Keys!$C$2:$C$800=Risk_Rank_Keys!C242))+1)/2)/COUNT(Risk_Rank_Keys!$C$2:$C$800))</f>
        <v/>
      </c>
      <c r="O242">
        <f>IF(OR(B242="NW",COUNT(Risk_Rank_Keys!D242)=0),0.5,(SUMPRODUCT(--ISNUMBER(Risk_Rank_Keys!$D$2:$D$800),--(Risk_Rank_Keys!$D$2:$D$800&lt;Risk_Rank_Keys!D242))+(SUMPRODUCT(--ISNUMBER(Risk_Rank_Keys!$D$2:$D$800),--(Risk_Rank_Keys!$D$2:$D$800=Risk_Rank_Keys!D242))+1)/2)/COUNT(Risk_Rank_Keys!$D$2:$D$800))</f>
        <v/>
      </c>
      <c r="P242">
        <f>AVERAGE(M242:O242)</f>
        <v/>
      </c>
      <c r="Q242">
        <f>0.4*H242+0.4*I242+0.2*P242</f>
        <v/>
      </c>
      <c r="R242">
        <f>PERCENTILE($Q$2:$Q$800,0.75)</f>
        <v/>
      </c>
      <c r="S242">
        <f>OR(Q242&gt;=R242,AND(B242="CW",COUNT(J242:L242)&lt;3))</f>
        <v/>
      </c>
      <c r="T242" t="n">
        <v>0.4078523963308455</v>
      </c>
      <c r="U242" t="n">
        <v>9.377643905808897</v>
      </c>
      <c r="V242" t="n">
        <v>0.7287508967799707</v>
      </c>
      <c r="W242">
        <f>Q242-V242</f>
        <v/>
      </c>
    </row>
    <row r="243">
      <c r="A243" t="inlineStr">
        <is>
          <t>2022-04-27</t>
        </is>
      </c>
      <c r="B243" t="inlineStr">
        <is>
          <t>CW</t>
        </is>
      </c>
      <c r="C243" t="n">
        <v>-0.4181839668160624</v>
      </c>
      <c r="D243">
        <f>SUMPRODUCT(Risk_Inputs!B243:AJ243,Risk_Coefs!$B$2:$AJ$2)</f>
        <v/>
      </c>
      <c r="E243">
        <f>1/(1+EXP(-MAX(-25,MIN(25,D243))))</f>
        <v/>
      </c>
      <c r="F243">
        <f>SUMPRODUCT(Risk_Inputs!B243:AJ243,Risk_Coefs!$B$3:$AJ$3)</f>
        <v/>
      </c>
      <c r="G243">
        <f>MAX(0,F243)</f>
        <v/>
      </c>
      <c r="H243">
        <f>(SUMPRODUCT(--ISNUMBER($E$2:$E$800),--($E$2:$E$800&lt;E243))+(SUMPRODUCT(--ISNUMBER($E$2:$E$800),--($E$2:$E$800=E243))+1)/2)/COUNT($E$2:$E$800)</f>
        <v/>
      </c>
      <c r="I243">
        <f>(SUMPRODUCT(--ISNUMBER($G$2:$G$800),--($G$2:$G$800&lt;G243))+(SUMPRODUCT(--ISNUMBER($G$2:$G$800),--($G$2:$G$800=G243))+1)/2)/COUNT($G$2:$G$800)</f>
        <v/>
      </c>
      <c r="J243" t="n">
        <v>11.36866409406776</v>
      </c>
      <c r="K243" t="n">
        <v>3.072702331961588</v>
      </c>
      <c r="L243" t="n">
        <v>0.2469135802469151</v>
      </c>
      <c r="M243">
        <f>IF(OR(B243="NW",COUNT(Risk_Rank_Keys!B243)=0),0.5,(SUMPRODUCT(--ISNUMBER(Risk_Rank_Keys!$B$2:$B$800),--(Risk_Rank_Keys!$B$2:$B$800&lt;Risk_Rank_Keys!B243))+(SUMPRODUCT(--ISNUMBER(Risk_Rank_Keys!$B$2:$B$800),--(Risk_Rank_Keys!$B$2:$B$800=Risk_Rank_Keys!B243))+1)/2)/COUNT(Risk_Rank_Keys!$B$2:$B$800))</f>
        <v/>
      </c>
      <c r="N243">
        <f>IF(OR(B243="NW",COUNT(Risk_Rank_Keys!C243)=0),0.5,(SUMPRODUCT(--ISNUMBER(Risk_Rank_Keys!$C$2:$C$800),--(Risk_Rank_Keys!$C$2:$C$800&lt;Risk_Rank_Keys!C243))+(SUMPRODUCT(--ISNUMBER(Risk_Rank_Keys!$C$2:$C$800),--(Risk_Rank_Keys!$C$2:$C$800=Risk_Rank_Keys!C243))+1)/2)/COUNT(Risk_Rank_Keys!$C$2:$C$800))</f>
        <v/>
      </c>
      <c r="O243">
        <f>IF(OR(B243="NW",COUNT(Risk_Rank_Keys!D243)=0),0.5,(SUMPRODUCT(--ISNUMBER(Risk_Rank_Keys!$D$2:$D$800),--(Risk_Rank_Keys!$D$2:$D$800&lt;Risk_Rank_Keys!D243))+(SUMPRODUCT(--ISNUMBER(Risk_Rank_Keys!$D$2:$D$800),--(Risk_Rank_Keys!$D$2:$D$800=Risk_Rank_Keys!D243))+1)/2)/COUNT(Risk_Rank_Keys!$D$2:$D$800))</f>
        <v/>
      </c>
      <c r="P243">
        <f>AVERAGE(M243:O243)</f>
        <v/>
      </c>
      <c r="Q243">
        <f>0.4*H243+0.4*I243+0.2*P243</f>
        <v/>
      </c>
      <c r="R243">
        <f>PERCENTILE($Q$2:$Q$800,0.75)</f>
        <v/>
      </c>
      <c r="S243">
        <f>OR(Q243&gt;=R243,AND(B243="CW",COUNT(J243:L243)&lt;3))</f>
        <v/>
      </c>
      <c r="T243" t="n">
        <v>0.2732614649854158</v>
      </c>
      <c r="U243" t="n">
        <v>5.48239784070282</v>
      </c>
      <c r="V243" t="n">
        <v>0.3495088293188429</v>
      </c>
      <c r="W243">
        <f>Q243-V243</f>
        <v/>
      </c>
    </row>
    <row r="244">
      <c r="A244" t="inlineStr">
        <is>
          <t>2022-04-28</t>
        </is>
      </c>
      <c r="B244" t="inlineStr">
        <is>
          <t>NW</t>
        </is>
      </c>
      <c r="C244" t="n">
        <v>14.72366781161906</v>
      </c>
      <c r="D244">
        <f>SUMPRODUCT(Risk_Inputs!B244:AJ244,Risk_Coefs!$B$2:$AJ$2)</f>
        <v/>
      </c>
      <c r="E244">
        <f>1/(1+EXP(-MAX(-25,MIN(25,D244))))</f>
        <v/>
      </c>
      <c r="F244">
        <f>SUMPRODUCT(Risk_Inputs!B244:AJ244,Risk_Coefs!$B$3:$AJ$3)</f>
        <v/>
      </c>
      <c r="G244">
        <f>MAX(0,F244)</f>
        <v/>
      </c>
      <c r="H244">
        <f>(SUMPRODUCT(--ISNUMBER($E$2:$E$800),--($E$2:$E$800&lt;E244))+(SUMPRODUCT(--ISNUMBER($E$2:$E$800),--($E$2:$E$800=E244))+1)/2)/COUNT($E$2:$E$800)</f>
        <v/>
      </c>
      <c r="I244">
        <f>(SUMPRODUCT(--ISNUMBER($G$2:$G$800),--($G$2:$G$800&lt;G244))+(SUMPRODUCT(--ISNUMBER($G$2:$G$800),--($G$2:$G$800=G244))+1)/2)/COUNT($G$2:$G$800)</f>
        <v/>
      </c>
      <c r="M244">
        <f>IF(OR(B244="NW",COUNT(Risk_Rank_Keys!B244)=0),0.5,(SUMPRODUCT(--ISNUMBER(Risk_Rank_Keys!$B$2:$B$800),--(Risk_Rank_Keys!$B$2:$B$800&lt;Risk_Rank_Keys!B244))+(SUMPRODUCT(--ISNUMBER(Risk_Rank_Keys!$B$2:$B$800),--(Risk_Rank_Keys!$B$2:$B$800=Risk_Rank_Keys!B244))+1)/2)/COUNT(Risk_Rank_Keys!$B$2:$B$800))</f>
        <v/>
      </c>
      <c r="N244">
        <f>IF(OR(B244="NW",COUNT(Risk_Rank_Keys!C244)=0),0.5,(SUMPRODUCT(--ISNUMBER(Risk_Rank_Keys!$C$2:$C$800),--(Risk_Rank_Keys!$C$2:$C$800&lt;Risk_Rank_Keys!C244))+(SUMPRODUCT(--ISNUMBER(Risk_Rank_Keys!$C$2:$C$800),--(Risk_Rank_Keys!$C$2:$C$800=Risk_Rank_Keys!C244))+1)/2)/COUNT(Risk_Rank_Keys!$C$2:$C$800))</f>
        <v/>
      </c>
      <c r="O244">
        <f>IF(OR(B244="NW",COUNT(Risk_Rank_Keys!D244)=0),0.5,(SUMPRODUCT(--ISNUMBER(Risk_Rank_Keys!$D$2:$D$800),--(Risk_Rank_Keys!$D$2:$D$800&lt;Risk_Rank_Keys!D244))+(SUMPRODUCT(--ISNUMBER(Risk_Rank_Keys!$D$2:$D$800),--(Risk_Rank_Keys!$D$2:$D$800=Risk_Rank_Keys!D244))+1)/2)/COUNT(Risk_Rank_Keys!$D$2:$D$800))</f>
        <v/>
      </c>
      <c r="P244">
        <f>AVERAGE(M244:O244)</f>
        <v/>
      </c>
      <c r="Q244">
        <f>0.4*H244+0.4*I244+0.2*P244</f>
        <v/>
      </c>
      <c r="R244">
        <f>PERCENTILE($Q$2:$Q$800,0.75)</f>
        <v/>
      </c>
      <c r="S244">
        <f>OR(Q244&gt;=R244,AND(B244="CW",COUNT(J244:L244)&lt;3))</f>
        <v/>
      </c>
      <c r="T244" t="n">
        <v>0.3859600050177164</v>
      </c>
      <c r="U244" t="n">
        <v>12.39516015039684</v>
      </c>
      <c r="V244" t="n">
        <v>0.8424280350438048</v>
      </c>
      <c r="W244">
        <f>Q244-V244</f>
        <v/>
      </c>
    </row>
    <row r="245">
      <c r="A245" t="inlineStr">
        <is>
          <t>2022-05-02</t>
        </is>
      </c>
      <c r="B245" t="inlineStr">
        <is>
          <t>CW</t>
        </is>
      </c>
      <c r="C245" t="n">
        <v>30.99821582497932</v>
      </c>
      <c r="D245">
        <f>SUMPRODUCT(Risk_Inputs!B245:AJ245,Risk_Coefs!$B$2:$AJ$2)</f>
        <v/>
      </c>
      <c r="E245">
        <f>1/(1+EXP(-MAX(-25,MIN(25,D245))))</f>
        <v/>
      </c>
      <c r="F245">
        <f>SUMPRODUCT(Risk_Inputs!B245:AJ245,Risk_Coefs!$B$3:$AJ$3)</f>
        <v/>
      </c>
      <c r="G245">
        <f>MAX(0,F245)</f>
        <v/>
      </c>
      <c r="H245">
        <f>(SUMPRODUCT(--ISNUMBER($E$2:$E$800),--($E$2:$E$800&lt;E245))+(SUMPRODUCT(--ISNUMBER($E$2:$E$800),--($E$2:$E$800=E245))+1)/2)/COUNT($E$2:$E$800)</f>
        <v/>
      </c>
      <c r="I245">
        <f>(SUMPRODUCT(--ISNUMBER($G$2:$G$800),--($G$2:$G$800&lt;G245))+(SUMPRODUCT(--ISNUMBER($G$2:$G$800),--($G$2:$G$800=G245))+1)/2)/COUNT($G$2:$G$800)</f>
        <v/>
      </c>
      <c r="J245" t="n">
        <v>15.54876256539929</v>
      </c>
      <c r="K245" t="n">
        <v>1.66666666666667</v>
      </c>
      <c r="L245" t="n">
        <v>0.1909722222222261</v>
      </c>
      <c r="M245">
        <f>IF(OR(B245="NW",COUNT(Risk_Rank_Keys!B245)=0),0.5,(SUMPRODUCT(--ISNUMBER(Risk_Rank_Keys!$B$2:$B$800),--(Risk_Rank_Keys!$B$2:$B$800&lt;Risk_Rank_Keys!B245))+(SUMPRODUCT(--ISNUMBER(Risk_Rank_Keys!$B$2:$B$800),--(Risk_Rank_Keys!$B$2:$B$800=Risk_Rank_Keys!B245))+1)/2)/COUNT(Risk_Rank_Keys!$B$2:$B$800))</f>
        <v/>
      </c>
      <c r="N245">
        <f>IF(OR(B245="NW",COUNT(Risk_Rank_Keys!C245)=0),0.5,(SUMPRODUCT(--ISNUMBER(Risk_Rank_Keys!$C$2:$C$800),--(Risk_Rank_Keys!$C$2:$C$800&lt;Risk_Rank_Keys!C245))+(SUMPRODUCT(--ISNUMBER(Risk_Rank_Keys!$C$2:$C$800),--(Risk_Rank_Keys!$C$2:$C$800=Risk_Rank_Keys!C245))+1)/2)/COUNT(Risk_Rank_Keys!$C$2:$C$800))</f>
        <v/>
      </c>
      <c r="O245">
        <f>IF(OR(B245="NW",COUNT(Risk_Rank_Keys!D245)=0),0.5,(SUMPRODUCT(--ISNUMBER(Risk_Rank_Keys!$D$2:$D$800),--(Risk_Rank_Keys!$D$2:$D$800&lt;Risk_Rank_Keys!D245))+(SUMPRODUCT(--ISNUMBER(Risk_Rank_Keys!$D$2:$D$800),--(Risk_Rank_Keys!$D$2:$D$800=Risk_Rank_Keys!D245))+1)/2)/COUNT(Risk_Rank_Keys!$D$2:$D$800))</f>
        <v/>
      </c>
      <c r="P245">
        <f>AVERAGE(M245:O245)</f>
        <v/>
      </c>
      <c r="Q245">
        <f>0.4*H245+0.4*I245+0.2*P245</f>
        <v/>
      </c>
      <c r="R245">
        <f>PERCENTILE($Q$2:$Q$800,0.75)</f>
        <v/>
      </c>
      <c r="S245">
        <f>OR(Q245&gt;=R245,AND(B245="CW",COUNT(J245:L245)&lt;3))</f>
        <v/>
      </c>
      <c r="T245" t="n">
        <v>0.370755715708756</v>
      </c>
      <c r="U245" t="n">
        <v>9.125965923897979</v>
      </c>
      <c r="V245" t="n">
        <v>0.7054587644132106</v>
      </c>
      <c r="W245">
        <f>Q245-V245</f>
        <v/>
      </c>
    </row>
    <row r="246">
      <c r="A246" t="inlineStr">
        <is>
          <t>2022-05-04</t>
        </is>
      </c>
      <c r="B246" t="inlineStr">
        <is>
          <t>NW</t>
        </is>
      </c>
      <c r="C246" t="n">
        <v>-40.83792595021766</v>
      </c>
      <c r="D246">
        <f>SUMPRODUCT(Risk_Inputs!B246:AJ246,Risk_Coefs!$B$2:$AJ$2)</f>
        <v/>
      </c>
      <c r="E246">
        <f>1/(1+EXP(-MAX(-25,MIN(25,D246))))</f>
        <v/>
      </c>
      <c r="F246">
        <f>SUMPRODUCT(Risk_Inputs!B246:AJ246,Risk_Coefs!$B$3:$AJ$3)</f>
        <v/>
      </c>
      <c r="G246">
        <f>MAX(0,F246)</f>
        <v/>
      </c>
      <c r="H246">
        <f>(SUMPRODUCT(--ISNUMBER($E$2:$E$800),--($E$2:$E$800&lt;E246))+(SUMPRODUCT(--ISNUMBER($E$2:$E$800),--($E$2:$E$800=E246))+1)/2)/COUNT($E$2:$E$800)</f>
        <v/>
      </c>
      <c r="I246">
        <f>(SUMPRODUCT(--ISNUMBER($G$2:$G$800),--($G$2:$G$800&lt;G246))+(SUMPRODUCT(--ISNUMBER($G$2:$G$800),--($G$2:$G$800=G246))+1)/2)/COUNT($G$2:$G$800)</f>
        <v/>
      </c>
      <c r="M246">
        <f>IF(OR(B246="NW",COUNT(Risk_Rank_Keys!B246)=0),0.5,(SUMPRODUCT(--ISNUMBER(Risk_Rank_Keys!$B$2:$B$800),--(Risk_Rank_Keys!$B$2:$B$800&lt;Risk_Rank_Keys!B246))+(SUMPRODUCT(--ISNUMBER(Risk_Rank_Keys!$B$2:$B$800),--(Risk_Rank_Keys!$B$2:$B$800=Risk_Rank_Keys!B246))+1)/2)/COUNT(Risk_Rank_Keys!$B$2:$B$800))</f>
        <v/>
      </c>
      <c r="N246">
        <f>IF(OR(B246="NW",COUNT(Risk_Rank_Keys!C246)=0),0.5,(SUMPRODUCT(--ISNUMBER(Risk_Rank_Keys!$C$2:$C$800),--(Risk_Rank_Keys!$C$2:$C$800&lt;Risk_Rank_Keys!C246))+(SUMPRODUCT(--ISNUMBER(Risk_Rank_Keys!$C$2:$C$800),--(Risk_Rank_Keys!$C$2:$C$800=Risk_Rank_Keys!C246))+1)/2)/COUNT(Risk_Rank_Keys!$C$2:$C$800))</f>
        <v/>
      </c>
      <c r="O246">
        <f>IF(OR(B246="NW",COUNT(Risk_Rank_Keys!D246)=0),0.5,(SUMPRODUCT(--ISNUMBER(Risk_Rank_Keys!$D$2:$D$800),--(Risk_Rank_Keys!$D$2:$D$800&lt;Risk_Rank_Keys!D246))+(SUMPRODUCT(--ISNUMBER(Risk_Rank_Keys!$D$2:$D$800),--(Risk_Rank_Keys!$D$2:$D$800=Risk_Rank_Keys!D246))+1)/2)/COUNT(Risk_Rank_Keys!$D$2:$D$800))</f>
        <v/>
      </c>
      <c r="P246">
        <f>AVERAGE(M246:O246)</f>
        <v/>
      </c>
      <c r="Q246">
        <f>0.4*H246+0.4*I246+0.2*P246</f>
        <v/>
      </c>
      <c r="R246">
        <f>PERCENTILE($Q$2:$Q$800,0.75)</f>
        <v/>
      </c>
      <c r="S246">
        <f>OR(Q246&gt;=R246,AND(B246="CW",COUNT(J246:L246)&lt;3))</f>
        <v/>
      </c>
      <c r="T246" t="n">
        <v>0.4008460874980216</v>
      </c>
      <c r="U246" t="n">
        <v>13.22871653081366</v>
      </c>
      <c r="V246" t="n">
        <v>0.8624530663329162</v>
      </c>
      <c r="W246">
        <f>Q246-V246</f>
        <v/>
      </c>
    </row>
    <row r="247">
      <c r="A247" t="inlineStr">
        <is>
          <t>2022-05-05</t>
        </is>
      </c>
      <c r="B247" t="inlineStr">
        <is>
          <t>CW</t>
        </is>
      </c>
      <c r="C247" t="n">
        <v>-14.69397411478143</v>
      </c>
      <c r="D247">
        <f>SUMPRODUCT(Risk_Inputs!B247:AJ247,Risk_Coefs!$B$2:$AJ$2)</f>
        <v/>
      </c>
      <c r="E247">
        <f>1/(1+EXP(-MAX(-25,MIN(25,D247))))</f>
        <v/>
      </c>
      <c r="F247">
        <f>SUMPRODUCT(Risk_Inputs!B247:AJ247,Risk_Coefs!$B$3:$AJ$3)</f>
        <v/>
      </c>
      <c r="G247">
        <f>MAX(0,F247)</f>
        <v/>
      </c>
      <c r="H247">
        <f>(SUMPRODUCT(--ISNUMBER($E$2:$E$800),--($E$2:$E$800&lt;E247))+(SUMPRODUCT(--ISNUMBER($E$2:$E$800),--($E$2:$E$800=E247))+1)/2)/COUNT($E$2:$E$800)</f>
        <v/>
      </c>
      <c r="I247">
        <f>(SUMPRODUCT(--ISNUMBER($G$2:$G$800),--($G$2:$G$800&lt;G247))+(SUMPRODUCT(--ISNUMBER($G$2:$G$800),--($G$2:$G$800=G247))+1)/2)/COUNT($G$2:$G$800)</f>
        <v/>
      </c>
      <c r="J247" t="n">
        <v>5.853635345259621</v>
      </c>
      <c r="K247" t="n">
        <v>4.337251722740177</v>
      </c>
      <c r="L247" t="n">
        <v>0.2026753141467369</v>
      </c>
      <c r="M247">
        <f>IF(OR(B247="NW",COUNT(Risk_Rank_Keys!B247)=0),0.5,(SUMPRODUCT(--ISNUMBER(Risk_Rank_Keys!$B$2:$B$800),--(Risk_Rank_Keys!$B$2:$B$800&lt;Risk_Rank_Keys!B247))+(SUMPRODUCT(--ISNUMBER(Risk_Rank_Keys!$B$2:$B$800),--(Risk_Rank_Keys!$B$2:$B$800=Risk_Rank_Keys!B247))+1)/2)/COUNT(Risk_Rank_Keys!$B$2:$B$800))</f>
        <v/>
      </c>
      <c r="N247">
        <f>IF(OR(B247="NW",COUNT(Risk_Rank_Keys!C247)=0),0.5,(SUMPRODUCT(--ISNUMBER(Risk_Rank_Keys!$C$2:$C$800),--(Risk_Rank_Keys!$C$2:$C$800&lt;Risk_Rank_Keys!C247))+(SUMPRODUCT(--ISNUMBER(Risk_Rank_Keys!$C$2:$C$800),--(Risk_Rank_Keys!$C$2:$C$800=Risk_Rank_Keys!C247))+1)/2)/COUNT(Risk_Rank_Keys!$C$2:$C$800))</f>
        <v/>
      </c>
      <c r="O247">
        <f>IF(OR(B247="NW",COUNT(Risk_Rank_Keys!D247)=0),0.5,(SUMPRODUCT(--ISNUMBER(Risk_Rank_Keys!$D$2:$D$800),--(Risk_Rank_Keys!$D$2:$D$800&lt;Risk_Rank_Keys!D247))+(SUMPRODUCT(--ISNUMBER(Risk_Rank_Keys!$D$2:$D$800),--(Risk_Rank_Keys!$D$2:$D$800=Risk_Rank_Keys!D247))+1)/2)/COUNT(Risk_Rank_Keys!$D$2:$D$800))</f>
        <v/>
      </c>
      <c r="P247">
        <f>AVERAGE(M247:O247)</f>
        <v/>
      </c>
      <c r="Q247">
        <f>0.4*H247+0.4*I247+0.2*P247</f>
        <v/>
      </c>
      <c r="R247">
        <f>PERCENTILE($Q$2:$Q$800,0.75)</f>
        <v/>
      </c>
      <c r="S247">
        <f>OR(Q247&gt;=R247,AND(B247="CW",COUNT(J247:L247)&lt;3))</f>
        <v/>
      </c>
      <c r="T247" t="n">
        <v>0.322683506861071</v>
      </c>
      <c r="U247" t="n">
        <v>9.221083148348749</v>
      </c>
      <c r="V247" t="n">
        <v>0.6355786434577393</v>
      </c>
      <c r="W247">
        <f>Q247-V247</f>
        <v/>
      </c>
    </row>
    <row r="248">
      <c r="A248" t="inlineStr">
        <is>
          <t>2022-05-06</t>
        </is>
      </c>
      <c r="B248" t="inlineStr">
        <is>
          <t>CW</t>
        </is>
      </c>
      <c r="C248" t="n">
        <v>33.02904180243426</v>
      </c>
      <c r="D248">
        <f>SUMPRODUCT(Risk_Inputs!B248:AJ248,Risk_Coefs!$B$2:$AJ$2)</f>
        <v/>
      </c>
      <c r="E248">
        <f>1/(1+EXP(-MAX(-25,MIN(25,D248))))</f>
        <v/>
      </c>
      <c r="F248">
        <f>SUMPRODUCT(Risk_Inputs!B248:AJ248,Risk_Coefs!$B$3:$AJ$3)</f>
        <v/>
      </c>
      <c r="G248">
        <f>MAX(0,F248)</f>
        <v/>
      </c>
      <c r="H248">
        <f>(SUMPRODUCT(--ISNUMBER($E$2:$E$800),--($E$2:$E$800&lt;E248))+(SUMPRODUCT(--ISNUMBER($E$2:$E$800),--($E$2:$E$800=E248))+1)/2)/COUNT($E$2:$E$800)</f>
        <v/>
      </c>
      <c r="I248">
        <f>(SUMPRODUCT(--ISNUMBER($G$2:$G$800),--($G$2:$G$800&lt;G248))+(SUMPRODUCT(--ISNUMBER($G$2:$G$800),--($G$2:$G$800=G248))+1)/2)/COUNT($G$2:$G$800)</f>
        <v/>
      </c>
      <c r="J248" t="n">
        <v>18.80793652245349</v>
      </c>
      <c r="K248" t="n">
        <v>4.24474187380498</v>
      </c>
      <c r="L248" t="n">
        <v>0.178457616316122</v>
      </c>
      <c r="M248">
        <f>IF(OR(B248="NW",COUNT(Risk_Rank_Keys!B248)=0),0.5,(SUMPRODUCT(--ISNUMBER(Risk_Rank_Keys!$B$2:$B$800),--(Risk_Rank_Keys!$B$2:$B$800&lt;Risk_Rank_Keys!B248))+(SUMPRODUCT(--ISNUMBER(Risk_Rank_Keys!$B$2:$B$800),--(Risk_Rank_Keys!$B$2:$B$800=Risk_Rank_Keys!B248))+1)/2)/COUNT(Risk_Rank_Keys!$B$2:$B$800))</f>
        <v/>
      </c>
      <c r="N248">
        <f>IF(OR(B248="NW",COUNT(Risk_Rank_Keys!C248)=0),0.5,(SUMPRODUCT(--ISNUMBER(Risk_Rank_Keys!$C$2:$C$800),--(Risk_Rank_Keys!$C$2:$C$800&lt;Risk_Rank_Keys!C248))+(SUMPRODUCT(--ISNUMBER(Risk_Rank_Keys!$C$2:$C$800),--(Risk_Rank_Keys!$C$2:$C$800=Risk_Rank_Keys!C248))+1)/2)/COUNT(Risk_Rank_Keys!$C$2:$C$800))</f>
        <v/>
      </c>
      <c r="O248">
        <f>IF(OR(B248="NW",COUNT(Risk_Rank_Keys!D248)=0),0.5,(SUMPRODUCT(--ISNUMBER(Risk_Rank_Keys!$D$2:$D$800),--(Risk_Rank_Keys!$D$2:$D$800&lt;Risk_Rank_Keys!D248))+(SUMPRODUCT(--ISNUMBER(Risk_Rank_Keys!$D$2:$D$800),--(Risk_Rank_Keys!$D$2:$D$800=Risk_Rank_Keys!D248))+1)/2)/COUNT(Risk_Rank_Keys!$D$2:$D$800))</f>
        <v/>
      </c>
      <c r="P248">
        <f>AVERAGE(M248:O248)</f>
        <v/>
      </c>
      <c r="Q248">
        <f>0.4*H248+0.4*I248+0.2*P248</f>
        <v/>
      </c>
      <c r="R248">
        <f>PERCENTILE($Q$2:$Q$800,0.75)</f>
        <v/>
      </c>
      <c r="S248">
        <f>OR(Q248&gt;=R248,AND(B248="CW",COUNT(J248:L248)&lt;3))</f>
        <v/>
      </c>
      <c r="T248" t="n">
        <v>0.247304909900779</v>
      </c>
      <c r="U248" t="n">
        <v>4.074439845850019</v>
      </c>
      <c r="V248" t="n">
        <v>0.2299307188378779</v>
      </c>
      <c r="W248">
        <f>Q248-V248</f>
        <v/>
      </c>
    </row>
    <row r="249">
      <c r="A249" t="inlineStr">
        <is>
          <t>2022-05-10</t>
        </is>
      </c>
      <c r="B249" t="inlineStr">
        <is>
          <t>CW</t>
        </is>
      </c>
      <c r="C249" t="n">
        <v>34.40078350163609</v>
      </c>
      <c r="D249">
        <f>SUMPRODUCT(Risk_Inputs!B249:AJ249,Risk_Coefs!$B$2:$AJ$2)</f>
        <v/>
      </c>
      <c r="E249">
        <f>1/(1+EXP(-MAX(-25,MIN(25,D249))))</f>
        <v/>
      </c>
      <c r="F249">
        <f>SUMPRODUCT(Risk_Inputs!B249:AJ249,Risk_Coefs!$B$3:$AJ$3)</f>
        <v/>
      </c>
      <c r="G249">
        <f>MAX(0,F249)</f>
        <v/>
      </c>
      <c r="H249">
        <f>(SUMPRODUCT(--ISNUMBER($E$2:$E$800),--($E$2:$E$800&lt;E249))+(SUMPRODUCT(--ISNUMBER($E$2:$E$800),--($E$2:$E$800=E249))+1)/2)/COUNT($E$2:$E$800)</f>
        <v/>
      </c>
      <c r="I249">
        <f>(SUMPRODUCT(--ISNUMBER($G$2:$G$800),--($G$2:$G$800&lt;G249))+(SUMPRODUCT(--ISNUMBER($G$2:$G$800),--($G$2:$G$800=G249))+1)/2)/COUNT($G$2:$G$800)</f>
        <v/>
      </c>
      <c r="J249" t="n">
        <v>52.99969057984001</v>
      </c>
      <c r="K249" t="n">
        <v>8.512911843276928</v>
      </c>
      <c r="L249" t="n">
        <v>0.2315227070347202</v>
      </c>
      <c r="M249">
        <f>IF(OR(B249="NW",COUNT(Risk_Rank_Keys!B249)=0),0.5,(SUMPRODUCT(--ISNUMBER(Risk_Rank_Keys!$B$2:$B$800),--(Risk_Rank_Keys!$B$2:$B$800&lt;Risk_Rank_Keys!B249))+(SUMPRODUCT(--ISNUMBER(Risk_Rank_Keys!$B$2:$B$800),--(Risk_Rank_Keys!$B$2:$B$800=Risk_Rank_Keys!B249))+1)/2)/COUNT(Risk_Rank_Keys!$B$2:$B$800))</f>
        <v/>
      </c>
      <c r="N249">
        <f>IF(OR(B249="NW",COUNT(Risk_Rank_Keys!C249)=0),0.5,(SUMPRODUCT(--ISNUMBER(Risk_Rank_Keys!$C$2:$C$800),--(Risk_Rank_Keys!$C$2:$C$800&lt;Risk_Rank_Keys!C249))+(SUMPRODUCT(--ISNUMBER(Risk_Rank_Keys!$C$2:$C$800),--(Risk_Rank_Keys!$C$2:$C$800=Risk_Rank_Keys!C249))+1)/2)/COUNT(Risk_Rank_Keys!$C$2:$C$800))</f>
        <v/>
      </c>
      <c r="O249">
        <f>IF(OR(B249="NW",COUNT(Risk_Rank_Keys!D249)=0),0.5,(SUMPRODUCT(--ISNUMBER(Risk_Rank_Keys!$D$2:$D$800),--(Risk_Rank_Keys!$D$2:$D$800&lt;Risk_Rank_Keys!D249))+(SUMPRODUCT(--ISNUMBER(Risk_Rank_Keys!$D$2:$D$800),--(Risk_Rank_Keys!$D$2:$D$800=Risk_Rank_Keys!D249))+1)/2)/COUNT(Risk_Rank_Keys!$D$2:$D$800))</f>
        <v/>
      </c>
      <c r="P249">
        <f>AVERAGE(M249:O249)</f>
        <v/>
      </c>
      <c r="Q249">
        <f>0.4*H249+0.4*I249+0.2*P249</f>
        <v/>
      </c>
      <c r="R249">
        <f>PERCENTILE($Q$2:$Q$800,0.75)</f>
        <v/>
      </c>
      <c r="S249">
        <f>OR(Q249&gt;=R249,AND(B249="CW",COUNT(J249:L249)&lt;3))</f>
        <v/>
      </c>
      <c r="T249" t="n">
        <v>0.1755964510628645</v>
      </c>
      <c r="U249" t="n">
        <v>4.361836952028558</v>
      </c>
      <c r="V249" t="n">
        <v>0.207470402624387</v>
      </c>
      <c r="W249">
        <f>Q249-V249</f>
        <v/>
      </c>
    </row>
    <row r="250">
      <c r="A250" t="inlineStr">
        <is>
          <t>2022-05-11</t>
        </is>
      </c>
      <c r="B250" t="inlineStr">
        <is>
          <t>CW</t>
        </is>
      </c>
      <c r="C250" t="n">
        <v>-42.67596761510999</v>
      </c>
      <c r="D250">
        <f>SUMPRODUCT(Risk_Inputs!B250:AJ250,Risk_Coefs!$B$2:$AJ$2)</f>
        <v/>
      </c>
      <c r="E250">
        <f>1/(1+EXP(-MAX(-25,MIN(25,D250))))</f>
        <v/>
      </c>
      <c r="F250">
        <f>SUMPRODUCT(Risk_Inputs!B250:AJ250,Risk_Coefs!$B$3:$AJ$3)</f>
        <v/>
      </c>
      <c r="G250">
        <f>MAX(0,F250)</f>
        <v/>
      </c>
      <c r="H250">
        <f>(SUMPRODUCT(--ISNUMBER($E$2:$E$800),--($E$2:$E$800&lt;E250))+(SUMPRODUCT(--ISNUMBER($E$2:$E$800),--($E$2:$E$800=E250))+1)/2)/COUNT($E$2:$E$800)</f>
        <v/>
      </c>
      <c r="I250">
        <f>(SUMPRODUCT(--ISNUMBER($G$2:$G$800),--($G$2:$G$800&lt;G250))+(SUMPRODUCT(--ISNUMBER($G$2:$G$800),--($G$2:$G$800=G250))+1)/2)/COUNT($G$2:$G$800)</f>
        <v/>
      </c>
      <c r="J250" t="n">
        <v>31.47058191408573</v>
      </c>
      <c r="K250" t="n">
        <v>11.4996479699601</v>
      </c>
      <c r="L250" t="n">
        <v>0.3989673785496402</v>
      </c>
      <c r="M250">
        <f>IF(OR(B250="NW",COUNT(Risk_Rank_Keys!B250)=0),0.5,(SUMPRODUCT(--ISNUMBER(Risk_Rank_Keys!$B$2:$B$800),--(Risk_Rank_Keys!$B$2:$B$800&lt;Risk_Rank_Keys!B250))+(SUMPRODUCT(--ISNUMBER(Risk_Rank_Keys!$B$2:$B$800),--(Risk_Rank_Keys!$B$2:$B$800=Risk_Rank_Keys!B250))+1)/2)/COUNT(Risk_Rank_Keys!$B$2:$B$800))</f>
        <v/>
      </c>
      <c r="N250">
        <f>IF(OR(B250="NW",COUNT(Risk_Rank_Keys!C250)=0),0.5,(SUMPRODUCT(--ISNUMBER(Risk_Rank_Keys!$C$2:$C$800),--(Risk_Rank_Keys!$C$2:$C$800&lt;Risk_Rank_Keys!C250))+(SUMPRODUCT(--ISNUMBER(Risk_Rank_Keys!$C$2:$C$800),--(Risk_Rank_Keys!$C$2:$C$800=Risk_Rank_Keys!C250))+1)/2)/COUNT(Risk_Rank_Keys!$C$2:$C$800))</f>
        <v/>
      </c>
      <c r="O250">
        <f>IF(OR(B250="NW",COUNT(Risk_Rank_Keys!D250)=0),0.5,(SUMPRODUCT(--ISNUMBER(Risk_Rank_Keys!$D$2:$D$800),--(Risk_Rank_Keys!$D$2:$D$800&lt;Risk_Rank_Keys!D250))+(SUMPRODUCT(--ISNUMBER(Risk_Rank_Keys!$D$2:$D$800),--(Risk_Rank_Keys!$D$2:$D$800=Risk_Rank_Keys!D250))+1)/2)/COUNT(Risk_Rank_Keys!$D$2:$D$800))</f>
        <v/>
      </c>
      <c r="P250">
        <f>AVERAGE(M250:O250)</f>
        <v/>
      </c>
      <c r="Q250">
        <f>0.4*H250+0.4*I250+0.2*P250</f>
        <v/>
      </c>
      <c r="R250">
        <f>PERCENTILE($Q$2:$Q$800,0.75)</f>
        <v/>
      </c>
      <c r="S250">
        <f>OR(Q250&gt;=R250,AND(B250="CW",COUNT(J250:L250)&lt;3))</f>
        <v/>
      </c>
      <c r="T250" t="n">
        <v>0.1959455231115407</v>
      </c>
      <c r="U250" t="n">
        <v>6.669527567642696</v>
      </c>
      <c r="V250" t="n">
        <v>0.3668714205169293</v>
      </c>
      <c r="W250">
        <f>Q250-V250</f>
        <v/>
      </c>
    </row>
    <row r="251">
      <c r="A251" t="inlineStr">
        <is>
          <t>2022-05-12</t>
        </is>
      </c>
      <c r="B251" t="inlineStr">
        <is>
          <t>CW</t>
        </is>
      </c>
      <c r="C251" t="n">
        <v>38.62145766426523</v>
      </c>
      <c r="D251">
        <f>SUMPRODUCT(Risk_Inputs!B251:AJ251,Risk_Coefs!$B$2:$AJ$2)</f>
        <v/>
      </c>
      <c r="E251">
        <f>1/(1+EXP(-MAX(-25,MIN(25,D251))))</f>
        <v/>
      </c>
      <c r="F251">
        <f>SUMPRODUCT(Risk_Inputs!B251:AJ251,Risk_Coefs!$B$3:$AJ$3)</f>
        <v/>
      </c>
      <c r="G251">
        <f>MAX(0,F251)</f>
        <v/>
      </c>
      <c r="H251">
        <f>(SUMPRODUCT(--ISNUMBER($E$2:$E$800),--($E$2:$E$800&lt;E251))+(SUMPRODUCT(--ISNUMBER($E$2:$E$800),--($E$2:$E$800=E251))+1)/2)/COUNT($E$2:$E$800)</f>
        <v/>
      </c>
      <c r="I251">
        <f>(SUMPRODUCT(--ISNUMBER($G$2:$G$800),--($G$2:$G$800&lt;G251))+(SUMPRODUCT(--ISNUMBER($G$2:$G$800),--($G$2:$G$800=G251))+1)/2)/COUNT($G$2:$G$800)</f>
        <v/>
      </c>
      <c r="J251" t="n">
        <v>21.49156471749198</v>
      </c>
      <c r="K251" t="n">
        <v>4.819277108433735</v>
      </c>
      <c r="L251" t="n">
        <v>0.2409638554216828</v>
      </c>
      <c r="M251">
        <f>IF(OR(B251="NW",COUNT(Risk_Rank_Keys!B251)=0),0.5,(SUMPRODUCT(--ISNUMBER(Risk_Rank_Keys!$B$2:$B$800),--(Risk_Rank_Keys!$B$2:$B$800&lt;Risk_Rank_Keys!B251))+(SUMPRODUCT(--ISNUMBER(Risk_Rank_Keys!$B$2:$B$800),--(Risk_Rank_Keys!$B$2:$B$800=Risk_Rank_Keys!B251))+1)/2)/COUNT(Risk_Rank_Keys!$B$2:$B$800))</f>
        <v/>
      </c>
      <c r="N251">
        <f>IF(OR(B251="NW",COUNT(Risk_Rank_Keys!C251)=0),0.5,(SUMPRODUCT(--ISNUMBER(Risk_Rank_Keys!$C$2:$C$800),--(Risk_Rank_Keys!$C$2:$C$800&lt;Risk_Rank_Keys!C251))+(SUMPRODUCT(--ISNUMBER(Risk_Rank_Keys!$C$2:$C$800),--(Risk_Rank_Keys!$C$2:$C$800=Risk_Rank_Keys!C251))+1)/2)/COUNT(Risk_Rank_Keys!$C$2:$C$800))</f>
        <v/>
      </c>
      <c r="O251">
        <f>IF(OR(B251="NW",COUNT(Risk_Rank_Keys!D251)=0),0.5,(SUMPRODUCT(--ISNUMBER(Risk_Rank_Keys!$D$2:$D$800),--(Risk_Rank_Keys!$D$2:$D$800&lt;Risk_Rank_Keys!D251))+(SUMPRODUCT(--ISNUMBER(Risk_Rank_Keys!$D$2:$D$800),--(Risk_Rank_Keys!$D$2:$D$800=Risk_Rank_Keys!D251))+1)/2)/COUNT(Risk_Rank_Keys!$D$2:$D$800))</f>
        <v/>
      </c>
      <c r="P251">
        <f>AVERAGE(M251:O251)</f>
        <v/>
      </c>
      <c r="Q251">
        <f>0.4*H251+0.4*I251+0.2*P251</f>
        <v/>
      </c>
      <c r="R251">
        <f>PERCENTILE($Q$2:$Q$800,0.75)</f>
        <v/>
      </c>
      <c r="S251">
        <f>OR(Q251&gt;=R251,AND(B251="CW",COUNT(J251:L251)&lt;3))</f>
        <v/>
      </c>
      <c r="T251" t="n">
        <v>0.2978257119136296</v>
      </c>
      <c r="U251" t="n">
        <v>7.166483554642676</v>
      </c>
      <c r="V251" t="n">
        <v>0.5333406646732405</v>
      </c>
      <c r="W251">
        <f>Q251-V251</f>
        <v/>
      </c>
    </row>
    <row r="252">
      <c r="A252" t="inlineStr">
        <is>
          <t>2022-05-16</t>
        </is>
      </c>
      <c r="B252" t="inlineStr">
        <is>
          <t>CW</t>
        </is>
      </c>
      <c r="C252" t="n">
        <v>30.41654868573783</v>
      </c>
      <c r="D252">
        <f>SUMPRODUCT(Risk_Inputs!B252:AJ252,Risk_Coefs!$B$2:$AJ$2)</f>
        <v/>
      </c>
      <c r="E252">
        <f>1/(1+EXP(-MAX(-25,MIN(25,D252))))</f>
        <v/>
      </c>
      <c r="F252">
        <f>SUMPRODUCT(Risk_Inputs!B252:AJ252,Risk_Coefs!$B$3:$AJ$3)</f>
        <v/>
      </c>
      <c r="G252">
        <f>MAX(0,F252)</f>
        <v/>
      </c>
      <c r="H252">
        <f>(SUMPRODUCT(--ISNUMBER($E$2:$E$800),--($E$2:$E$800&lt;E252))+(SUMPRODUCT(--ISNUMBER($E$2:$E$800),--($E$2:$E$800=E252))+1)/2)/COUNT($E$2:$E$800)</f>
        <v/>
      </c>
      <c r="I252">
        <f>(SUMPRODUCT(--ISNUMBER($G$2:$G$800),--($G$2:$G$800&lt;G252))+(SUMPRODUCT(--ISNUMBER($G$2:$G$800),--($G$2:$G$800=G252))+1)/2)/COUNT($G$2:$G$800)</f>
        <v/>
      </c>
      <c r="J252" t="n">
        <v>34.26562816103627</v>
      </c>
      <c r="K252" t="n">
        <v>7.0909619296716</v>
      </c>
      <c r="L252" t="n">
        <v>0.348735832606797</v>
      </c>
      <c r="M252">
        <f>IF(OR(B252="NW",COUNT(Risk_Rank_Keys!B252)=0),0.5,(SUMPRODUCT(--ISNUMBER(Risk_Rank_Keys!$B$2:$B$800),--(Risk_Rank_Keys!$B$2:$B$800&lt;Risk_Rank_Keys!B252))+(SUMPRODUCT(--ISNUMBER(Risk_Rank_Keys!$B$2:$B$800),--(Risk_Rank_Keys!$B$2:$B$800=Risk_Rank_Keys!B252))+1)/2)/COUNT(Risk_Rank_Keys!$B$2:$B$800))</f>
        <v/>
      </c>
      <c r="N252">
        <f>IF(OR(B252="NW",COUNT(Risk_Rank_Keys!C252)=0),0.5,(SUMPRODUCT(--ISNUMBER(Risk_Rank_Keys!$C$2:$C$800),--(Risk_Rank_Keys!$C$2:$C$800&lt;Risk_Rank_Keys!C252))+(SUMPRODUCT(--ISNUMBER(Risk_Rank_Keys!$C$2:$C$800),--(Risk_Rank_Keys!$C$2:$C$800=Risk_Rank_Keys!C252))+1)/2)/COUNT(Risk_Rank_Keys!$C$2:$C$800))</f>
        <v/>
      </c>
      <c r="O252">
        <f>IF(OR(B252="NW",COUNT(Risk_Rank_Keys!D252)=0),0.5,(SUMPRODUCT(--ISNUMBER(Risk_Rank_Keys!$D$2:$D$800),--(Risk_Rank_Keys!$D$2:$D$800&lt;Risk_Rank_Keys!D252))+(SUMPRODUCT(--ISNUMBER(Risk_Rank_Keys!$D$2:$D$800),--(Risk_Rank_Keys!$D$2:$D$800=Risk_Rank_Keys!D252))+1)/2)/COUNT(Risk_Rank_Keys!$D$2:$D$800))</f>
        <v/>
      </c>
      <c r="P252">
        <f>AVERAGE(M252:O252)</f>
        <v/>
      </c>
      <c r="Q252">
        <f>0.4*H252+0.4*I252+0.2*P252</f>
        <v/>
      </c>
      <c r="R252">
        <f>PERCENTILE($Q$2:$Q$800,0.75)</f>
        <v/>
      </c>
      <c r="S252">
        <f>OR(Q252&gt;=R252,AND(B252="CW",COUNT(J252:L252)&lt;3))</f>
        <v/>
      </c>
      <c r="T252" t="n">
        <v>0.2650661857305769</v>
      </c>
      <c r="U252" t="n">
        <v>7.648178353029611</v>
      </c>
      <c r="V252" t="n">
        <v>0.5190323329545474</v>
      </c>
      <c r="W252">
        <f>Q252-V252</f>
        <v/>
      </c>
    </row>
    <row r="253">
      <c r="A253" t="inlineStr">
        <is>
          <t>2022-05-17</t>
        </is>
      </c>
      <c r="B253" t="inlineStr">
        <is>
          <t>CW</t>
        </is>
      </c>
      <c r="C253" t="n">
        <v>-42.21337798152737</v>
      </c>
      <c r="D253">
        <f>SUMPRODUCT(Risk_Inputs!B253:AJ253,Risk_Coefs!$B$2:$AJ$2)</f>
        <v/>
      </c>
      <c r="E253">
        <f>1/(1+EXP(-MAX(-25,MIN(25,D253))))</f>
        <v/>
      </c>
      <c r="F253">
        <f>SUMPRODUCT(Risk_Inputs!B253:AJ253,Risk_Coefs!$B$3:$AJ$3)</f>
        <v/>
      </c>
      <c r="G253">
        <f>MAX(0,F253)</f>
        <v/>
      </c>
      <c r="H253">
        <f>(SUMPRODUCT(--ISNUMBER($E$2:$E$800),--($E$2:$E$800&lt;E253))+(SUMPRODUCT(--ISNUMBER($E$2:$E$800),--($E$2:$E$800=E253))+1)/2)/COUNT($E$2:$E$800)</f>
        <v/>
      </c>
      <c r="I253">
        <f>(SUMPRODUCT(--ISNUMBER($G$2:$G$800),--($G$2:$G$800&lt;G253))+(SUMPRODUCT(--ISNUMBER($G$2:$G$800),--($G$2:$G$800=G253))+1)/2)/COUNT($G$2:$G$800)</f>
        <v/>
      </c>
      <c r="J253" t="n">
        <v>26.65737269456046</v>
      </c>
      <c r="K253" t="n">
        <v>6.56529516994634</v>
      </c>
      <c r="L253" t="n">
        <v>0.2325581395348807</v>
      </c>
      <c r="M253">
        <f>IF(OR(B253="NW",COUNT(Risk_Rank_Keys!B253)=0),0.5,(SUMPRODUCT(--ISNUMBER(Risk_Rank_Keys!$B$2:$B$800),--(Risk_Rank_Keys!$B$2:$B$800&lt;Risk_Rank_Keys!B253))+(SUMPRODUCT(--ISNUMBER(Risk_Rank_Keys!$B$2:$B$800),--(Risk_Rank_Keys!$B$2:$B$800=Risk_Rank_Keys!B253))+1)/2)/COUNT(Risk_Rank_Keys!$B$2:$B$800))</f>
        <v/>
      </c>
      <c r="N253">
        <f>IF(OR(B253="NW",COUNT(Risk_Rank_Keys!C253)=0),0.5,(SUMPRODUCT(--ISNUMBER(Risk_Rank_Keys!$C$2:$C$800),--(Risk_Rank_Keys!$C$2:$C$800&lt;Risk_Rank_Keys!C253))+(SUMPRODUCT(--ISNUMBER(Risk_Rank_Keys!$C$2:$C$800),--(Risk_Rank_Keys!$C$2:$C$800=Risk_Rank_Keys!C253))+1)/2)/COUNT(Risk_Rank_Keys!$C$2:$C$800))</f>
        <v/>
      </c>
      <c r="O253">
        <f>IF(OR(B253="NW",COUNT(Risk_Rank_Keys!D253)=0),0.5,(SUMPRODUCT(--ISNUMBER(Risk_Rank_Keys!$D$2:$D$800),--(Risk_Rank_Keys!$D$2:$D$800&lt;Risk_Rank_Keys!D253))+(SUMPRODUCT(--ISNUMBER(Risk_Rank_Keys!$D$2:$D$800),--(Risk_Rank_Keys!$D$2:$D$800=Risk_Rank_Keys!D253))+1)/2)/COUNT(Risk_Rank_Keys!$D$2:$D$800))</f>
        <v/>
      </c>
      <c r="P253">
        <f>AVERAGE(M253:O253)</f>
        <v/>
      </c>
      <c r="Q253">
        <f>0.4*H253+0.4*I253+0.2*P253</f>
        <v/>
      </c>
      <c r="R253">
        <f>PERCENTILE($Q$2:$Q$800,0.75)</f>
        <v/>
      </c>
      <c r="S253">
        <f>OR(Q253&gt;=R253,AND(B253="CW",COUNT(J253:L253)&lt;3))</f>
        <v/>
      </c>
      <c r="T253" t="n">
        <v>0.2481046750251323</v>
      </c>
      <c r="U253" t="n">
        <v>7.039166047701412</v>
      </c>
      <c r="V253" t="n">
        <v>0.4123041994031359</v>
      </c>
      <c r="W253">
        <f>Q253-V253</f>
        <v/>
      </c>
    </row>
    <row r="254">
      <c r="A254" t="inlineStr">
        <is>
          <t>2022-05-18</t>
        </is>
      </c>
      <c r="B254" t="inlineStr">
        <is>
          <t>CW</t>
        </is>
      </c>
      <c r="C254" t="n">
        <v>42.27232172606545</v>
      </c>
      <c r="D254">
        <f>SUMPRODUCT(Risk_Inputs!B254:AJ254,Risk_Coefs!$B$2:$AJ$2)</f>
        <v/>
      </c>
      <c r="E254">
        <f>1/(1+EXP(-MAX(-25,MIN(25,D254))))</f>
        <v/>
      </c>
      <c r="F254">
        <f>SUMPRODUCT(Risk_Inputs!B254:AJ254,Risk_Coefs!$B$3:$AJ$3)</f>
        <v/>
      </c>
      <c r="G254">
        <f>MAX(0,F254)</f>
        <v/>
      </c>
      <c r="H254">
        <f>(SUMPRODUCT(--ISNUMBER($E$2:$E$800),--($E$2:$E$800&lt;E254))+(SUMPRODUCT(--ISNUMBER($E$2:$E$800),--($E$2:$E$800=E254))+1)/2)/COUNT($E$2:$E$800)</f>
        <v/>
      </c>
      <c r="I254">
        <f>(SUMPRODUCT(--ISNUMBER($G$2:$G$800),--($G$2:$G$800&lt;G254))+(SUMPRODUCT(--ISNUMBER($G$2:$G$800),--($G$2:$G$800=G254))+1)/2)/COUNT($G$2:$G$800)</f>
        <v/>
      </c>
      <c r="J254" t="n">
        <v>28.88675594371092</v>
      </c>
      <c r="K254" t="n">
        <v>9.480048367593708</v>
      </c>
      <c r="L254" t="n">
        <v>0.4111245465538061</v>
      </c>
      <c r="M254">
        <f>IF(OR(B254="NW",COUNT(Risk_Rank_Keys!B254)=0),0.5,(SUMPRODUCT(--ISNUMBER(Risk_Rank_Keys!$B$2:$B$800),--(Risk_Rank_Keys!$B$2:$B$800&lt;Risk_Rank_Keys!B254))+(SUMPRODUCT(--ISNUMBER(Risk_Rank_Keys!$B$2:$B$800),--(Risk_Rank_Keys!$B$2:$B$800=Risk_Rank_Keys!B254))+1)/2)/COUNT(Risk_Rank_Keys!$B$2:$B$800))</f>
        <v/>
      </c>
      <c r="N254">
        <f>IF(OR(B254="NW",COUNT(Risk_Rank_Keys!C254)=0),0.5,(SUMPRODUCT(--ISNUMBER(Risk_Rank_Keys!$C$2:$C$800),--(Risk_Rank_Keys!$C$2:$C$800&lt;Risk_Rank_Keys!C254))+(SUMPRODUCT(--ISNUMBER(Risk_Rank_Keys!$C$2:$C$800),--(Risk_Rank_Keys!$C$2:$C$800=Risk_Rank_Keys!C254))+1)/2)/COUNT(Risk_Rank_Keys!$C$2:$C$800))</f>
        <v/>
      </c>
      <c r="O254">
        <f>IF(OR(B254="NW",COUNT(Risk_Rank_Keys!D254)=0),0.5,(SUMPRODUCT(--ISNUMBER(Risk_Rank_Keys!$D$2:$D$800),--(Risk_Rank_Keys!$D$2:$D$800&lt;Risk_Rank_Keys!D254))+(SUMPRODUCT(--ISNUMBER(Risk_Rank_Keys!$D$2:$D$800),--(Risk_Rank_Keys!$D$2:$D$800=Risk_Rank_Keys!D254))+1)/2)/COUNT(Risk_Rank_Keys!$D$2:$D$800))</f>
        <v/>
      </c>
      <c r="P254">
        <f>AVERAGE(M254:O254)</f>
        <v/>
      </c>
      <c r="Q254">
        <f>0.4*H254+0.4*I254+0.2*P254</f>
        <v/>
      </c>
      <c r="R254">
        <f>PERCENTILE($Q$2:$Q$800,0.75)</f>
        <v/>
      </c>
      <c r="S254">
        <f>OR(Q254&gt;=R254,AND(B254="CW",COUNT(J254:L254)&lt;3))</f>
        <v/>
      </c>
      <c r="T254" t="n">
        <v>0.2388591173482444</v>
      </c>
      <c r="U254" t="n">
        <v>7.710837567201581</v>
      </c>
      <c r="V254" t="n">
        <v>0.4708082918618055</v>
      </c>
      <c r="W254">
        <f>Q254-V254</f>
        <v/>
      </c>
    </row>
    <row r="255">
      <c r="A255" t="inlineStr">
        <is>
          <t>2022-05-19</t>
        </is>
      </c>
      <c r="B255" t="inlineStr">
        <is>
          <t>CW</t>
        </is>
      </c>
      <c r="C255" t="n">
        <v>79.98695488096803</v>
      </c>
      <c r="D255">
        <f>SUMPRODUCT(Risk_Inputs!B255:AJ255,Risk_Coefs!$B$2:$AJ$2)</f>
        <v/>
      </c>
      <c r="E255">
        <f>1/(1+EXP(-MAX(-25,MIN(25,D255))))</f>
        <v/>
      </c>
      <c r="F255">
        <f>SUMPRODUCT(Risk_Inputs!B255:AJ255,Risk_Coefs!$B$3:$AJ$3)</f>
        <v/>
      </c>
      <c r="G255">
        <f>MAX(0,F255)</f>
        <v/>
      </c>
      <c r="H255">
        <f>(SUMPRODUCT(--ISNUMBER($E$2:$E$800),--($E$2:$E$800&lt;E255))+(SUMPRODUCT(--ISNUMBER($E$2:$E$800),--($E$2:$E$800=E255))+1)/2)/COUNT($E$2:$E$800)</f>
        <v/>
      </c>
      <c r="I255">
        <f>(SUMPRODUCT(--ISNUMBER($G$2:$G$800),--($G$2:$G$800&lt;G255))+(SUMPRODUCT(--ISNUMBER($G$2:$G$800),--($G$2:$G$800=G255))+1)/2)/COUNT($G$2:$G$800)</f>
        <v/>
      </c>
      <c r="J255" t="n">
        <v>26.17022542080487</v>
      </c>
      <c r="K255" t="n">
        <v>15.15339324449954</v>
      </c>
      <c r="L255" t="n">
        <v>0.650759219088944</v>
      </c>
      <c r="M255">
        <f>IF(OR(B255="NW",COUNT(Risk_Rank_Keys!B255)=0),0.5,(SUMPRODUCT(--ISNUMBER(Risk_Rank_Keys!$B$2:$B$800),--(Risk_Rank_Keys!$B$2:$B$800&lt;Risk_Rank_Keys!B255))+(SUMPRODUCT(--ISNUMBER(Risk_Rank_Keys!$B$2:$B$800),--(Risk_Rank_Keys!$B$2:$B$800=Risk_Rank_Keys!B255))+1)/2)/COUNT(Risk_Rank_Keys!$B$2:$B$800))</f>
        <v/>
      </c>
      <c r="N255">
        <f>IF(OR(B255="NW",COUNT(Risk_Rank_Keys!C255)=0),0.5,(SUMPRODUCT(--ISNUMBER(Risk_Rank_Keys!$C$2:$C$800),--(Risk_Rank_Keys!$C$2:$C$800&lt;Risk_Rank_Keys!C255))+(SUMPRODUCT(--ISNUMBER(Risk_Rank_Keys!$C$2:$C$800),--(Risk_Rank_Keys!$C$2:$C$800=Risk_Rank_Keys!C255))+1)/2)/COUNT(Risk_Rank_Keys!$C$2:$C$800))</f>
        <v/>
      </c>
      <c r="O255">
        <f>IF(OR(B255="NW",COUNT(Risk_Rank_Keys!D255)=0),0.5,(SUMPRODUCT(--ISNUMBER(Risk_Rank_Keys!$D$2:$D$800),--(Risk_Rank_Keys!$D$2:$D$800&lt;Risk_Rank_Keys!D255))+(SUMPRODUCT(--ISNUMBER(Risk_Rank_Keys!$D$2:$D$800),--(Risk_Rank_Keys!$D$2:$D$800=Risk_Rank_Keys!D255))+1)/2)/COUNT(Risk_Rank_Keys!$D$2:$D$800))</f>
        <v/>
      </c>
      <c r="P255">
        <f>AVERAGE(M255:O255)</f>
        <v/>
      </c>
      <c r="Q255">
        <f>0.4*H255+0.4*I255+0.2*P255</f>
        <v/>
      </c>
      <c r="R255">
        <f>PERCENTILE($Q$2:$Q$800,0.75)</f>
        <v/>
      </c>
      <c r="S255">
        <f>OR(Q255&gt;=R255,AND(B255="CW",COUNT(J255:L255)&lt;3))</f>
        <v/>
      </c>
      <c r="T255" t="n">
        <v>0.2496144143163621</v>
      </c>
      <c r="U255" t="n">
        <v>6.60383673256554</v>
      </c>
      <c r="V255" t="n">
        <v>0.4348997381082467</v>
      </c>
      <c r="W255">
        <f>Q255-V255</f>
        <v/>
      </c>
    </row>
    <row r="256">
      <c r="A256" t="inlineStr">
        <is>
          <t>2022-05-23</t>
        </is>
      </c>
      <c r="B256" t="inlineStr">
        <is>
          <t>CW</t>
        </is>
      </c>
      <c r="C256" t="n">
        <v>22.69697721249722</v>
      </c>
      <c r="D256">
        <f>SUMPRODUCT(Risk_Inputs!B256:AJ256,Risk_Coefs!$B$2:$AJ$2)</f>
        <v/>
      </c>
      <c r="E256">
        <f>1/(1+EXP(-MAX(-25,MIN(25,D256))))</f>
        <v/>
      </c>
      <c r="F256">
        <f>SUMPRODUCT(Risk_Inputs!B256:AJ256,Risk_Coefs!$B$3:$AJ$3)</f>
        <v/>
      </c>
      <c r="G256">
        <f>MAX(0,F256)</f>
        <v/>
      </c>
      <c r="H256">
        <f>(SUMPRODUCT(--ISNUMBER($E$2:$E$800),--($E$2:$E$800&lt;E256))+(SUMPRODUCT(--ISNUMBER($E$2:$E$800),--($E$2:$E$800=E256))+1)/2)/COUNT($E$2:$E$800)</f>
        <v/>
      </c>
      <c r="I256">
        <f>(SUMPRODUCT(--ISNUMBER($G$2:$G$800),--($G$2:$G$800&lt;G256))+(SUMPRODUCT(--ISNUMBER($G$2:$G$800),--($G$2:$G$800=G256))+1)/2)/COUNT($G$2:$G$800)</f>
        <v/>
      </c>
      <c r="J256" t="n">
        <v>12.84598310093994</v>
      </c>
      <c r="K256" t="n">
        <v>2.036830357142845</v>
      </c>
      <c r="L256" t="n">
        <v>0.1395089285714365</v>
      </c>
      <c r="M256">
        <f>IF(OR(B256="NW",COUNT(Risk_Rank_Keys!B256)=0),0.5,(SUMPRODUCT(--ISNUMBER(Risk_Rank_Keys!$B$2:$B$800),--(Risk_Rank_Keys!$B$2:$B$800&lt;Risk_Rank_Keys!B256))+(SUMPRODUCT(--ISNUMBER(Risk_Rank_Keys!$B$2:$B$800),--(Risk_Rank_Keys!$B$2:$B$800=Risk_Rank_Keys!B256))+1)/2)/COUNT(Risk_Rank_Keys!$B$2:$B$800))</f>
        <v/>
      </c>
      <c r="N256">
        <f>IF(OR(B256="NW",COUNT(Risk_Rank_Keys!C256)=0),0.5,(SUMPRODUCT(--ISNUMBER(Risk_Rank_Keys!$C$2:$C$800),--(Risk_Rank_Keys!$C$2:$C$800&lt;Risk_Rank_Keys!C256))+(SUMPRODUCT(--ISNUMBER(Risk_Rank_Keys!$C$2:$C$800),--(Risk_Rank_Keys!$C$2:$C$800=Risk_Rank_Keys!C256))+1)/2)/COUNT(Risk_Rank_Keys!$C$2:$C$800))</f>
        <v/>
      </c>
      <c r="O256">
        <f>IF(OR(B256="NW",COUNT(Risk_Rank_Keys!D256)=0),0.5,(SUMPRODUCT(--ISNUMBER(Risk_Rank_Keys!$D$2:$D$800),--(Risk_Rank_Keys!$D$2:$D$800&lt;Risk_Rank_Keys!D256))+(SUMPRODUCT(--ISNUMBER(Risk_Rank_Keys!$D$2:$D$800),--(Risk_Rank_Keys!$D$2:$D$800=Risk_Rank_Keys!D256))+1)/2)/COUNT(Risk_Rank_Keys!$D$2:$D$800))</f>
        <v/>
      </c>
      <c r="P256">
        <f>AVERAGE(M256:O256)</f>
        <v/>
      </c>
      <c r="Q256">
        <f>0.4*H256+0.4*I256+0.2*P256</f>
        <v/>
      </c>
      <c r="R256">
        <f>PERCENTILE($Q$2:$Q$800,0.75)</f>
        <v/>
      </c>
      <c r="S256">
        <f>OR(Q256&gt;=R256,AND(B256="CW",COUNT(J256:L256)&lt;3))</f>
        <v/>
      </c>
      <c r="T256" t="n">
        <v>0.4117073782430857</v>
      </c>
      <c r="U256" t="n">
        <v>9.974696569173897</v>
      </c>
      <c r="V256" t="n">
        <v>0.7649466528651284</v>
      </c>
      <c r="W256">
        <f>Q256-V256</f>
        <v/>
      </c>
    </row>
    <row r="257">
      <c r="A257" t="inlineStr">
        <is>
          <t>2022-05-24</t>
        </is>
      </c>
      <c r="B257" t="inlineStr">
        <is>
          <t>CW</t>
        </is>
      </c>
      <c r="C257" t="n">
        <v>39.21807702473797</v>
      </c>
      <c r="D257">
        <f>SUMPRODUCT(Risk_Inputs!B257:AJ257,Risk_Coefs!$B$2:$AJ$2)</f>
        <v/>
      </c>
      <c r="E257">
        <f>1/(1+EXP(-MAX(-25,MIN(25,D257))))</f>
        <v/>
      </c>
      <c r="F257">
        <f>SUMPRODUCT(Risk_Inputs!B257:AJ257,Risk_Coefs!$B$3:$AJ$3)</f>
        <v/>
      </c>
      <c r="G257">
        <f>MAX(0,F257)</f>
        <v/>
      </c>
      <c r="H257">
        <f>(SUMPRODUCT(--ISNUMBER($E$2:$E$800),--($E$2:$E$800&lt;E257))+(SUMPRODUCT(--ISNUMBER($E$2:$E$800),--($E$2:$E$800=E257))+1)/2)/COUNT($E$2:$E$800)</f>
        <v/>
      </c>
      <c r="I257">
        <f>(SUMPRODUCT(--ISNUMBER($G$2:$G$800),--($G$2:$G$800&lt;G257))+(SUMPRODUCT(--ISNUMBER($G$2:$G$800),--($G$2:$G$800=G257))+1)/2)/COUNT($G$2:$G$800)</f>
        <v/>
      </c>
      <c r="J257" t="n">
        <v>23.63431603955464</v>
      </c>
      <c r="K257" t="n">
        <v>5.88527851458884</v>
      </c>
      <c r="L257" t="n">
        <v>0.3978779840848768</v>
      </c>
      <c r="M257">
        <f>IF(OR(B257="NW",COUNT(Risk_Rank_Keys!B257)=0),0.5,(SUMPRODUCT(--ISNUMBER(Risk_Rank_Keys!$B$2:$B$800),--(Risk_Rank_Keys!$B$2:$B$800&lt;Risk_Rank_Keys!B257))+(SUMPRODUCT(--ISNUMBER(Risk_Rank_Keys!$B$2:$B$800),--(Risk_Rank_Keys!$B$2:$B$800=Risk_Rank_Keys!B257))+1)/2)/COUNT(Risk_Rank_Keys!$B$2:$B$800))</f>
        <v/>
      </c>
      <c r="N257">
        <f>IF(OR(B257="NW",COUNT(Risk_Rank_Keys!C257)=0),0.5,(SUMPRODUCT(--ISNUMBER(Risk_Rank_Keys!$C$2:$C$800),--(Risk_Rank_Keys!$C$2:$C$800&lt;Risk_Rank_Keys!C257))+(SUMPRODUCT(--ISNUMBER(Risk_Rank_Keys!$C$2:$C$800),--(Risk_Rank_Keys!$C$2:$C$800=Risk_Rank_Keys!C257))+1)/2)/COUNT(Risk_Rank_Keys!$C$2:$C$800))</f>
        <v/>
      </c>
      <c r="O257">
        <f>IF(OR(B257="NW",COUNT(Risk_Rank_Keys!D257)=0),0.5,(SUMPRODUCT(--ISNUMBER(Risk_Rank_Keys!$D$2:$D$800),--(Risk_Rank_Keys!$D$2:$D$800&lt;Risk_Rank_Keys!D257))+(SUMPRODUCT(--ISNUMBER(Risk_Rank_Keys!$D$2:$D$800),--(Risk_Rank_Keys!$D$2:$D$800=Risk_Rank_Keys!D257))+1)/2)/COUNT(Risk_Rank_Keys!$D$2:$D$800))</f>
        <v/>
      </c>
      <c r="P257">
        <f>AVERAGE(M257:O257)</f>
        <v/>
      </c>
      <c r="Q257">
        <f>0.4*H257+0.4*I257+0.2*P257</f>
        <v/>
      </c>
      <c r="R257">
        <f>PERCENTILE($Q$2:$Q$800,0.75)</f>
        <v/>
      </c>
      <c r="S257">
        <f>OR(Q257&gt;=R257,AND(B257="CW",COUNT(J257:L257)&lt;3))</f>
        <v/>
      </c>
      <c r="T257" t="n">
        <v>0.2670162885872361</v>
      </c>
      <c r="U257" t="n">
        <v>8.027335332961849</v>
      </c>
      <c r="V257" t="n">
        <v>0.5345727952595324</v>
      </c>
      <c r="W257">
        <f>Q257-V257</f>
        <v/>
      </c>
    </row>
    <row r="258">
      <c r="A258" t="inlineStr">
        <is>
          <t>2022-05-25</t>
        </is>
      </c>
      <c r="B258" t="inlineStr">
        <is>
          <t>CW</t>
        </is>
      </c>
      <c r="C258" t="n">
        <v>23.30585749306707</v>
      </c>
      <c r="D258">
        <f>SUMPRODUCT(Risk_Inputs!B258:AJ258,Risk_Coefs!$B$2:$AJ$2)</f>
        <v/>
      </c>
      <c r="E258">
        <f>1/(1+EXP(-MAX(-25,MIN(25,D258))))</f>
        <v/>
      </c>
      <c r="F258">
        <f>SUMPRODUCT(Risk_Inputs!B258:AJ258,Risk_Coefs!$B$3:$AJ$3)</f>
        <v/>
      </c>
      <c r="G258">
        <f>MAX(0,F258)</f>
        <v/>
      </c>
      <c r="H258">
        <f>(SUMPRODUCT(--ISNUMBER($E$2:$E$800),--($E$2:$E$800&lt;E258))+(SUMPRODUCT(--ISNUMBER($E$2:$E$800),--($E$2:$E$800=E258))+1)/2)/COUNT($E$2:$E$800)</f>
        <v/>
      </c>
      <c r="I258">
        <f>(SUMPRODUCT(--ISNUMBER($G$2:$G$800),--($G$2:$G$800&lt;G258))+(SUMPRODUCT(--ISNUMBER($G$2:$G$800),--($G$2:$G$800=G258))+1)/2)/COUNT($G$2:$G$800)</f>
        <v/>
      </c>
      <c r="J258" t="n">
        <v>39.75198219802514</v>
      </c>
      <c r="K258" t="n">
        <v>29.11421377889676</v>
      </c>
      <c r="L258" t="n">
        <v>0.2746623941405395</v>
      </c>
      <c r="M258">
        <f>IF(OR(B258="NW",COUNT(Risk_Rank_Keys!B258)=0),0.5,(SUMPRODUCT(--ISNUMBER(Risk_Rank_Keys!$B$2:$B$800),--(Risk_Rank_Keys!$B$2:$B$800&lt;Risk_Rank_Keys!B258))+(SUMPRODUCT(--ISNUMBER(Risk_Rank_Keys!$B$2:$B$800),--(Risk_Rank_Keys!$B$2:$B$800=Risk_Rank_Keys!B258))+1)/2)/COUNT(Risk_Rank_Keys!$B$2:$B$800))</f>
        <v/>
      </c>
      <c r="N258">
        <f>IF(OR(B258="NW",COUNT(Risk_Rank_Keys!C258)=0),0.5,(SUMPRODUCT(--ISNUMBER(Risk_Rank_Keys!$C$2:$C$800),--(Risk_Rank_Keys!$C$2:$C$800&lt;Risk_Rank_Keys!C258))+(SUMPRODUCT(--ISNUMBER(Risk_Rank_Keys!$C$2:$C$800),--(Risk_Rank_Keys!$C$2:$C$800=Risk_Rank_Keys!C258))+1)/2)/COUNT(Risk_Rank_Keys!$C$2:$C$800))</f>
        <v/>
      </c>
      <c r="O258">
        <f>IF(OR(B258="NW",COUNT(Risk_Rank_Keys!D258)=0),0.5,(SUMPRODUCT(--ISNUMBER(Risk_Rank_Keys!$D$2:$D$800),--(Risk_Rank_Keys!$D$2:$D$800&lt;Risk_Rank_Keys!D258))+(SUMPRODUCT(--ISNUMBER(Risk_Rank_Keys!$D$2:$D$800),--(Risk_Rank_Keys!$D$2:$D$800=Risk_Rank_Keys!D258))+1)/2)/COUNT(Risk_Rank_Keys!$D$2:$D$800))</f>
        <v/>
      </c>
      <c r="P258">
        <f>AVERAGE(M258:O258)</f>
        <v/>
      </c>
      <c r="Q258">
        <f>0.4*H258+0.4*I258+0.2*P258</f>
        <v/>
      </c>
      <c r="R258">
        <f>PERCENTILE($Q$2:$Q$800,0.75)</f>
        <v/>
      </c>
      <c r="S258">
        <f>OR(Q258&gt;=R258,AND(B258="CW",COUNT(J258:L258)&lt;3))</f>
        <v/>
      </c>
      <c r="T258" t="n">
        <v>0.1700676740042103</v>
      </c>
      <c r="U258" t="n">
        <v>6.517223771693491</v>
      </c>
      <c r="V258" t="n">
        <v>0.3290308841421372</v>
      </c>
      <c r="W258">
        <f>Q258-V258</f>
        <v/>
      </c>
    </row>
    <row r="259">
      <c r="A259" t="inlineStr">
        <is>
          <t>2022-05-26</t>
        </is>
      </c>
      <c r="B259" t="inlineStr">
        <is>
          <t>CW</t>
        </is>
      </c>
      <c r="C259" t="n">
        <v>-11.13633751508475</v>
      </c>
      <c r="D259">
        <f>SUMPRODUCT(Risk_Inputs!B259:AJ259,Risk_Coefs!$B$2:$AJ$2)</f>
        <v/>
      </c>
      <c r="E259">
        <f>1/(1+EXP(-MAX(-25,MIN(25,D259))))</f>
        <v/>
      </c>
      <c r="F259">
        <f>SUMPRODUCT(Risk_Inputs!B259:AJ259,Risk_Coefs!$B$3:$AJ$3)</f>
        <v/>
      </c>
      <c r="G259">
        <f>MAX(0,F259)</f>
        <v/>
      </c>
      <c r="H259">
        <f>(SUMPRODUCT(--ISNUMBER($E$2:$E$800),--($E$2:$E$800&lt;E259))+(SUMPRODUCT(--ISNUMBER($E$2:$E$800),--($E$2:$E$800=E259))+1)/2)/COUNT($E$2:$E$800)</f>
        <v/>
      </c>
      <c r="I259">
        <f>(SUMPRODUCT(--ISNUMBER($G$2:$G$800),--($G$2:$G$800&lt;G259))+(SUMPRODUCT(--ISNUMBER($G$2:$G$800),--($G$2:$G$800=G259))+1)/2)/COUNT($G$2:$G$800)</f>
        <v/>
      </c>
      <c r="J259" t="n">
        <v>15.56533869369283</v>
      </c>
      <c r="K259" t="n">
        <v>4.439159730479594</v>
      </c>
      <c r="L259" t="n">
        <v>0.3170828378913923</v>
      </c>
      <c r="M259">
        <f>IF(OR(B259="NW",COUNT(Risk_Rank_Keys!B259)=0),0.5,(SUMPRODUCT(--ISNUMBER(Risk_Rank_Keys!$B$2:$B$800),--(Risk_Rank_Keys!$B$2:$B$800&lt;Risk_Rank_Keys!B259))+(SUMPRODUCT(--ISNUMBER(Risk_Rank_Keys!$B$2:$B$800),--(Risk_Rank_Keys!$B$2:$B$800=Risk_Rank_Keys!B259))+1)/2)/COUNT(Risk_Rank_Keys!$B$2:$B$800))</f>
        <v/>
      </c>
      <c r="N259">
        <f>IF(OR(B259="NW",COUNT(Risk_Rank_Keys!C259)=0),0.5,(SUMPRODUCT(--ISNUMBER(Risk_Rank_Keys!$C$2:$C$800),--(Risk_Rank_Keys!$C$2:$C$800&lt;Risk_Rank_Keys!C259))+(SUMPRODUCT(--ISNUMBER(Risk_Rank_Keys!$C$2:$C$800),--(Risk_Rank_Keys!$C$2:$C$800=Risk_Rank_Keys!C259))+1)/2)/COUNT(Risk_Rank_Keys!$C$2:$C$800))</f>
        <v/>
      </c>
      <c r="O259">
        <f>IF(OR(B259="NW",COUNT(Risk_Rank_Keys!D259)=0),0.5,(SUMPRODUCT(--ISNUMBER(Risk_Rank_Keys!$D$2:$D$800),--(Risk_Rank_Keys!$D$2:$D$800&lt;Risk_Rank_Keys!D259))+(SUMPRODUCT(--ISNUMBER(Risk_Rank_Keys!$D$2:$D$800),--(Risk_Rank_Keys!$D$2:$D$800=Risk_Rank_Keys!D259))+1)/2)/COUNT(Risk_Rank_Keys!$D$2:$D$800))</f>
        <v/>
      </c>
      <c r="P259">
        <f>AVERAGE(M259:O259)</f>
        <v/>
      </c>
      <c r="Q259">
        <f>0.4*H259+0.4*I259+0.2*P259</f>
        <v/>
      </c>
      <c r="R259">
        <f>PERCENTILE($Q$2:$Q$800,0.75)</f>
        <v/>
      </c>
      <c r="S259">
        <f>OR(Q259&gt;=R259,AND(B259="CW",COUNT(J259:L259)&lt;3))</f>
        <v/>
      </c>
      <c r="T259" t="n">
        <v>0.319690540364255</v>
      </c>
      <c r="U259" t="n">
        <v>11.92140541586279</v>
      </c>
      <c r="V259" t="n">
        <v>0.7752720887161952</v>
      </c>
      <c r="W259">
        <f>Q259-V259</f>
        <v/>
      </c>
    </row>
    <row r="260">
      <c r="A260" t="inlineStr">
        <is>
          <t>2022-05-27</t>
        </is>
      </c>
      <c r="B260" t="inlineStr">
        <is>
          <t>CW</t>
        </is>
      </c>
      <c r="C260" t="n">
        <v>41.32224315094984</v>
      </c>
      <c r="D260">
        <f>SUMPRODUCT(Risk_Inputs!B260:AJ260,Risk_Coefs!$B$2:$AJ$2)</f>
        <v/>
      </c>
      <c r="E260">
        <f>1/(1+EXP(-MAX(-25,MIN(25,D260))))</f>
        <v/>
      </c>
      <c r="F260">
        <f>SUMPRODUCT(Risk_Inputs!B260:AJ260,Risk_Coefs!$B$3:$AJ$3)</f>
        <v/>
      </c>
      <c r="G260">
        <f>MAX(0,F260)</f>
        <v/>
      </c>
      <c r="H260">
        <f>(SUMPRODUCT(--ISNUMBER($E$2:$E$800),--($E$2:$E$800&lt;E260))+(SUMPRODUCT(--ISNUMBER($E$2:$E$800),--($E$2:$E$800=E260))+1)/2)/COUNT($E$2:$E$800)</f>
        <v/>
      </c>
      <c r="I260">
        <f>(SUMPRODUCT(--ISNUMBER($G$2:$G$800),--($G$2:$G$800&lt;G260))+(SUMPRODUCT(--ISNUMBER($G$2:$G$800),--($G$2:$G$800=G260))+1)/2)/COUNT($G$2:$G$800)</f>
        <v/>
      </c>
      <c r="J260" t="n">
        <v>14.30140988577242</v>
      </c>
      <c r="K260" t="n">
        <v>2.530087527352297</v>
      </c>
      <c r="L260" t="n">
        <v>0.2324945295404876</v>
      </c>
      <c r="M260">
        <f>IF(OR(B260="NW",COUNT(Risk_Rank_Keys!B260)=0),0.5,(SUMPRODUCT(--ISNUMBER(Risk_Rank_Keys!$B$2:$B$800),--(Risk_Rank_Keys!$B$2:$B$800&lt;Risk_Rank_Keys!B260))+(SUMPRODUCT(--ISNUMBER(Risk_Rank_Keys!$B$2:$B$800),--(Risk_Rank_Keys!$B$2:$B$800=Risk_Rank_Keys!B260))+1)/2)/COUNT(Risk_Rank_Keys!$B$2:$B$800))</f>
        <v/>
      </c>
      <c r="N260">
        <f>IF(OR(B260="NW",COUNT(Risk_Rank_Keys!C260)=0),0.5,(SUMPRODUCT(--ISNUMBER(Risk_Rank_Keys!$C$2:$C$800),--(Risk_Rank_Keys!$C$2:$C$800&lt;Risk_Rank_Keys!C260))+(SUMPRODUCT(--ISNUMBER(Risk_Rank_Keys!$C$2:$C$800),--(Risk_Rank_Keys!$C$2:$C$800=Risk_Rank_Keys!C260))+1)/2)/COUNT(Risk_Rank_Keys!$C$2:$C$800))</f>
        <v/>
      </c>
      <c r="O260">
        <f>IF(OR(B260="NW",COUNT(Risk_Rank_Keys!D260)=0),0.5,(SUMPRODUCT(--ISNUMBER(Risk_Rank_Keys!$D$2:$D$800),--(Risk_Rank_Keys!$D$2:$D$800&lt;Risk_Rank_Keys!D260))+(SUMPRODUCT(--ISNUMBER(Risk_Rank_Keys!$D$2:$D$800),--(Risk_Rank_Keys!$D$2:$D$800=Risk_Rank_Keys!D260))+1)/2)/COUNT(Risk_Rank_Keys!$D$2:$D$800))</f>
        <v/>
      </c>
      <c r="P260">
        <f>AVERAGE(M260:O260)</f>
        <v/>
      </c>
      <c r="Q260">
        <f>0.4*H260+0.4*I260+0.2*P260</f>
        <v/>
      </c>
      <c r="R260">
        <f>PERCENTILE($Q$2:$Q$800,0.75)</f>
        <v/>
      </c>
      <c r="S260">
        <f>OR(Q260&gt;=R260,AND(B260="CW",COUNT(J260:L260)&lt;3))</f>
        <v/>
      </c>
      <c r="T260" t="n">
        <v>0.2488813653507063</v>
      </c>
      <c r="U260" t="n">
        <v>9.626072074366334</v>
      </c>
      <c r="V260" t="n">
        <v>0.5052176447895993</v>
      </c>
      <c r="W260">
        <f>Q260-V260</f>
        <v/>
      </c>
    </row>
    <row r="261">
      <c r="A261" t="inlineStr">
        <is>
          <t>2022-05-31</t>
        </is>
      </c>
      <c r="B261" t="inlineStr">
        <is>
          <t>CW</t>
        </is>
      </c>
      <c r="C261" t="n">
        <v>-0.5166245872787554</v>
      </c>
      <c r="D261">
        <f>SUMPRODUCT(Risk_Inputs!B261:AJ261,Risk_Coefs!$B$2:$AJ$2)</f>
        <v/>
      </c>
      <c r="E261">
        <f>1/(1+EXP(-MAX(-25,MIN(25,D261))))</f>
        <v/>
      </c>
      <c r="F261">
        <f>SUMPRODUCT(Risk_Inputs!B261:AJ261,Risk_Coefs!$B$3:$AJ$3)</f>
        <v/>
      </c>
      <c r="G261">
        <f>MAX(0,F261)</f>
        <v/>
      </c>
      <c r="H261">
        <f>(SUMPRODUCT(--ISNUMBER($E$2:$E$800),--($E$2:$E$800&lt;E261))+(SUMPRODUCT(--ISNUMBER($E$2:$E$800),--($E$2:$E$800=E261))+1)/2)/COUNT($E$2:$E$800)</f>
        <v/>
      </c>
      <c r="I261">
        <f>(SUMPRODUCT(--ISNUMBER($G$2:$G$800),--($G$2:$G$800&lt;G261))+(SUMPRODUCT(--ISNUMBER($G$2:$G$800),--($G$2:$G$800=G261))+1)/2)/COUNT($G$2:$G$800)</f>
        <v/>
      </c>
      <c r="J261" t="n">
        <v>15.26519505359587</v>
      </c>
      <c r="K261" t="n">
        <v>11.04012777001397</v>
      </c>
      <c r="L261" t="n">
        <v>0.3593531643042489</v>
      </c>
      <c r="M261">
        <f>IF(OR(B261="NW",COUNT(Risk_Rank_Keys!B261)=0),0.5,(SUMPRODUCT(--ISNUMBER(Risk_Rank_Keys!$B$2:$B$800),--(Risk_Rank_Keys!$B$2:$B$800&lt;Risk_Rank_Keys!B261))+(SUMPRODUCT(--ISNUMBER(Risk_Rank_Keys!$B$2:$B$800),--(Risk_Rank_Keys!$B$2:$B$800=Risk_Rank_Keys!B261))+1)/2)/COUNT(Risk_Rank_Keys!$B$2:$B$800))</f>
        <v/>
      </c>
      <c r="N261">
        <f>IF(OR(B261="NW",COUNT(Risk_Rank_Keys!C261)=0),0.5,(SUMPRODUCT(--ISNUMBER(Risk_Rank_Keys!$C$2:$C$800),--(Risk_Rank_Keys!$C$2:$C$800&lt;Risk_Rank_Keys!C261))+(SUMPRODUCT(--ISNUMBER(Risk_Rank_Keys!$C$2:$C$800),--(Risk_Rank_Keys!$C$2:$C$800=Risk_Rank_Keys!C261))+1)/2)/COUNT(Risk_Rank_Keys!$C$2:$C$800))</f>
        <v/>
      </c>
      <c r="O261">
        <f>IF(OR(B261="NW",COUNT(Risk_Rank_Keys!D261)=0),0.5,(SUMPRODUCT(--ISNUMBER(Risk_Rank_Keys!$D$2:$D$800),--(Risk_Rank_Keys!$D$2:$D$800&lt;Risk_Rank_Keys!D261))+(SUMPRODUCT(--ISNUMBER(Risk_Rank_Keys!$D$2:$D$800),--(Risk_Rank_Keys!$D$2:$D$800=Risk_Rank_Keys!D261))+1)/2)/COUNT(Risk_Rank_Keys!$D$2:$D$800))</f>
        <v/>
      </c>
      <c r="P261">
        <f>AVERAGE(M261:O261)</f>
        <v/>
      </c>
      <c r="Q261">
        <f>0.4*H261+0.4*I261+0.2*P261</f>
        <v/>
      </c>
      <c r="R261">
        <f>PERCENTILE($Q$2:$Q$800,0.75)</f>
        <v/>
      </c>
      <c r="S261">
        <f>OR(Q261&gt;=R261,AND(B261="CW",COUNT(J261:L261)&lt;3))</f>
        <v/>
      </c>
      <c r="T261" t="n">
        <v>0.1997489912795866</v>
      </c>
      <c r="U261" t="n">
        <v>3.246378880673486</v>
      </c>
      <c r="V261" t="n">
        <v>0.2167111492806268</v>
      </c>
      <c r="W261">
        <f>Q261-V261</f>
        <v/>
      </c>
    </row>
    <row r="262">
      <c r="A262" t="inlineStr">
        <is>
          <t>2022-06-01</t>
        </is>
      </c>
      <c r="B262" t="inlineStr">
        <is>
          <t>CW</t>
        </is>
      </c>
      <c r="C262" t="n">
        <v>17.73108639486131</v>
      </c>
      <c r="D262">
        <f>SUMPRODUCT(Risk_Inputs!B262:AJ262,Risk_Coefs!$B$2:$AJ$2)</f>
        <v/>
      </c>
      <c r="E262">
        <f>1/(1+EXP(-MAX(-25,MIN(25,D262))))</f>
        <v/>
      </c>
      <c r="F262">
        <f>SUMPRODUCT(Risk_Inputs!B262:AJ262,Risk_Coefs!$B$3:$AJ$3)</f>
        <v/>
      </c>
      <c r="G262">
        <f>MAX(0,F262)</f>
        <v/>
      </c>
      <c r="H262">
        <f>(SUMPRODUCT(--ISNUMBER($E$2:$E$800),--($E$2:$E$800&lt;E262))+(SUMPRODUCT(--ISNUMBER($E$2:$E$800),--($E$2:$E$800=E262))+1)/2)/COUNT($E$2:$E$800)</f>
        <v/>
      </c>
      <c r="I262">
        <f>(SUMPRODUCT(--ISNUMBER($G$2:$G$800),--($G$2:$G$800&lt;G262))+(SUMPRODUCT(--ISNUMBER($G$2:$G$800),--($G$2:$G$800=G262))+1)/2)/COUNT($G$2:$G$800)</f>
        <v/>
      </c>
      <c r="J262" t="n">
        <v>16.40133618225044</v>
      </c>
      <c r="K262" t="n">
        <v>6.611374407582947</v>
      </c>
      <c r="L262" t="n">
        <v>0.2369668246445497</v>
      </c>
      <c r="M262">
        <f>IF(OR(B262="NW",COUNT(Risk_Rank_Keys!B262)=0),0.5,(SUMPRODUCT(--ISNUMBER(Risk_Rank_Keys!$B$2:$B$800),--(Risk_Rank_Keys!$B$2:$B$800&lt;Risk_Rank_Keys!B262))+(SUMPRODUCT(--ISNUMBER(Risk_Rank_Keys!$B$2:$B$800),--(Risk_Rank_Keys!$B$2:$B$800=Risk_Rank_Keys!B262))+1)/2)/COUNT(Risk_Rank_Keys!$B$2:$B$800))</f>
        <v/>
      </c>
      <c r="N262">
        <f>IF(OR(B262="NW",COUNT(Risk_Rank_Keys!C262)=0),0.5,(SUMPRODUCT(--ISNUMBER(Risk_Rank_Keys!$C$2:$C$800),--(Risk_Rank_Keys!$C$2:$C$800&lt;Risk_Rank_Keys!C262))+(SUMPRODUCT(--ISNUMBER(Risk_Rank_Keys!$C$2:$C$800),--(Risk_Rank_Keys!$C$2:$C$800=Risk_Rank_Keys!C262))+1)/2)/COUNT(Risk_Rank_Keys!$C$2:$C$800))</f>
        <v/>
      </c>
      <c r="O262">
        <f>IF(OR(B262="NW",COUNT(Risk_Rank_Keys!D262)=0),0.5,(SUMPRODUCT(--ISNUMBER(Risk_Rank_Keys!$D$2:$D$800),--(Risk_Rank_Keys!$D$2:$D$800&lt;Risk_Rank_Keys!D262))+(SUMPRODUCT(--ISNUMBER(Risk_Rank_Keys!$D$2:$D$800),--(Risk_Rank_Keys!$D$2:$D$800=Risk_Rank_Keys!D262))+1)/2)/COUNT(Risk_Rank_Keys!$D$2:$D$800))</f>
        <v/>
      </c>
      <c r="P262">
        <f>AVERAGE(M262:O262)</f>
        <v/>
      </c>
      <c r="Q262">
        <f>0.4*H262+0.4*I262+0.2*P262</f>
        <v/>
      </c>
      <c r="R262">
        <f>PERCENTILE($Q$2:$Q$800,0.75)</f>
        <v/>
      </c>
      <c r="S262">
        <f>OR(Q262&gt;=R262,AND(B262="CW",COUNT(J262:L262)&lt;3))</f>
        <v/>
      </c>
      <c r="T262" t="n">
        <v>0.2781255077687097</v>
      </c>
      <c r="U262" t="n">
        <v>9.803721880433846</v>
      </c>
      <c r="V262" t="n">
        <v>0.6230813854370497</v>
      </c>
      <c r="W262">
        <f>Q262-V262</f>
        <v/>
      </c>
    </row>
    <row r="263">
      <c r="A263" t="inlineStr">
        <is>
          <t>2022-06-02</t>
        </is>
      </c>
      <c r="B263" t="inlineStr">
        <is>
          <t>CW</t>
        </is>
      </c>
      <c r="C263" t="n">
        <v>-46.67160227356484</v>
      </c>
      <c r="D263">
        <f>SUMPRODUCT(Risk_Inputs!B263:AJ263,Risk_Coefs!$B$2:$AJ$2)</f>
        <v/>
      </c>
      <c r="E263">
        <f>1/(1+EXP(-MAX(-25,MIN(25,D263))))</f>
        <v/>
      </c>
      <c r="F263">
        <f>SUMPRODUCT(Risk_Inputs!B263:AJ263,Risk_Coefs!$B$3:$AJ$3)</f>
        <v/>
      </c>
      <c r="G263">
        <f>MAX(0,F263)</f>
        <v/>
      </c>
      <c r="H263">
        <f>(SUMPRODUCT(--ISNUMBER($E$2:$E$800),--($E$2:$E$800&lt;E263))+(SUMPRODUCT(--ISNUMBER($E$2:$E$800),--($E$2:$E$800=E263))+1)/2)/COUNT($E$2:$E$800)</f>
        <v/>
      </c>
      <c r="I263">
        <f>(SUMPRODUCT(--ISNUMBER($G$2:$G$800),--($G$2:$G$800&lt;G263))+(SUMPRODUCT(--ISNUMBER($G$2:$G$800),--($G$2:$G$800=G263))+1)/2)/COUNT($G$2:$G$800)</f>
        <v/>
      </c>
      <c r="J263" t="n">
        <v>11.31218279514217</v>
      </c>
      <c r="K263" t="n">
        <v>15.47768043387569</v>
      </c>
      <c r="L263" t="n">
        <v>0.50062578222778</v>
      </c>
      <c r="M263">
        <f>IF(OR(B263="NW",COUNT(Risk_Rank_Keys!B263)=0),0.5,(SUMPRODUCT(--ISNUMBER(Risk_Rank_Keys!$B$2:$B$800),--(Risk_Rank_Keys!$B$2:$B$800&lt;Risk_Rank_Keys!B263))+(SUMPRODUCT(--ISNUMBER(Risk_Rank_Keys!$B$2:$B$800),--(Risk_Rank_Keys!$B$2:$B$800=Risk_Rank_Keys!B263))+1)/2)/COUNT(Risk_Rank_Keys!$B$2:$B$800))</f>
        <v/>
      </c>
      <c r="N263">
        <f>IF(OR(B263="NW",COUNT(Risk_Rank_Keys!C263)=0),0.5,(SUMPRODUCT(--ISNUMBER(Risk_Rank_Keys!$C$2:$C$800),--(Risk_Rank_Keys!$C$2:$C$800&lt;Risk_Rank_Keys!C263))+(SUMPRODUCT(--ISNUMBER(Risk_Rank_Keys!$C$2:$C$800),--(Risk_Rank_Keys!$C$2:$C$800=Risk_Rank_Keys!C263))+1)/2)/COUNT(Risk_Rank_Keys!$C$2:$C$800))</f>
        <v/>
      </c>
      <c r="O263">
        <f>IF(OR(B263="NW",COUNT(Risk_Rank_Keys!D263)=0),0.5,(SUMPRODUCT(--ISNUMBER(Risk_Rank_Keys!$D$2:$D$800),--(Risk_Rank_Keys!$D$2:$D$800&lt;Risk_Rank_Keys!D263))+(SUMPRODUCT(--ISNUMBER(Risk_Rank_Keys!$D$2:$D$800),--(Risk_Rank_Keys!$D$2:$D$800=Risk_Rank_Keys!D263))+1)/2)/COUNT(Risk_Rank_Keys!$D$2:$D$800))</f>
        <v/>
      </c>
      <c r="P263">
        <f>AVERAGE(M263:O263)</f>
        <v/>
      </c>
      <c r="Q263">
        <f>0.4*H263+0.4*I263+0.2*P263</f>
        <v/>
      </c>
      <c r="R263">
        <f>PERCENTILE($Q$2:$Q$800,0.75)</f>
        <v/>
      </c>
      <c r="S263">
        <f>OR(Q263&gt;=R263,AND(B263="CW",COUNT(J263:L263)&lt;3))</f>
        <v/>
      </c>
      <c r="T263" t="n">
        <v>0.2242413368741548</v>
      </c>
      <c r="U263" t="n">
        <v>6.732510879266746</v>
      </c>
      <c r="V263" t="n">
        <v>0.3787636684395709</v>
      </c>
      <c r="W263">
        <f>Q263-V263</f>
        <v/>
      </c>
    </row>
    <row r="264">
      <c r="A264" t="inlineStr">
        <is>
          <t>2022-06-03</t>
        </is>
      </c>
      <c r="B264" t="inlineStr">
        <is>
          <t>CW</t>
        </is>
      </c>
      <c r="C264" t="n">
        <v>18.79204432437721</v>
      </c>
      <c r="D264">
        <f>SUMPRODUCT(Risk_Inputs!B264:AJ264,Risk_Coefs!$B$2:$AJ$2)</f>
        <v/>
      </c>
      <c r="E264">
        <f>1/(1+EXP(-MAX(-25,MIN(25,D264))))</f>
        <v/>
      </c>
      <c r="F264">
        <f>SUMPRODUCT(Risk_Inputs!B264:AJ264,Risk_Coefs!$B$3:$AJ$3)</f>
        <v/>
      </c>
      <c r="G264">
        <f>MAX(0,F264)</f>
        <v/>
      </c>
      <c r="H264">
        <f>(SUMPRODUCT(--ISNUMBER($E$2:$E$800),--($E$2:$E$800&lt;E264))+(SUMPRODUCT(--ISNUMBER($E$2:$E$800),--($E$2:$E$800=E264))+1)/2)/COUNT($E$2:$E$800)</f>
        <v/>
      </c>
      <c r="I264">
        <f>(SUMPRODUCT(--ISNUMBER($G$2:$G$800),--($G$2:$G$800&lt;G264))+(SUMPRODUCT(--ISNUMBER($G$2:$G$800),--($G$2:$G$800=G264))+1)/2)/COUNT($G$2:$G$800)</f>
        <v/>
      </c>
      <c r="J264" t="n">
        <v>9.445262173064938</v>
      </c>
      <c r="K264" t="n">
        <v>1.150659711567966</v>
      </c>
      <c r="L264" t="n">
        <v>0.1994476833384404</v>
      </c>
      <c r="M264">
        <f>IF(OR(B264="NW",COUNT(Risk_Rank_Keys!B264)=0),0.5,(SUMPRODUCT(--ISNUMBER(Risk_Rank_Keys!$B$2:$B$800),--(Risk_Rank_Keys!$B$2:$B$800&lt;Risk_Rank_Keys!B264))+(SUMPRODUCT(--ISNUMBER(Risk_Rank_Keys!$B$2:$B$800),--(Risk_Rank_Keys!$B$2:$B$800=Risk_Rank_Keys!B264))+1)/2)/COUNT(Risk_Rank_Keys!$B$2:$B$800))</f>
        <v/>
      </c>
      <c r="N264">
        <f>IF(OR(B264="NW",COUNT(Risk_Rank_Keys!C264)=0),0.5,(SUMPRODUCT(--ISNUMBER(Risk_Rank_Keys!$C$2:$C$800),--(Risk_Rank_Keys!$C$2:$C$800&lt;Risk_Rank_Keys!C264))+(SUMPRODUCT(--ISNUMBER(Risk_Rank_Keys!$C$2:$C$800),--(Risk_Rank_Keys!$C$2:$C$800=Risk_Rank_Keys!C264))+1)/2)/COUNT(Risk_Rank_Keys!$C$2:$C$800))</f>
        <v/>
      </c>
      <c r="O264">
        <f>IF(OR(B264="NW",COUNT(Risk_Rank_Keys!D264)=0),0.5,(SUMPRODUCT(--ISNUMBER(Risk_Rank_Keys!$D$2:$D$800),--(Risk_Rank_Keys!$D$2:$D$800&lt;Risk_Rank_Keys!D264))+(SUMPRODUCT(--ISNUMBER(Risk_Rank_Keys!$D$2:$D$800),--(Risk_Rank_Keys!$D$2:$D$800=Risk_Rank_Keys!D264))+1)/2)/COUNT(Risk_Rank_Keys!$D$2:$D$800))</f>
        <v/>
      </c>
      <c r="P264">
        <f>AVERAGE(M264:O264)</f>
        <v/>
      </c>
      <c r="Q264">
        <f>0.4*H264+0.4*I264+0.2*P264</f>
        <v/>
      </c>
      <c r="R264">
        <f>PERCENTILE($Q$2:$Q$800,0.75)</f>
        <v/>
      </c>
      <c r="S264">
        <f>OR(Q264&gt;=R264,AND(B264="CW",COUNT(J264:L264)&lt;3))</f>
        <v/>
      </c>
      <c r="T264" t="n">
        <v>0.2484015980660334</v>
      </c>
      <c r="U264" t="n">
        <v>9.001928385854558</v>
      </c>
      <c r="V264" t="n">
        <v>0.4320369080597609</v>
      </c>
      <c r="W264">
        <f>Q264-V264</f>
        <v/>
      </c>
    </row>
    <row r="265">
      <c r="A265" t="inlineStr">
        <is>
          <t>2022-06-06</t>
        </is>
      </c>
      <c r="B265" t="inlineStr">
        <is>
          <t>CW</t>
        </is>
      </c>
      <c r="C265" t="n">
        <v>9.680410054414512</v>
      </c>
      <c r="D265">
        <f>SUMPRODUCT(Risk_Inputs!B265:AJ265,Risk_Coefs!$B$2:$AJ$2)</f>
        <v/>
      </c>
      <c r="E265">
        <f>1/(1+EXP(-MAX(-25,MIN(25,D265))))</f>
        <v/>
      </c>
      <c r="F265">
        <f>SUMPRODUCT(Risk_Inputs!B265:AJ265,Risk_Coefs!$B$3:$AJ$3)</f>
        <v/>
      </c>
      <c r="G265">
        <f>MAX(0,F265)</f>
        <v/>
      </c>
      <c r="H265">
        <f>(SUMPRODUCT(--ISNUMBER($E$2:$E$800),--($E$2:$E$800&lt;E265))+(SUMPRODUCT(--ISNUMBER($E$2:$E$800),--($E$2:$E$800=E265))+1)/2)/COUNT($E$2:$E$800)</f>
        <v/>
      </c>
      <c r="I265">
        <f>(SUMPRODUCT(--ISNUMBER($G$2:$G$800),--($G$2:$G$800&lt;G265))+(SUMPRODUCT(--ISNUMBER($G$2:$G$800),--($G$2:$G$800=G265))+1)/2)/COUNT($G$2:$G$800)</f>
        <v/>
      </c>
      <c r="J265" t="n">
        <v>23.6239002667104</v>
      </c>
      <c r="K265" t="n">
        <v>9.514597256419259</v>
      </c>
      <c r="L265" t="n">
        <v>0.4220893422441144</v>
      </c>
      <c r="M265">
        <f>IF(OR(B265="NW",COUNT(Risk_Rank_Keys!B265)=0),0.5,(SUMPRODUCT(--ISNUMBER(Risk_Rank_Keys!$B$2:$B$800),--(Risk_Rank_Keys!$B$2:$B$800&lt;Risk_Rank_Keys!B265))+(SUMPRODUCT(--ISNUMBER(Risk_Rank_Keys!$B$2:$B$800),--(Risk_Rank_Keys!$B$2:$B$800=Risk_Rank_Keys!B265))+1)/2)/COUNT(Risk_Rank_Keys!$B$2:$B$800))</f>
        <v/>
      </c>
      <c r="N265">
        <f>IF(OR(B265="NW",COUNT(Risk_Rank_Keys!C265)=0),0.5,(SUMPRODUCT(--ISNUMBER(Risk_Rank_Keys!$C$2:$C$800),--(Risk_Rank_Keys!$C$2:$C$800&lt;Risk_Rank_Keys!C265))+(SUMPRODUCT(--ISNUMBER(Risk_Rank_Keys!$C$2:$C$800),--(Risk_Rank_Keys!$C$2:$C$800=Risk_Rank_Keys!C265))+1)/2)/COUNT(Risk_Rank_Keys!$C$2:$C$800))</f>
        <v/>
      </c>
      <c r="O265">
        <f>IF(OR(B265="NW",COUNT(Risk_Rank_Keys!D265)=0),0.5,(SUMPRODUCT(--ISNUMBER(Risk_Rank_Keys!$D$2:$D$800),--(Risk_Rank_Keys!$D$2:$D$800&lt;Risk_Rank_Keys!D265))+(SUMPRODUCT(--ISNUMBER(Risk_Rank_Keys!$D$2:$D$800),--(Risk_Rank_Keys!$D$2:$D$800=Risk_Rank_Keys!D265))+1)/2)/COUNT(Risk_Rank_Keys!$D$2:$D$800))</f>
        <v/>
      </c>
      <c r="P265">
        <f>AVERAGE(M265:O265)</f>
        <v/>
      </c>
      <c r="Q265">
        <f>0.4*H265+0.4*I265+0.2*P265</f>
        <v/>
      </c>
      <c r="R265">
        <f>PERCENTILE($Q$2:$Q$800,0.75)</f>
        <v/>
      </c>
      <c r="S265">
        <f>OR(Q265&gt;=R265,AND(B265="CW",COUNT(J265:L265)&lt;3))</f>
        <v/>
      </c>
      <c r="T265" t="n">
        <v>0.2166334468472262</v>
      </c>
      <c r="U265" t="n">
        <v>4.071978639859784</v>
      </c>
      <c r="V265" t="n">
        <v>0.2504683620681128</v>
      </c>
      <c r="W265">
        <f>Q265-V265</f>
        <v/>
      </c>
    </row>
    <row r="266">
      <c r="A266" t="inlineStr">
        <is>
          <t>2022-06-07</t>
        </is>
      </c>
      <c r="B266" t="inlineStr">
        <is>
          <t>CW</t>
        </is>
      </c>
      <c r="C266" t="n">
        <v>29.72142131265728</v>
      </c>
      <c r="D266">
        <f>SUMPRODUCT(Risk_Inputs!B266:AJ266,Risk_Coefs!$B$2:$AJ$2)</f>
        <v/>
      </c>
      <c r="E266">
        <f>1/(1+EXP(-MAX(-25,MIN(25,D266))))</f>
        <v/>
      </c>
      <c r="F266">
        <f>SUMPRODUCT(Risk_Inputs!B266:AJ266,Risk_Coefs!$B$3:$AJ$3)</f>
        <v/>
      </c>
      <c r="G266">
        <f>MAX(0,F266)</f>
        <v/>
      </c>
      <c r="H266">
        <f>(SUMPRODUCT(--ISNUMBER($E$2:$E$800),--($E$2:$E$800&lt;E266))+(SUMPRODUCT(--ISNUMBER($E$2:$E$800),--($E$2:$E$800=E266))+1)/2)/COUNT($E$2:$E$800)</f>
        <v/>
      </c>
      <c r="I266">
        <f>(SUMPRODUCT(--ISNUMBER($G$2:$G$800),--($G$2:$G$800&lt;G266))+(SUMPRODUCT(--ISNUMBER($G$2:$G$800),--($G$2:$G$800=G266))+1)/2)/COUNT($G$2:$G$800)</f>
        <v/>
      </c>
      <c r="J266" t="n">
        <v>8.274695555090418</v>
      </c>
      <c r="K266" t="n">
        <v>3.91709844559585</v>
      </c>
      <c r="L266" t="n">
        <v>0.1658031088082925</v>
      </c>
      <c r="M266">
        <f>IF(OR(B266="NW",COUNT(Risk_Rank_Keys!B266)=0),0.5,(SUMPRODUCT(--ISNUMBER(Risk_Rank_Keys!$B$2:$B$800),--(Risk_Rank_Keys!$B$2:$B$800&lt;Risk_Rank_Keys!B266))+(SUMPRODUCT(--ISNUMBER(Risk_Rank_Keys!$B$2:$B$800),--(Risk_Rank_Keys!$B$2:$B$800=Risk_Rank_Keys!B266))+1)/2)/COUNT(Risk_Rank_Keys!$B$2:$B$800))</f>
        <v/>
      </c>
      <c r="N266">
        <f>IF(OR(B266="NW",COUNT(Risk_Rank_Keys!C266)=0),0.5,(SUMPRODUCT(--ISNUMBER(Risk_Rank_Keys!$C$2:$C$800),--(Risk_Rank_Keys!$C$2:$C$800&lt;Risk_Rank_Keys!C266))+(SUMPRODUCT(--ISNUMBER(Risk_Rank_Keys!$C$2:$C$800),--(Risk_Rank_Keys!$C$2:$C$800=Risk_Rank_Keys!C266))+1)/2)/COUNT(Risk_Rank_Keys!$C$2:$C$800))</f>
        <v/>
      </c>
      <c r="O266">
        <f>IF(OR(B266="NW",COUNT(Risk_Rank_Keys!D266)=0),0.5,(SUMPRODUCT(--ISNUMBER(Risk_Rank_Keys!$D$2:$D$800),--(Risk_Rank_Keys!$D$2:$D$800&lt;Risk_Rank_Keys!D266))+(SUMPRODUCT(--ISNUMBER(Risk_Rank_Keys!$D$2:$D$800),--(Risk_Rank_Keys!$D$2:$D$800=Risk_Rank_Keys!D266))+1)/2)/COUNT(Risk_Rank_Keys!$D$2:$D$800))</f>
        <v/>
      </c>
      <c r="P266">
        <f>AVERAGE(M266:O266)</f>
        <v/>
      </c>
      <c r="Q266">
        <f>0.4*H266+0.4*I266+0.2*P266</f>
        <v/>
      </c>
      <c r="R266">
        <f>PERCENTILE($Q$2:$Q$800,0.75)</f>
        <v/>
      </c>
      <c r="S266">
        <f>OR(Q266&gt;=R266,AND(B266="CW",COUNT(J266:L266)&lt;3))</f>
        <v/>
      </c>
      <c r="T266" t="n">
        <v>0.2700864847757802</v>
      </c>
      <c r="U266" t="n">
        <v>4.45291331090751</v>
      </c>
      <c r="V266" t="n">
        <v>0.2654228990329032</v>
      </c>
      <c r="W266">
        <f>Q266-V266</f>
        <v/>
      </c>
    </row>
    <row r="267">
      <c r="A267" t="inlineStr">
        <is>
          <t>2022-06-08</t>
        </is>
      </c>
      <c r="B267" t="inlineStr">
        <is>
          <t>CW</t>
        </is>
      </c>
      <c r="C267" t="n">
        <v>43.1087189358787</v>
      </c>
      <c r="D267">
        <f>SUMPRODUCT(Risk_Inputs!B267:AJ267,Risk_Coefs!$B$2:$AJ$2)</f>
        <v/>
      </c>
      <c r="E267">
        <f>1/(1+EXP(-MAX(-25,MIN(25,D267))))</f>
        <v/>
      </c>
      <c r="F267">
        <f>SUMPRODUCT(Risk_Inputs!B267:AJ267,Risk_Coefs!$B$3:$AJ$3)</f>
        <v/>
      </c>
      <c r="G267">
        <f>MAX(0,F267)</f>
        <v/>
      </c>
      <c r="H267">
        <f>(SUMPRODUCT(--ISNUMBER($E$2:$E$800),--($E$2:$E$800&lt;E267))+(SUMPRODUCT(--ISNUMBER($E$2:$E$800),--($E$2:$E$800=E267))+1)/2)/COUNT($E$2:$E$800)</f>
        <v/>
      </c>
      <c r="I267">
        <f>(SUMPRODUCT(--ISNUMBER($G$2:$G$800),--($G$2:$G$800&lt;G267))+(SUMPRODUCT(--ISNUMBER($G$2:$G$800),--($G$2:$G$800=G267))+1)/2)/COUNT($G$2:$G$800)</f>
        <v/>
      </c>
      <c r="J267" t="n">
        <v>27.38735014468965</v>
      </c>
      <c r="K267" t="n">
        <v>9.868584180510805</v>
      </c>
      <c r="L267" t="n">
        <v>0.4463178775105339</v>
      </c>
      <c r="M267">
        <f>IF(OR(B267="NW",COUNT(Risk_Rank_Keys!B267)=0),0.5,(SUMPRODUCT(--ISNUMBER(Risk_Rank_Keys!$B$2:$B$800),--(Risk_Rank_Keys!$B$2:$B$800&lt;Risk_Rank_Keys!B267))+(SUMPRODUCT(--ISNUMBER(Risk_Rank_Keys!$B$2:$B$800),--(Risk_Rank_Keys!$B$2:$B$800=Risk_Rank_Keys!B267))+1)/2)/COUNT(Risk_Rank_Keys!$B$2:$B$800))</f>
        <v/>
      </c>
      <c r="N267">
        <f>IF(OR(B267="NW",COUNT(Risk_Rank_Keys!C267)=0),0.5,(SUMPRODUCT(--ISNUMBER(Risk_Rank_Keys!$C$2:$C$800),--(Risk_Rank_Keys!$C$2:$C$800&lt;Risk_Rank_Keys!C267))+(SUMPRODUCT(--ISNUMBER(Risk_Rank_Keys!$C$2:$C$800),--(Risk_Rank_Keys!$C$2:$C$800=Risk_Rank_Keys!C267))+1)/2)/COUNT(Risk_Rank_Keys!$C$2:$C$800))</f>
        <v/>
      </c>
      <c r="O267">
        <f>IF(OR(B267="NW",COUNT(Risk_Rank_Keys!D267)=0),0.5,(SUMPRODUCT(--ISNUMBER(Risk_Rank_Keys!$D$2:$D$800),--(Risk_Rank_Keys!$D$2:$D$800&lt;Risk_Rank_Keys!D267))+(SUMPRODUCT(--ISNUMBER(Risk_Rank_Keys!$D$2:$D$800),--(Risk_Rank_Keys!$D$2:$D$800=Risk_Rank_Keys!D267))+1)/2)/COUNT(Risk_Rank_Keys!$D$2:$D$800))</f>
        <v/>
      </c>
      <c r="P267">
        <f>AVERAGE(M267:O267)</f>
        <v/>
      </c>
      <c r="Q267">
        <f>0.4*H267+0.4*I267+0.2*P267</f>
        <v/>
      </c>
      <c r="R267">
        <f>PERCENTILE($Q$2:$Q$800,0.75)</f>
        <v/>
      </c>
      <c r="S267">
        <f>OR(Q267&gt;=R267,AND(B267="CW",COUNT(J267:L267)&lt;3))</f>
        <v/>
      </c>
      <c r="T267" t="n">
        <v>0.238139264184161</v>
      </c>
      <c r="U267" t="n">
        <v>7.415642684944207</v>
      </c>
      <c r="V267" t="n">
        <v>0.4505116518847071</v>
      </c>
      <c r="W267">
        <f>Q267-V267</f>
        <v/>
      </c>
    </row>
    <row r="268">
      <c r="A268" t="inlineStr">
        <is>
          <t>2022-06-09</t>
        </is>
      </c>
      <c r="B268" t="inlineStr">
        <is>
          <t>CW</t>
        </is>
      </c>
      <c r="C268" t="n">
        <v>8.413643835585471</v>
      </c>
      <c r="D268">
        <f>SUMPRODUCT(Risk_Inputs!B268:AJ268,Risk_Coefs!$B$2:$AJ$2)</f>
        <v/>
      </c>
      <c r="E268">
        <f>1/(1+EXP(-MAX(-25,MIN(25,D268))))</f>
        <v/>
      </c>
      <c r="F268">
        <f>SUMPRODUCT(Risk_Inputs!B268:AJ268,Risk_Coefs!$B$3:$AJ$3)</f>
        <v/>
      </c>
      <c r="G268">
        <f>MAX(0,F268)</f>
        <v/>
      </c>
      <c r="H268">
        <f>(SUMPRODUCT(--ISNUMBER($E$2:$E$800),--($E$2:$E$800&lt;E268))+(SUMPRODUCT(--ISNUMBER($E$2:$E$800),--($E$2:$E$800=E268))+1)/2)/COUNT($E$2:$E$800)</f>
        <v/>
      </c>
      <c r="I268">
        <f>(SUMPRODUCT(--ISNUMBER($G$2:$G$800),--($G$2:$G$800&lt;G268))+(SUMPRODUCT(--ISNUMBER($G$2:$G$800),--($G$2:$G$800=G268))+1)/2)/COUNT($G$2:$G$800)</f>
        <v/>
      </c>
      <c r="J268" t="n">
        <v>12.66371384924558</v>
      </c>
      <c r="K268" t="n">
        <v>3.423680456490722</v>
      </c>
      <c r="L268" t="n">
        <v>0.1902044698050363</v>
      </c>
      <c r="M268">
        <f>IF(OR(B268="NW",COUNT(Risk_Rank_Keys!B268)=0),0.5,(SUMPRODUCT(--ISNUMBER(Risk_Rank_Keys!$B$2:$B$800),--(Risk_Rank_Keys!$B$2:$B$800&lt;Risk_Rank_Keys!B268))+(SUMPRODUCT(--ISNUMBER(Risk_Rank_Keys!$B$2:$B$800),--(Risk_Rank_Keys!$B$2:$B$800=Risk_Rank_Keys!B268))+1)/2)/COUNT(Risk_Rank_Keys!$B$2:$B$800))</f>
        <v/>
      </c>
      <c r="N268">
        <f>IF(OR(B268="NW",COUNT(Risk_Rank_Keys!C268)=0),0.5,(SUMPRODUCT(--ISNUMBER(Risk_Rank_Keys!$C$2:$C$800),--(Risk_Rank_Keys!$C$2:$C$800&lt;Risk_Rank_Keys!C268))+(SUMPRODUCT(--ISNUMBER(Risk_Rank_Keys!$C$2:$C$800),--(Risk_Rank_Keys!$C$2:$C$800=Risk_Rank_Keys!C268))+1)/2)/COUNT(Risk_Rank_Keys!$C$2:$C$800))</f>
        <v/>
      </c>
      <c r="O268">
        <f>IF(OR(B268="NW",COUNT(Risk_Rank_Keys!D268)=0),0.5,(SUMPRODUCT(--ISNUMBER(Risk_Rank_Keys!$D$2:$D$800),--(Risk_Rank_Keys!$D$2:$D$800&lt;Risk_Rank_Keys!D268))+(SUMPRODUCT(--ISNUMBER(Risk_Rank_Keys!$D$2:$D$800),--(Risk_Rank_Keys!$D$2:$D$800=Risk_Rank_Keys!D268))+1)/2)/COUNT(Risk_Rank_Keys!$D$2:$D$800))</f>
        <v/>
      </c>
      <c r="P268">
        <f>AVERAGE(M268:O268)</f>
        <v/>
      </c>
      <c r="Q268">
        <f>0.4*H268+0.4*I268+0.2*P268</f>
        <v/>
      </c>
      <c r="R268">
        <f>PERCENTILE($Q$2:$Q$800,0.75)</f>
        <v/>
      </c>
      <c r="S268">
        <f>OR(Q268&gt;=R268,AND(B268="CW",COUNT(J268:L268)&lt;3))</f>
        <v/>
      </c>
      <c r="T268" t="n">
        <v>0.3256860813844565</v>
      </c>
      <c r="U268" t="n">
        <v>6.272575556399653</v>
      </c>
      <c r="V268" t="n">
        <v>0.4989875186847344</v>
      </c>
      <c r="W268">
        <f>Q268-V268</f>
        <v/>
      </c>
    </row>
    <row r="269">
      <c r="A269" t="inlineStr">
        <is>
          <t>2022-06-13</t>
        </is>
      </c>
      <c r="B269" t="inlineStr">
        <is>
          <t>CW</t>
        </is>
      </c>
      <c r="C269" t="n">
        <v>19.05521762012046</v>
      </c>
      <c r="D269">
        <f>SUMPRODUCT(Risk_Inputs!B269:AJ269,Risk_Coefs!$B$2:$AJ$2)</f>
        <v/>
      </c>
      <c r="E269">
        <f>1/(1+EXP(-MAX(-25,MIN(25,D269))))</f>
        <v/>
      </c>
      <c r="F269">
        <f>SUMPRODUCT(Risk_Inputs!B269:AJ269,Risk_Coefs!$B$3:$AJ$3)</f>
        <v/>
      </c>
      <c r="G269">
        <f>MAX(0,F269)</f>
        <v/>
      </c>
      <c r="H269">
        <f>(SUMPRODUCT(--ISNUMBER($E$2:$E$800),--($E$2:$E$800&lt;E269))+(SUMPRODUCT(--ISNUMBER($E$2:$E$800),--($E$2:$E$800=E269))+1)/2)/COUNT($E$2:$E$800)</f>
        <v/>
      </c>
      <c r="I269">
        <f>(SUMPRODUCT(--ISNUMBER($G$2:$G$800),--($G$2:$G$800&lt;G269))+(SUMPRODUCT(--ISNUMBER($G$2:$G$800),--($G$2:$G$800=G269))+1)/2)/COUNT($G$2:$G$800)</f>
        <v/>
      </c>
      <c r="J269" t="n">
        <v>9.874751553775724</v>
      </c>
      <c r="K269" t="n">
        <v>1.801242236024848</v>
      </c>
      <c r="L269" t="n">
        <v>0.20186335403726</v>
      </c>
      <c r="M269">
        <f>IF(OR(B269="NW",COUNT(Risk_Rank_Keys!B269)=0),0.5,(SUMPRODUCT(--ISNUMBER(Risk_Rank_Keys!$B$2:$B$800),--(Risk_Rank_Keys!$B$2:$B$800&lt;Risk_Rank_Keys!B269))+(SUMPRODUCT(--ISNUMBER(Risk_Rank_Keys!$B$2:$B$800),--(Risk_Rank_Keys!$B$2:$B$800=Risk_Rank_Keys!B269))+1)/2)/COUNT(Risk_Rank_Keys!$B$2:$B$800))</f>
        <v/>
      </c>
      <c r="N269">
        <f>IF(OR(B269="NW",COUNT(Risk_Rank_Keys!C269)=0),0.5,(SUMPRODUCT(--ISNUMBER(Risk_Rank_Keys!$C$2:$C$800),--(Risk_Rank_Keys!$C$2:$C$800&lt;Risk_Rank_Keys!C269))+(SUMPRODUCT(--ISNUMBER(Risk_Rank_Keys!$C$2:$C$800),--(Risk_Rank_Keys!$C$2:$C$800=Risk_Rank_Keys!C269))+1)/2)/COUNT(Risk_Rank_Keys!$C$2:$C$800))</f>
        <v/>
      </c>
      <c r="O269">
        <f>IF(OR(B269="NW",COUNT(Risk_Rank_Keys!D269)=0),0.5,(SUMPRODUCT(--ISNUMBER(Risk_Rank_Keys!$D$2:$D$800),--(Risk_Rank_Keys!$D$2:$D$800&lt;Risk_Rank_Keys!D269))+(SUMPRODUCT(--ISNUMBER(Risk_Rank_Keys!$D$2:$D$800),--(Risk_Rank_Keys!$D$2:$D$800=Risk_Rank_Keys!D269))+1)/2)/COUNT(Risk_Rank_Keys!$D$2:$D$800))</f>
        <v/>
      </c>
      <c r="P269">
        <f>AVERAGE(M269:O269)</f>
        <v/>
      </c>
      <c r="Q269">
        <f>0.4*H269+0.4*I269+0.2*P269</f>
        <v/>
      </c>
      <c r="R269">
        <f>PERCENTILE($Q$2:$Q$800,0.75)</f>
        <v/>
      </c>
      <c r="S269">
        <f>OR(Q269&gt;=R269,AND(B269="CW",COUNT(J269:L269)&lt;3))</f>
        <v/>
      </c>
      <c r="T269" t="n">
        <v>0.3854652501100557</v>
      </c>
      <c r="U269" t="n">
        <v>6.111383782961402</v>
      </c>
      <c r="V269" t="n">
        <v>0.5470887889266511</v>
      </c>
      <c r="W269">
        <f>Q269-V269</f>
        <v/>
      </c>
    </row>
    <row r="270">
      <c r="A270" t="inlineStr">
        <is>
          <t>2022-06-15</t>
        </is>
      </c>
      <c r="B270" t="inlineStr">
        <is>
          <t>CW</t>
        </is>
      </c>
      <c r="C270" t="n">
        <v>-35.51792815593961</v>
      </c>
      <c r="D270">
        <f>SUMPRODUCT(Risk_Inputs!B270:AJ270,Risk_Coefs!$B$2:$AJ$2)</f>
        <v/>
      </c>
      <c r="E270">
        <f>1/(1+EXP(-MAX(-25,MIN(25,D270))))</f>
        <v/>
      </c>
      <c r="F270">
        <f>SUMPRODUCT(Risk_Inputs!B270:AJ270,Risk_Coefs!$B$3:$AJ$3)</f>
        <v/>
      </c>
      <c r="G270">
        <f>MAX(0,F270)</f>
        <v/>
      </c>
      <c r="H270">
        <f>(SUMPRODUCT(--ISNUMBER($E$2:$E$800),--($E$2:$E$800&lt;E270))+(SUMPRODUCT(--ISNUMBER($E$2:$E$800),--($E$2:$E$800=E270))+1)/2)/COUNT($E$2:$E$800)</f>
        <v/>
      </c>
      <c r="I270">
        <f>(SUMPRODUCT(--ISNUMBER($G$2:$G$800),--($G$2:$G$800&lt;G270))+(SUMPRODUCT(--ISNUMBER($G$2:$G$800),--($G$2:$G$800=G270))+1)/2)/COUNT($G$2:$G$800)</f>
        <v/>
      </c>
      <c r="J270" t="n">
        <v>26.44261255548556</v>
      </c>
      <c r="K270" t="n">
        <v>9.188263011351465</v>
      </c>
      <c r="L270" t="n">
        <v>0.4926108374384261</v>
      </c>
      <c r="M270">
        <f>IF(OR(B270="NW",COUNT(Risk_Rank_Keys!B270)=0),0.5,(SUMPRODUCT(--ISNUMBER(Risk_Rank_Keys!$B$2:$B$800),--(Risk_Rank_Keys!$B$2:$B$800&lt;Risk_Rank_Keys!B270))+(SUMPRODUCT(--ISNUMBER(Risk_Rank_Keys!$B$2:$B$800),--(Risk_Rank_Keys!$B$2:$B$800=Risk_Rank_Keys!B270))+1)/2)/COUNT(Risk_Rank_Keys!$B$2:$B$800))</f>
        <v/>
      </c>
      <c r="N270">
        <f>IF(OR(B270="NW",COUNT(Risk_Rank_Keys!C270)=0),0.5,(SUMPRODUCT(--ISNUMBER(Risk_Rank_Keys!$C$2:$C$800),--(Risk_Rank_Keys!$C$2:$C$800&lt;Risk_Rank_Keys!C270))+(SUMPRODUCT(--ISNUMBER(Risk_Rank_Keys!$C$2:$C$800),--(Risk_Rank_Keys!$C$2:$C$800=Risk_Rank_Keys!C270))+1)/2)/COUNT(Risk_Rank_Keys!$C$2:$C$800))</f>
        <v/>
      </c>
      <c r="O270">
        <f>IF(OR(B270="NW",COUNT(Risk_Rank_Keys!D270)=0),0.5,(SUMPRODUCT(--ISNUMBER(Risk_Rank_Keys!$D$2:$D$800),--(Risk_Rank_Keys!$D$2:$D$800&lt;Risk_Rank_Keys!D270))+(SUMPRODUCT(--ISNUMBER(Risk_Rank_Keys!$D$2:$D$800),--(Risk_Rank_Keys!$D$2:$D$800=Risk_Rank_Keys!D270))+1)/2)/COUNT(Risk_Rank_Keys!$D$2:$D$800))</f>
        <v/>
      </c>
      <c r="P270">
        <f>AVERAGE(M270:O270)</f>
        <v/>
      </c>
      <c r="Q270">
        <f>0.4*H270+0.4*I270+0.2*P270</f>
        <v/>
      </c>
      <c r="R270">
        <f>PERCENTILE($Q$2:$Q$800,0.75)</f>
        <v/>
      </c>
      <c r="S270">
        <f>OR(Q270&gt;=R270,AND(B270="CW",COUNT(J270:L270)&lt;3))</f>
        <v/>
      </c>
      <c r="T270" t="n">
        <v>0.2591237866417607</v>
      </c>
      <c r="U270" t="n">
        <v>8.942294886769266</v>
      </c>
      <c r="V270" t="n">
        <v>0.57820695208853</v>
      </c>
      <c r="W270">
        <f>Q270-V270</f>
        <v/>
      </c>
    </row>
    <row r="271">
      <c r="A271" t="inlineStr">
        <is>
          <t>2022-06-16</t>
        </is>
      </c>
      <c r="B271" t="inlineStr">
        <is>
          <t>NW</t>
        </is>
      </c>
      <c r="C271" t="n">
        <v>-43.58777982457809</v>
      </c>
      <c r="D271">
        <f>SUMPRODUCT(Risk_Inputs!B271:AJ271,Risk_Coefs!$B$2:$AJ$2)</f>
        <v/>
      </c>
      <c r="E271">
        <f>1/(1+EXP(-MAX(-25,MIN(25,D271))))</f>
        <v/>
      </c>
      <c r="F271">
        <f>SUMPRODUCT(Risk_Inputs!B271:AJ271,Risk_Coefs!$B$3:$AJ$3)</f>
        <v/>
      </c>
      <c r="G271">
        <f>MAX(0,F271)</f>
        <v/>
      </c>
      <c r="H271">
        <f>(SUMPRODUCT(--ISNUMBER($E$2:$E$800),--($E$2:$E$800&lt;E271))+(SUMPRODUCT(--ISNUMBER($E$2:$E$800),--($E$2:$E$800=E271))+1)/2)/COUNT($E$2:$E$800)</f>
        <v/>
      </c>
      <c r="I271">
        <f>(SUMPRODUCT(--ISNUMBER($G$2:$G$800),--($G$2:$G$800&lt;G271))+(SUMPRODUCT(--ISNUMBER($G$2:$G$800),--($G$2:$G$800=G271))+1)/2)/COUNT($G$2:$G$800)</f>
        <v/>
      </c>
      <c r="M271">
        <f>IF(OR(B271="NW",COUNT(Risk_Rank_Keys!B271)=0),0.5,(SUMPRODUCT(--ISNUMBER(Risk_Rank_Keys!$B$2:$B$800),--(Risk_Rank_Keys!$B$2:$B$800&lt;Risk_Rank_Keys!B271))+(SUMPRODUCT(--ISNUMBER(Risk_Rank_Keys!$B$2:$B$800),--(Risk_Rank_Keys!$B$2:$B$800=Risk_Rank_Keys!B271))+1)/2)/COUNT(Risk_Rank_Keys!$B$2:$B$800))</f>
        <v/>
      </c>
      <c r="N271">
        <f>IF(OR(B271="NW",COUNT(Risk_Rank_Keys!C271)=0),0.5,(SUMPRODUCT(--ISNUMBER(Risk_Rank_Keys!$C$2:$C$800),--(Risk_Rank_Keys!$C$2:$C$800&lt;Risk_Rank_Keys!C271))+(SUMPRODUCT(--ISNUMBER(Risk_Rank_Keys!$C$2:$C$800),--(Risk_Rank_Keys!$C$2:$C$800=Risk_Rank_Keys!C271))+1)/2)/COUNT(Risk_Rank_Keys!$C$2:$C$800))</f>
        <v/>
      </c>
      <c r="O271">
        <f>IF(OR(B271="NW",COUNT(Risk_Rank_Keys!D271)=0),0.5,(SUMPRODUCT(--ISNUMBER(Risk_Rank_Keys!$D$2:$D$800),--(Risk_Rank_Keys!$D$2:$D$800&lt;Risk_Rank_Keys!D271))+(SUMPRODUCT(--ISNUMBER(Risk_Rank_Keys!$D$2:$D$800),--(Risk_Rank_Keys!$D$2:$D$800=Risk_Rank_Keys!D271))+1)/2)/COUNT(Risk_Rank_Keys!$D$2:$D$800))</f>
        <v/>
      </c>
      <c r="P271">
        <f>AVERAGE(M271:O271)</f>
        <v/>
      </c>
      <c r="Q271">
        <f>0.4*H271+0.4*I271+0.2*P271</f>
        <v/>
      </c>
      <c r="R271">
        <f>PERCENTILE($Q$2:$Q$800,0.75)</f>
        <v/>
      </c>
      <c r="S271">
        <f>OR(Q271&gt;=R271,AND(B271="CW",COUNT(J271:L271)&lt;3))</f>
        <v/>
      </c>
      <c r="T271" t="n">
        <v>0.4121992493852071</v>
      </c>
      <c r="U271" t="n">
        <v>13.07505758710708</v>
      </c>
      <c r="V271" t="n">
        <v>0.8659574468085106</v>
      </c>
      <c r="W271">
        <f>Q271-V271</f>
        <v/>
      </c>
    </row>
    <row r="272">
      <c r="A272" t="inlineStr">
        <is>
          <t>2022-06-17</t>
        </is>
      </c>
      <c r="B272" t="inlineStr">
        <is>
          <t>CW</t>
        </is>
      </c>
      <c r="C272" t="n">
        <v>23.76285379507845</v>
      </c>
      <c r="D272">
        <f>SUMPRODUCT(Risk_Inputs!B272:AJ272,Risk_Coefs!$B$2:$AJ$2)</f>
        <v/>
      </c>
      <c r="E272">
        <f>1/(1+EXP(-MAX(-25,MIN(25,D272))))</f>
        <v/>
      </c>
      <c r="F272">
        <f>SUMPRODUCT(Risk_Inputs!B272:AJ272,Risk_Coefs!$B$3:$AJ$3)</f>
        <v/>
      </c>
      <c r="G272">
        <f>MAX(0,F272)</f>
        <v/>
      </c>
      <c r="H272">
        <f>(SUMPRODUCT(--ISNUMBER($E$2:$E$800),--($E$2:$E$800&lt;E272))+(SUMPRODUCT(--ISNUMBER($E$2:$E$800),--($E$2:$E$800=E272))+1)/2)/COUNT($E$2:$E$800)</f>
        <v/>
      </c>
      <c r="I272">
        <f>(SUMPRODUCT(--ISNUMBER($G$2:$G$800),--($G$2:$G$800&lt;G272))+(SUMPRODUCT(--ISNUMBER($G$2:$G$800),--($G$2:$G$800=G272))+1)/2)/COUNT($G$2:$G$800)</f>
        <v/>
      </c>
      <c r="J272" t="n">
        <v>59.27629832787803</v>
      </c>
      <c r="K272" t="n">
        <v>4.399953439646136</v>
      </c>
      <c r="L272" t="n">
        <v>0.4423233616575499</v>
      </c>
      <c r="M272">
        <f>IF(OR(B272="NW",COUNT(Risk_Rank_Keys!B272)=0),0.5,(SUMPRODUCT(--ISNUMBER(Risk_Rank_Keys!$B$2:$B$800),--(Risk_Rank_Keys!$B$2:$B$800&lt;Risk_Rank_Keys!B272))+(SUMPRODUCT(--ISNUMBER(Risk_Rank_Keys!$B$2:$B$800),--(Risk_Rank_Keys!$B$2:$B$800=Risk_Rank_Keys!B272))+1)/2)/COUNT(Risk_Rank_Keys!$B$2:$B$800))</f>
        <v/>
      </c>
      <c r="N272">
        <f>IF(OR(B272="NW",COUNT(Risk_Rank_Keys!C272)=0),0.5,(SUMPRODUCT(--ISNUMBER(Risk_Rank_Keys!$C$2:$C$800),--(Risk_Rank_Keys!$C$2:$C$800&lt;Risk_Rank_Keys!C272))+(SUMPRODUCT(--ISNUMBER(Risk_Rank_Keys!$C$2:$C$800),--(Risk_Rank_Keys!$C$2:$C$800=Risk_Rank_Keys!C272))+1)/2)/COUNT(Risk_Rank_Keys!$C$2:$C$800))</f>
        <v/>
      </c>
      <c r="O272">
        <f>IF(OR(B272="NW",COUNT(Risk_Rank_Keys!D272)=0),0.5,(SUMPRODUCT(--ISNUMBER(Risk_Rank_Keys!$D$2:$D$800),--(Risk_Rank_Keys!$D$2:$D$800&lt;Risk_Rank_Keys!D272))+(SUMPRODUCT(--ISNUMBER(Risk_Rank_Keys!$D$2:$D$800),--(Risk_Rank_Keys!$D$2:$D$800=Risk_Rank_Keys!D272))+1)/2)/COUNT(Risk_Rank_Keys!$D$2:$D$800))</f>
        <v/>
      </c>
      <c r="P272">
        <f>AVERAGE(M272:O272)</f>
        <v/>
      </c>
      <c r="Q272">
        <f>0.4*H272+0.4*I272+0.2*P272</f>
        <v/>
      </c>
      <c r="R272">
        <f>PERCENTILE($Q$2:$Q$800,0.75)</f>
        <v/>
      </c>
      <c r="S272">
        <f>OR(Q272&gt;=R272,AND(B272="CW",COUNT(J272:L272)&lt;3))</f>
        <v/>
      </c>
      <c r="T272" t="n">
        <v>0.1606418124545544</v>
      </c>
      <c r="U272" t="n">
        <v>5.663867725591835</v>
      </c>
      <c r="V272" t="n">
        <v>0.2727601738342151</v>
      </c>
      <c r="W272">
        <f>Q272-V272</f>
        <v/>
      </c>
    </row>
    <row r="273">
      <c r="A273" t="inlineStr">
        <is>
          <t>2022-06-20</t>
        </is>
      </c>
      <c r="B273" t="inlineStr">
        <is>
          <t>CW</t>
        </is>
      </c>
      <c r="C273" t="n">
        <v>65.45328627804335</v>
      </c>
      <c r="D273">
        <f>SUMPRODUCT(Risk_Inputs!B273:AJ273,Risk_Coefs!$B$2:$AJ$2)</f>
        <v/>
      </c>
      <c r="E273">
        <f>1/(1+EXP(-MAX(-25,MIN(25,D273))))</f>
        <v/>
      </c>
      <c r="F273">
        <f>SUMPRODUCT(Risk_Inputs!B273:AJ273,Risk_Coefs!$B$3:$AJ$3)</f>
        <v/>
      </c>
      <c r="G273">
        <f>MAX(0,F273)</f>
        <v/>
      </c>
      <c r="H273">
        <f>(SUMPRODUCT(--ISNUMBER($E$2:$E$800),--($E$2:$E$800&lt;E273))+(SUMPRODUCT(--ISNUMBER($E$2:$E$800),--($E$2:$E$800=E273))+1)/2)/COUNT($E$2:$E$800)</f>
        <v/>
      </c>
      <c r="I273">
        <f>(SUMPRODUCT(--ISNUMBER($G$2:$G$800),--($G$2:$G$800&lt;G273))+(SUMPRODUCT(--ISNUMBER($G$2:$G$800),--($G$2:$G$800=G273))+1)/2)/COUNT($G$2:$G$800)</f>
        <v/>
      </c>
      <c r="J273" t="n">
        <v>21.08492721456967</v>
      </c>
      <c r="K273" t="n">
        <v>1.895734597156372</v>
      </c>
      <c r="L273" t="n">
        <v>0.1436162573603332</v>
      </c>
      <c r="M273">
        <f>IF(OR(B273="NW",COUNT(Risk_Rank_Keys!B273)=0),0.5,(SUMPRODUCT(--ISNUMBER(Risk_Rank_Keys!$B$2:$B$800),--(Risk_Rank_Keys!$B$2:$B$800&lt;Risk_Rank_Keys!B273))+(SUMPRODUCT(--ISNUMBER(Risk_Rank_Keys!$B$2:$B$800),--(Risk_Rank_Keys!$B$2:$B$800=Risk_Rank_Keys!B273))+1)/2)/COUNT(Risk_Rank_Keys!$B$2:$B$800))</f>
        <v/>
      </c>
      <c r="N273">
        <f>IF(OR(B273="NW",COUNT(Risk_Rank_Keys!C273)=0),0.5,(SUMPRODUCT(--ISNUMBER(Risk_Rank_Keys!$C$2:$C$800),--(Risk_Rank_Keys!$C$2:$C$800&lt;Risk_Rank_Keys!C273))+(SUMPRODUCT(--ISNUMBER(Risk_Rank_Keys!$C$2:$C$800),--(Risk_Rank_Keys!$C$2:$C$800=Risk_Rank_Keys!C273))+1)/2)/COUNT(Risk_Rank_Keys!$C$2:$C$800))</f>
        <v/>
      </c>
      <c r="O273">
        <f>IF(OR(B273="NW",COUNT(Risk_Rank_Keys!D273)=0),0.5,(SUMPRODUCT(--ISNUMBER(Risk_Rank_Keys!$D$2:$D$800),--(Risk_Rank_Keys!$D$2:$D$800&lt;Risk_Rank_Keys!D273))+(SUMPRODUCT(--ISNUMBER(Risk_Rank_Keys!$D$2:$D$800),--(Risk_Rank_Keys!$D$2:$D$800=Risk_Rank_Keys!D273))+1)/2)/COUNT(Risk_Rank_Keys!$D$2:$D$800))</f>
        <v/>
      </c>
      <c r="P273">
        <f>AVERAGE(M273:O273)</f>
        <v/>
      </c>
      <c r="Q273">
        <f>0.4*H273+0.4*I273+0.2*P273</f>
        <v/>
      </c>
      <c r="R273">
        <f>PERCENTILE($Q$2:$Q$800,0.75)</f>
        <v/>
      </c>
      <c r="S273">
        <f>OR(Q273&gt;=R273,AND(B273="CW",COUNT(J273:L273)&lt;3))</f>
        <v/>
      </c>
      <c r="T273" t="n">
        <v>0.3263826160170049</v>
      </c>
      <c r="U273" t="n">
        <v>9.193711315599893</v>
      </c>
      <c r="V273" t="n">
        <v>0.6428232873611773</v>
      </c>
      <c r="W273">
        <f>Q273-V273</f>
        <v/>
      </c>
    </row>
    <row r="274">
      <c r="A274" t="inlineStr">
        <is>
          <t>2022-06-21</t>
        </is>
      </c>
      <c r="B274" t="inlineStr">
        <is>
          <t>CW</t>
        </is>
      </c>
      <c r="C274" t="n">
        <v>-33.8657799902494</v>
      </c>
      <c r="D274">
        <f>SUMPRODUCT(Risk_Inputs!B274:AJ274,Risk_Coefs!$B$2:$AJ$2)</f>
        <v/>
      </c>
      <c r="E274">
        <f>1/(1+EXP(-MAX(-25,MIN(25,D274))))</f>
        <v/>
      </c>
      <c r="F274">
        <f>SUMPRODUCT(Risk_Inputs!B274:AJ274,Risk_Coefs!$B$3:$AJ$3)</f>
        <v/>
      </c>
      <c r="G274">
        <f>MAX(0,F274)</f>
        <v/>
      </c>
      <c r="H274">
        <f>(SUMPRODUCT(--ISNUMBER($E$2:$E$800),--($E$2:$E$800&lt;E274))+(SUMPRODUCT(--ISNUMBER($E$2:$E$800),--($E$2:$E$800=E274))+1)/2)/COUNT($E$2:$E$800)</f>
        <v/>
      </c>
      <c r="I274">
        <f>(SUMPRODUCT(--ISNUMBER($G$2:$G$800),--($G$2:$G$800&lt;G274))+(SUMPRODUCT(--ISNUMBER($G$2:$G$800),--($G$2:$G$800=G274))+1)/2)/COUNT($G$2:$G$800)</f>
        <v/>
      </c>
      <c r="J274" t="n">
        <v>14.42730707520268</v>
      </c>
      <c r="K274" t="n">
        <v>3.567060741948634</v>
      </c>
      <c r="L274" t="n">
        <v>0.1834488381573537</v>
      </c>
      <c r="M274">
        <f>IF(OR(B274="NW",COUNT(Risk_Rank_Keys!B274)=0),0.5,(SUMPRODUCT(--ISNUMBER(Risk_Rank_Keys!$B$2:$B$800),--(Risk_Rank_Keys!$B$2:$B$800&lt;Risk_Rank_Keys!B274))+(SUMPRODUCT(--ISNUMBER(Risk_Rank_Keys!$B$2:$B$800),--(Risk_Rank_Keys!$B$2:$B$800=Risk_Rank_Keys!B274))+1)/2)/COUNT(Risk_Rank_Keys!$B$2:$B$800))</f>
        <v/>
      </c>
      <c r="N274">
        <f>IF(OR(B274="NW",COUNT(Risk_Rank_Keys!C274)=0),0.5,(SUMPRODUCT(--ISNUMBER(Risk_Rank_Keys!$C$2:$C$800),--(Risk_Rank_Keys!$C$2:$C$800&lt;Risk_Rank_Keys!C274))+(SUMPRODUCT(--ISNUMBER(Risk_Rank_Keys!$C$2:$C$800),--(Risk_Rank_Keys!$C$2:$C$800=Risk_Rank_Keys!C274))+1)/2)/COUNT(Risk_Rank_Keys!$C$2:$C$800))</f>
        <v/>
      </c>
      <c r="O274">
        <f>IF(OR(B274="NW",COUNT(Risk_Rank_Keys!D274)=0),0.5,(SUMPRODUCT(--ISNUMBER(Risk_Rank_Keys!$D$2:$D$800),--(Risk_Rank_Keys!$D$2:$D$800&lt;Risk_Rank_Keys!D274))+(SUMPRODUCT(--ISNUMBER(Risk_Rank_Keys!$D$2:$D$800),--(Risk_Rank_Keys!$D$2:$D$800=Risk_Rank_Keys!D274))+1)/2)/COUNT(Risk_Rank_Keys!$D$2:$D$800))</f>
        <v/>
      </c>
      <c r="P274">
        <f>AVERAGE(M274:O274)</f>
        <v/>
      </c>
      <c r="Q274">
        <f>0.4*H274+0.4*I274+0.2*P274</f>
        <v/>
      </c>
      <c r="R274">
        <f>PERCENTILE($Q$2:$Q$800,0.75)</f>
        <v/>
      </c>
      <c r="S274">
        <f>OR(Q274&gt;=R274,AND(B274="CW",COUNT(J274:L274)&lt;3))</f>
        <v/>
      </c>
      <c r="T274" t="n">
        <v>0.2587680101004236</v>
      </c>
      <c r="U274" t="n">
        <v>7.204810488774973</v>
      </c>
      <c r="V274" t="n">
        <v>0.403861754203447</v>
      </c>
      <c r="W274">
        <f>Q274-V274</f>
        <v/>
      </c>
    </row>
    <row r="275">
      <c r="A275" t="inlineStr">
        <is>
          <t>2022-06-22</t>
        </is>
      </c>
      <c r="B275" t="inlineStr">
        <is>
          <t>CW</t>
        </is>
      </c>
      <c r="C275" t="n">
        <v>-13.20572674166975</v>
      </c>
      <c r="D275">
        <f>SUMPRODUCT(Risk_Inputs!B275:AJ275,Risk_Coefs!$B$2:$AJ$2)</f>
        <v/>
      </c>
      <c r="E275">
        <f>1/(1+EXP(-MAX(-25,MIN(25,D275))))</f>
        <v/>
      </c>
      <c r="F275">
        <f>SUMPRODUCT(Risk_Inputs!B275:AJ275,Risk_Coefs!$B$3:$AJ$3)</f>
        <v/>
      </c>
      <c r="G275">
        <f>MAX(0,F275)</f>
        <v/>
      </c>
      <c r="H275">
        <f>(SUMPRODUCT(--ISNUMBER($E$2:$E$800),--($E$2:$E$800&lt;E275))+(SUMPRODUCT(--ISNUMBER($E$2:$E$800),--($E$2:$E$800=E275))+1)/2)/COUNT($E$2:$E$800)</f>
        <v/>
      </c>
      <c r="I275">
        <f>(SUMPRODUCT(--ISNUMBER($G$2:$G$800),--($G$2:$G$800&lt;G275))+(SUMPRODUCT(--ISNUMBER($G$2:$G$800),--($G$2:$G$800=G275))+1)/2)/COUNT($G$2:$G$800)</f>
        <v/>
      </c>
      <c r="J275" t="n">
        <v>36.59192594000295</v>
      </c>
      <c r="K275" t="n">
        <v>8.374641273154195</v>
      </c>
      <c r="L275" t="n">
        <v>0.4435168275502262</v>
      </c>
      <c r="M275">
        <f>IF(OR(B275="NW",COUNT(Risk_Rank_Keys!B275)=0),0.5,(SUMPRODUCT(--ISNUMBER(Risk_Rank_Keys!$B$2:$B$800),--(Risk_Rank_Keys!$B$2:$B$800&lt;Risk_Rank_Keys!B275))+(SUMPRODUCT(--ISNUMBER(Risk_Rank_Keys!$B$2:$B$800),--(Risk_Rank_Keys!$B$2:$B$800=Risk_Rank_Keys!B275))+1)/2)/COUNT(Risk_Rank_Keys!$B$2:$B$800))</f>
        <v/>
      </c>
      <c r="N275">
        <f>IF(OR(B275="NW",COUNT(Risk_Rank_Keys!C275)=0),0.5,(SUMPRODUCT(--ISNUMBER(Risk_Rank_Keys!$C$2:$C$800),--(Risk_Rank_Keys!$C$2:$C$800&lt;Risk_Rank_Keys!C275))+(SUMPRODUCT(--ISNUMBER(Risk_Rank_Keys!$C$2:$C$800),--(Risk_Rank_Keys!$C$2:$C$800=Risk_Rank_Keys!C275))+1)/2)/COUNT(Risk_Rank_Keys!$C$2:$C$800))</f>
        <v/>
      </c>
      <c r="O275">
        <f>IF(OR(B275="NW",COUNT(Risk_Rank_Keys!D275)=0),0.5,(SUMPRODUCT(--ISNUMBER(Risk_Rank_Keys!$D$2:$D$800),--(Risk_Rank_Keys!$D$2:$D$800&lt;Risk_Rank_Keys!D275))+(SUMPRODUCT(--ISNUMBER(Risk_Rank_Keys!$D$2:$D$800),--(Risk_Rank_Keys!$D$2:$D$800=Risk_Rank_Keys!D275))+1)/2)/COUNT(Risk_Rank_Keys!$D$2:$D$800))</f>
        <v/>
      </c>
      <c r="P275">
        <f>AVERAGE(M275:O275)</f>
        <v/>
      </c>
      <c r="Q275">
        <f>0.4*H275+0.4*I275+0.2*P275</f>
        <v/>
      </c>
      <c r="R275">
        <f>PERCENTILE($Q$2:$Q$800,0.75)</f>
        <v/>
      </c>
      <c r="S275">
        <f>OR(Q275&gt;=R275,AND(B275="CW",COUNT(J275:L275)&lt;3))</f>
        <v/>
      </c>
      <c r="T275" t="n">
        <v>0.1983131040985564</v>
      </c>
      <c r="U275" t="n">
        <v>4.609690209118106</v>
      </c>
      <c r="V275" t="n">
        <v>0.2572700999447822</v>
      </c>
      <c r="W275">
        <f>Q275-V275</f>
        <v/>
      </c>
    </row>
    <row r="276">
      <c r="A276" t="inlineStr">
        <is>
          <t>2022-06-23</t>
        </is>
      </c>
      <c r="B276" t="inlineStr">
        <is>
          <t>CW</t>
        </is>
      </c>
      <c r="C276" t="n">
        <v>-46.69077489345182</v>
      </c>
      <c r="D276">
        <f>SUMPRODUCT(Risk_Inputs!B276:AJ276,Risk_Coefs!$B$2:$AJ$2)</f>
        <v/>
      </c>
      <c r="E276">
        <f>1/(1+EXP(-MAX(-25,MIN(25,D276))))</f>
        <v/>
      </c>
      <c r="F276">
        <f>SUMPRODUCT(Risk_Inputs!B276:AJ276,Risk_Coefs!$B$3:$AJ$3)</f>
        <v/>
      </c>
      <c r="G276">
        <f>MAX(0,F276)</f>
        <v/>
      </c>
      <c r="H276">
        <f>(SUMPRODUCT(--ISNUMBER($E$2:$E$800),--($E$2:$E$800&lt;E276))+(SUMPRODUCT(--ISNUMBER($E$2:$E$800),--($E$2:$E$800=E276))+1)/2)/COUNT($E$2:$E$800)</f>
        <v/>
      </c>
      <c r="I276">
        <f>(SUMPRODUCT(--ISNUMBER($G$2:$G$800),--($G$2:$G$800&lt;G276))+(SUMPRODUCT(--ISNUMBER($G$2:$G$800),--($G$2:$G$800=G276))+1)/2)/COUNT($G$2:$G$800)</f>
        <v/>
      </c>
      <c r="J276" t="n">
        <v>9.951829256432086</v>
      </c>
      <c r="K276" t="n">
        <v>2.953240360951596</v>
      </c>
      <c r="L276" t="n">
        <v>0.2461033634126193</v>
      </c>
      <c r="M276">
        <f>IF(OR(B276="NW",COUNT(Risk_Rank_Keys!B276)=0),0.5,(SUMPRODUCT(--ISNUMBER(Risk_Rank_Keys!$B$2:$B$800),--(Risk_Rank_Keys!$B$2:$B$800&lt;Risk_Rank_Keys!B276))+(SUMPRODUCT(--ISNUMBER(Risk_Rank_Keys!$B$2:$B$800),--(Risk_Rank_Keys!$B$2:$B$800=Risk_Rank_Keys!B276))+1)/2)/COUNT(Risk_Rank_Keys!$B$2:$B$800))</f>
        <v/>
      </c>
      <c r="N276">
        <f>IF(OR(B276="NW",COUNT(Risk_Rank_Keys!C276)=0),0.5,(SUMPRODUCT(--ISNUMBER(Risk_Rank_Keys!$C$2:$C$800),--(Risk_Rank_Keys!$C$2:$C$800&lt;Risk_Rank_Keys!C276))+(SUMPRODUCT(--ISNUMBER(Risk_Rank_Keys!$C$2:$C$800),--(Risk_Rank_Keys!$C$2:$C$800=Risk_Rank_Keys!C276))+1)/2)/COUNT(Risk_Rank_Keys!$C$2:$C$800))</f>
        <v/>
      </c>
      <c r="O276">
        <f>IF(OR(B276="NW",COUNT(Risk_Rank_Keys!D276)=0),0.5,(SUMPRODUCT(--ISNUMBER(Risk_Rank_Keys!$D$2:$D$800),--(Risk_Rank_Keys!$D$2:$D$800&lt;Risk_Rank_Keys!D276))+(SUMPRODUCT(--ISNUMBER(Risk_Rank_Keys!$D$2:$D$800),--(Risk_Rank_Keys!$D$2:$D$800=Risk_Rank_Keys!D276))+1)/2)/COUNT(Risk_Rank_Keys!$D$2:$D$800))</f>
        <v/>
      </c>
      <c r="P276">
        <f>AVERAGE(M276:O276)</f>
        <v/>
      </c>
      <c r="Q276">
        <f>0.4*H276+0.4*I276+0.2*P276</f>
        <v/>
      </c>
      <c r="R276">
        <f>PERCENTILE($Q$2:$Q$800,0.75)</f>
        <v/>
      </c>
      <c r="S276">
        <f>OR(Q276&gt;=R276,AND(B276="CW",COUNT(J276:L276)&lt;3))</f>
        <v/>
      </c>
      <c r="T276" t="n">
        <v>0.3580603466153042</v>
      </c>
      <c r="U276" t="n">
        <v>10.59548950470776</v>
      </c>
      <c r="V276" t="n">
        <v>0.7789953620547303</v>
      </c>
      <c r="W276">
        <f>Q276-V276</f>
        <v/>
      </c>
    </row>
    <row r="277">
      <c r="A277" t="inlineStr">
        <is>
          <t>2022-06-24</t>
        </is>
      </c>
      <c r="B277" t="inlineStr">
        <is>
          <t>CW</t>
        </is>
      </c>
      <c r="C277" t="n">
        <v>42.51679950313495</v>
      </c>
      <c r="D277">
        <f>SUMPRODUCT(Risk_Inputs!B277:AJ277,Risk_Coefs!$B$2:$AJ$2)</f>
        <v/>
      </c>
      <c r="E277">
        <f>1/(1+EXP(-MAX(-25,MIN(25,D277))))</f>
        <v/>
      </c>
      <c r="F277">
        <f>SUMPRODUCT(Risk_Inputs!B277:AJ277,Risk_Coefs!$B$3:$AJ$3)</f>
        <v/>
      </c>
      <c r="G277">
        <f>MAX(0,F277)</f>
        <v/>
      </c>
      <c r="H277">
        <f>(SUMPRODUCT(--ISNUMBER($E$2:$E$800),--($E$2:$E$800&lt;E277))+(SUMPRODUCT(--ISNUMBER($E$2:$E$800),--($E$2:$E$800=E277))+1)/2)/COUNT($E$2:$E$800)</f>
        <v/>
      </c>
      <c r="I277">
        <f>(SUMPRODUCT(--ISNUMBER($G$2:$G$800),--($G$2:$G$800&lt;G277))+(SUMPRODUCT(--ISNUMBER($G$2:$G$800),--($G$2:$G$800=G277))+1)/2)/COUNT($G$2:$G$800)</f>
        <v/>
      </c>
      <c r="J277" t="n">
        <v>41.57090927610665</v>
      </c>
      <c r="K277" t="n">
        <v>17.21170395869191</v>
      </c>
      <c r="L277" t="n">
        <v>0.5020080321285141</v>
      </c>
      <c r="M277">
        <f>IF(OR(B277="NW",COUNT(Risk_Rank_Keys!B277)=0),0.5,(SUMPRODUCT(--ISNUMBER(Risk_Rank_Keys!$B$2:$B$800),--(Risk_Rank_Keys!$B$2:$B$800&lt;Risk_Rank_Keys!B277))+(SUMPRODUCT(--ISNUMBER(Risk_Rank_Keys!$B$2:$B$800),--(Risk_Rank_Keys!$B$2:$B$800=Risk_Rank_Keys!B277))+1)/2)/COUNT(Risk_Rank_Keys!$B$2:$B$800))</f>
        <v/>
      </c>
      <c r="N277">
        <f>IF(OR(B277="NW",COUNT(Risk_Rank_Keys!C277)=0),0.5,(SUMPRODUCT(--ISNUMBER(Risk_Rank_Keys!$C$2:$C$800),--(Risk_Rank_Keys!$C$2:$C$800&lt;Risk_Rank_Keys!C277))+(SUMPRODUCT(--ISNUMBER(Risk_Rank_Keys!$C$2:$C$800),--(Risk_Rank_Keys!$C$2:$C$800=Risk_Rank_Keys!C277))+1)/2)/COUNT(Risk_Rank_Keys!$C$2:$C$800))</f>
        <v/>
      </c>
      <c r="O277">
        <f>IF(OR(B277="NW",COUNT(Risk_Rank_Keys!D277)=0),0.5,(SUMPRODUCT(--ISNUMBER(Risk_Rank_Keys!$D$2:$D$800),--(Risk_Rank_Keys!$D$2:$D$800&lt;Risk_Rank_Keys!D277))+(SUMPRODUCT(--ISNUMBER(Risk_Rank_Keys!$D$2:$D$800),--(Risk_Rank_Keys!$D$2:$D$800=Risk_Rank_Keys!D277))+1)/2)/COUNT(Risk_Rank_Keys!$D$2:$D$800))</f>
        <v/>
      </c>
      <c r="P277">
        <f>AVERAGE(M277:O277)</f>
        <v/>
      </c>
      <c r="Q277">
        <f>0.4*H277+0.4*I277+0.2*P277</f>
        <v/>
      </c>
      <c r="R277">
        <f>PERCENTILE($Q$2:$Q$800,0.75)</f>
        <v/>
      </c>
      <c r="S277">
        <f>OR(Q277&gt;=R277,AND(B277="CW",COUNT(J277:L277)&lt;3))</f>
        <v/>
      </c>
      <c r="T277" t="n">
        <v>0.08730948492979709</v>
      </c>
      <c r="U277" t="n">
        <v>3.03107228784679</v>
      </c>
      <c r="V277" t="n">
        <v>0.2015298062606152</v>
      </c>
      <c r="W277">
        <f>Q277-V277</f>
        <v/>
      </c>
    </row>
    <row r="278">
      <c r="A278" t="inlineStr">
        <is>
          <t>2022-06-27</t>
        </is>
      </c>
      <c r="B278" t="inlineStr">
        <is>
          <t>CW</t>
        </is>
      </c>
      <c r="C278" t="n">
        <v>43.01824786166767</v>
      </c>
      <c r="D278">
        <f>SUMPRODUCT(Risk_Inputs!B278:AJ278,Risk_Coefs!$B$2:$AJ$2)</f>
        <v/>
      </c>
      <c r="E278">
        <f>1/(1+EXP(-MAX(-25,MIN(25,D278))))</f>
        <v/>
      </c>
      <c r="F278">
        <f>SUMPRODUCT(Risk_Inputs!B278:AJ278,Risk_Coefs!$B$3:$AJ$3)</f>
        <v/>
      </c>
      <c r="G278">
        <f>MAX(0,F278)</f>
        <v/>
      </c>
      <c r="H278">
        <f>(SUMPRODUCT(--ISNUMBER($E$2:$E$800),--($E$2:$E$800&lt;E278))+(SUMPRODUCT(--ISNUMBER($E$2:$E$800),--($E$2:$E$800=E278))+1)/2)/COUNT($E$2:$E$800)</f>
        <v/>
      </c>
      <c r="I278">
        <f>(SUMPRODUCT(--ISNUMBER($G$2:$G$800),--($G$2:$G$800&lt;G278))+(SUMPRODUCT(--ISNUMBER($G$2:$G$800),--($G$2:$G$800=G278))+1)/2)/COUNT($G$2:$G$800)</f>
        <v/>
      </c>
      <c r="J278" t="n">
        <v>27.22925775876451</v>
      </c>
      <c r="K278" t="n">
        <v>5.290437890974088</v>
      </c>
      <c r="L278" t="n">
        <v>0.2144772117962446</v>
      </c>
      <c r="M278">
        <f>IF(OR(B278="NW",COUNT(Risk_Rank_Keys!B278)=0),0.5,(SUMPRODUCT(--ISNUMBER(Risk_Rank_Keys!$B$2:$B$800),--(Risk_Rank_Keys!$B$2:$B$800&lt;Risk_Rank_Keys!B278))+(SUMPRODUCT(--ISNUMBER(Risk_Rank_Keys!$B$2:$B$800),--(Risk_Rank_Keys!$B$2:$B$800=Risk_Rank_Keys!B278))+1)/2)/COUNT(Risk_Rank_Keys!$B$2:$B$800))</f>
        <v/>
      </c>
      <c r="N278">
        <f>IF(OR(B278="NW",COUNT(Risk_Rank_Keys!C278)=0),0.5,(SUMPRODUCT(--ISNUMBER(Risk_Rank_Keys!$C$2:$C$800),--(Risk_Rank_Keys!$C$2:$C$800&lt;Risk_Rank_Keys!C278))+(SUMPRODUCT(--ISNUMBER(Risk_Rank_Keys!$C$2:$C$800),--(Risk_Rank_Keys!$C$2:$C$800=Risk_Rank_Keys!C278))+1)/2)/COUNT(Risk_Rank_Keys!$C$2:$C$800))</f>
        <v/>
      </c>
      <c r="O278">
        <f>IF(OR(B278="NW",COUNT(Risk_Rank_Keys!D278)=0),0.5,(SUMPRODUCT(--ISNUMBER(Risk_Rank_Keys!$D$2:$D$800),--(Risk_Rank_Keys!$D$2:$D$800&lt;Risk_Rank_Keys!D278))+(SUMPRODUCT(--ISNUMBER(Risk_Rank_Keys!$D$2:$D$800),--(Risk_Rank_Keys!$D$2:$D$800=Risk_Rank_Keys!D278))+1)/2)/COUNT(Risk_Rank_Keys!$D$2:$D$800))</f>
        <v/>
      </c>
      <c r="P278">
        <f>AVERAGE(M278:O278)</f>
        <v/>
      </c>
      <c r="Q278">
        <f>0.4*H278+0.4*I278+0.2*P278</f>
        <v/>
      </c>
      <c r="R278">
        <f>PERCENTILE($Q$2:$Q$800,0.75)</f>
        <v/>
      </c>
      <c r="S278">
        <f>OR(Q278&gt;=R278,AND(B278="CW",COUNT(J278:L278)&lt;3))</f>
        <v/>
      </c>
      <c r="T278" t="n">
        <v>0.2592568200992216</v>
      </c>
      <c r="U278" t="n">
        <v>8.201389886153024</v>
      </c>
      <c r="V278" t="n">
        <v>0.4909303761268299</v>
      </c>
      <c r="W278">
        <f>Q278-V278</f>
        <v/>
      </c>
    </row>
    <row r="279">
      <c r="A279" t="inlineStr">
        <is>
          <t>2022-06-28</t>
        </is>
      </c>
      <c r="B279" t="inlineStr">
        <is>
          <t>CW</t>
        </is>
      </c>
      <c r="C279" t="n">
        <v>30.40023250119383</v>
      </c>
      <c r="D279">
        <f>SUMPRODUCT(Risk_Inputs!B279:AJ279,Risk_Coefs!$B$2:$AJ$2)</f>
        <v/>
      </c>
      <c r="E279">
        <f>1/(1+EXP(-MAX(-25,MIN(25,D279))))</f>
        <v/>
      </c>
      <c r="F279">
        <f>SUMPRODUCT(Risk_Inputs!B279:AJ279,Risk_Coefs!$B$3:$AJ$3)</f>
        <v/>
      </c>
      <c r="G279">
        <f>MAX(0,F279)</f>
        <v/>
      </c>
      <c r="H279">
        <f>(SUMPRODUCT(--ISNUMBER($E$2:$E$800),--($E$2:$E$800&lt;E279))+(SUMPRODUCT(--ISNUMBER($E$2:$E$800),--($E$2:$E$800=E279))+1)/2)/COUNT($E$2:$E$800)</f>
        <v/>
      </c>
      <c r="I279">
        <f>(SUMPRODUCT(--ISNUMBER($G$2:$G$800),--($G$2:$G$800&lt;G279))+(SUMPRODUCT(--ISNUMBER($G$2:$G$800),--($G$2:$G$800=G279))+1)/2)/COUNT($G$2:$G$800)</f>
        <v/>
      </c>
      <c r="J279" t="n">
        <v>17.32387394819406</v>
      </c>
      <c r="K279" t="n">
        <v>4.798826487845774</v>
      </c>
      <c r="L279" t="n">
        <v>0.209555741827326</v>
      </c>
      <c r="M279">
        <f>IF(OR(B279="NW",COUNT(Risk_Rank_Keys!B279)=0),0.5,(SUMPRODUCT(--ISNUMBER(Risk_Rank_Keys!$B$2:$B$800),--(Risk_Rank_Keys!$B$2:$B$800&lt;Risk_Rank_Keys!B279))+(SUMPRODUCT(--ISNUMBER(Risk_Rank_Keys!$B$2:$B$800),--(Risk_Rank_Keys!$B$2:$B$800=Risk_Rank_Keys!B279))+1)/2)/COUNT(Risk_Rank_Keys!$B$2:$B$800))</f>
        <v/>
      </c>
      <c r="N279">
        <f>IF(OR(B279="NW",COUNT(Risk_Rank_Keys!C279)=0),0.5,(SUMPRODUCT(--ISNUMBER(Risk_Rank_Keys!$C$2:$C$800),--(Risk_Rank_Keys!$C$2:$C$800&lt;Risk_Rank_Keys!C279))+(SUMPRODUCT(--ISNUMBER(Risk_Rank_Keys!$C$2:$C$800),--(Risk_Rank_Keys!$C$2:$C$800=Risk_Rank_Keys!C279))+1)/2)/COUNT(Risk_Rank_Keys!$C$2:$C$800))</f>
        <v/>
      </c>
      <c r="O279">
        <f>IF(OR(B279="NW",COUNT(Risk_Rank_Keys!D279)=0),0.5,(SUMPRODUCT(--ISNUMBER(Risk_Rank_Keys!$D$2:$D$800),--(Risk_Rank_Keys!$D$2:$D$800&lt;Risk_Rank_Keys!D279))+(SUMPRODUCT(--ISNUMBER(Risk_Rank_Keys!$D$2:$D$800),--(Risk_Rank_Keys!$D$2:$D$800=Risk_Rank_Keys!D279))+1)/2)/COUNT(Risk_Rank_Keys!$D$2:$D$800))</f>
        <v/>
      </c>
      <c r="P279">
        <f>AVERAGE(M279:O279)</f>
        <v/>
      </c>
      <c r="Q279">
        <f>0.4*H279+0.4*I279+0.2*P279</f>
        <v/>
      </c>
      <c r="R279">
        <f>PERCENTILE($Q$2:$Q$800,0.75)</f>
        <v/>
      </c>
      <c r="S279">
        <f>OR(Q279&gt;=R279,AND(B279="CW",COUNT(J279:L279)&lt;3))</f>
        <v/>
      </c>
      <c r="T279" t="n">
        <v>0.2651410672004414</v>
      </c>
      <c r="U279" t="n">
        <v>5.145014642380022</v>
      </c>
      <c r="V279" t="n">
        <v>0.3286121831741095</v>
      </c>
      <c r="W279">
        <f>Q279-V279</f>
        <v/>
      </c>
    </row>
    <row r="280">
      <c r="A280" t="inlineStr">
        <is>
          <t>2022-06-30</t>
        </is>
      </c>
      <c r="B280" t="inlineStr">
        <is>
          <t>CW</t>
        </is>
      </c>
      <c r="C280" t="n">
        <v>64.19462499147812</v>
      </c>
      <c r="D280">
        <f>SUMPRODUCT(Risk_Inputs!B280:AJ280,Risk_Coefs!$B$2:$AJ$2)</f>
        <v/>
      </c>
      <c r="E280">
        <f>1/(1+EXP(-MAX(-25,MIN(25,D280))))</f>
        <v/>
      </c>
      <c r="F280">
        <f>SUMPRODUCT(Risk_Inputs!B280:AJ280,Risk_Coefs!$B$3:$AJ$3)</f>
        <v/>
      </c>
      <c r="G280">
        <f>MAX(0,F280)</f>
        <v/>
      </c>
      <c r="H280">
        <f>(SUMPRODUCT(--ISNUMBER($E$2:$E$800),--($E$2:$E$800&lt;E280))+(SUMPRODUCT(--ISNUMBER($E$2:$E$800),--($E$2:$E$800=E280))+1)/2)/COUNT($E$2:$E$800)</f>
        <v/>
      </c>
      <c r="I280">
        <f>(SUMPRODUCT(--ISNUMBER($G$2:$G$800),--($G$2:$G$800&lt;G280))+(SUMPRODUCT(--ISNUMBER($G$2:$G$800),--($G$2:$G$800=G280))+1)/2)/COUNT($G$2:$G$800)</f>
        <v/>
      </c>
      <c r="J280" t="n">
        <v>49.18561012901374</v>
      </c>
      <c r="K280" t="n">
        <v>20.78248384781047</v>
      </c>
      <c r="L280" t="n">
        <v>0.5025125628140723</v>
      </c>
      <c r="M280">
        <f>IF(OR(B280="NW",COUNT(Risk_Rank_Keys!B280)=0),0.5,(SUMPRODUCT(--ISNUMBER(Risk_Rank_Keys!$B$2:$B$800),--(Risk_Rank_Keys!$B$2:$B$800&lt;Risk_Rank_Keys!B280))+(SUMPRODUCT(--ISNUMBER(Risk_Rank_Keys!$B$2:$B$800),--(Risk_Rank_Keys!$B$2:$B$800=Risk_Rank_Keys!B280))+1)/2)/COUNT(Risk_Rank_Keys!$B$2:$B$800))</f>
        <v/>
      </c>
      <c r="N280">
        <f>IF(OR(B280="NW",COUNT(Risk_Rank_Keys!C280)=0),0.5,(SUMPRODUCT(--ISNUMBER(Risk_Rank_Keys!$C$2:$C$800),--(Risk_Rank_Keys!$C$2:$C$800&lt;Risk_Rank_Keys!C280))+(SUMPRODUCT(--ISNUMBER(Risk_Rank_Keys!$C$2:$C$800),--(Risk_Rank_Keys!$C$2:$C$800=Risk_Rank_Keys!C280))+1)/2)/COUNT(Risk_Rank_Keys!$C$2:$C$800))</f>
        <v/>
      </c>
      <c r="O280">
        <f>IF(OR(B280="NW",COUNT(Risk_Rank_Keys!D280)=0),0.5,(SUMPRODUCT(--ISNUMBER(Risk_Rank_Keys!$D$2:$D$800),--(Risk_Rank_Keys!$D$2:$D$800&lt;Risk_Rank_Keys!D280))+(SUMPRODUCT(--ISNUMBER(Risk_Rank_Keys!$D$2:$D$800),--(Risk_Rank_Keys!$D$2:$D$800=Risk_Rank_Keys!D280))+1)/2)/COUNT(Risk_Rank_Keys!$D$2:$D$800))</f>
        <v/>
      </c>
      <c r="P280">
        <f>AVERAGE(M280:O280)</f>
        <v/>
      </c>
      <c r="Q280">
        <f>0.4*H280+0.4*I280+0.2*P280</f>
        <v/>
      </c>
      <c r="R280">
        <f>PERCENTILE($Q$2:$Q$800,0.75)</f>
        <v/>
      </c>
      <c r="S280">
        <f>OR(Q280&gt;=R280,AND(B280="CW",COUNT(J280:L280)&lt;3))</f>
        <v/>
      </c>
      <c r="T280" t="n">
        <v>0.1465070097716364</v>
      </c>
      <c r="U280" t="n">
        <v>7.022496831918975</v>
      </c>
      <c r="V280" t="n">
        <v>0.3672799972536568</v>
      </c>
      <c r="W280">
        <f>Q280-V280</f>
        <v/>
      </c>
    </row>
    <row r="281">
      <c r="A281" t="inlineStr">
        <is>
          <t>2022-07-01</t>
        </is>
      </c>
      <c r="B281" t="inlineStr">
        <is>
          <t>CW</t>
        </is>
      </c>
      <c r="C281" t="n">
        <v>42.73888939236905</v>
      </c>
      <c r="D281">
        <f>SUMPRODUCT(Risk_Inputs!B281:AJ281,Risk_Coefs!$B$2:$AJ$2)</f>
        <v/>
      </c>
      <c r="E281">
        <f>1/(1+EXP(-MAX(-25,MIN(25,D281))))</f>
        <v/>
      </c>
      <c r="F281">
        <f>SUMPRODUCT(Risk_Inputs!B281:AJ281,Risk_Coefs!$B$3:$AJ$3)</f>
        <v/>
      </c>
      <c r="G281">
        <f>MAX(0,F281)</f>
        <v/>
      </c>
      <c r="H281">
        <f>(SUMPRODUCT(--ISNUMBER($E$2:$E$800),--($E$2:$E$800&lt;E281))+(SUMPRODUCT(--ISNUMBER($E$2:$E$800),--($E$2:$E$800=E281))+1)/2)/COUNT($E$2:$E$800)</f>
        <v/>
      </c>
      <c r="I281">
        <f>(SUMPRODUCT(--ISNUMBER($G$2:$G$800),--($G$2:$G$800&lt;G281))+(SUMPRODUCT(--ISNUMBER($G$2:$G$800),--($G$2:$G$800=G281))+1)/2)/COUNT($G$2:$G$800)</f>
        <v/>
      </c>
      <c r="J281" t="n">
        <v>20.28436442857188</v>
      </c>
      <c r="K281" t="n">
        <v>3.128876636802196</v>
      </c>
      <c r="L281" t="n">
        <v>0.2343211578221978</v>
      </c>
      <c r="M281">
        <f>IF(OR(B281="NW",COUNT(Risk_Rank_Keys!B281)=0),0.5,(SUMPRODUCT(--ISNUMBER(Risk_Rank_Keys!$B$2:$B$800),--(Risk_Rank_Keys!$B$2:$B$800&lt;Risk_Rank_Keys!B281))+(SUMPRODUCT(--ISNUMBER(Risk_Rank_Keys!$B$2:$B$800),--(Risk_Rank_Keys!$B$2:$B$800=Risk_Rank_Keys!B281))+1)/2)/COUNT(Risk_Rank_Keys!$B$2:$B$800))</f>
        <v/>
      </c>
      <c r="N281">
        <f>IF(OR(B281="NW",COUNT(Risk_Rank_Keys!C281)=0),0.5,(SUMPRODUCT(--ISNUMBER(Risk_Rank_Keys!$C$2:$C$800),--(Risk_Rank_Keys!$C$2:$C$800&lt;Risk_Rank_Keys!C281))+(SUMPRODUCT(--ISNUMBER(Risk_Rank_Keys!$C$2:$C$800),--(Risk_Rank_Keys!$C$2:$C$800=Risk_Rank_Keys!C281))+1)/2)/COUNT(Risk_Rank_Keys!$C$2:$C$800))</f>
        <v/>
      </c>
      <c r="O281">
        <f>IF(OR(B281="NW",COUNT(Risk_Rank_Keys!D281)=0),0.5,(SUMPRODUCT(--ISNUMBER(Risk_Rank_Keys!$D$2:$D$800),--(Risk_Rank_Keys!$D$2:$D$800&lt;Risk_Rank_Keys!D281))+(SUMPRODUCT(--ISNUMBER(Risk_Rank_Keys!$D$2:$D$800),--(Risk_Rank_Keys!$D$2:$D$800=Risk_Rank_Keys!D281))+1)/2)/COUNT(Risk_Rank_Keys!$D$2:$D$800))</f>
        <v/>
      </c>
      <c r="P281">
        <f>AVERAGE(M281:O281)</f>
        <v/>
      </c>
      <c r="Q281">
        <f>0.4*H281+0.4*I281+0.2*P281</f>
        <v/>
      </c>
      <c r="R281">
        <f>PERCENTILE($Q$2:$Q$800,0.75)</f>
        <v/>
      </c>
      <c r="S281">
        <f>OR(Q281&gt;=R281,AND(B281="CW",COUNT(J281:L281)&lt;3))</f>
        <v/>
      </c>
      <c r="T281" t="n">
        <v>0.2540552002195374</v>
      </c>
      <c r="U281" t="n">
        <v>7.642274771941986</v>
      </c>
      <c r="V281" t="n">
        <v>0.4385638952456261</v>
      </c>
      <c r="W281">
        <f>Q281-V281</f>
        <v/>
      </c>
    </row>
    <row r="282">
      <c r="A282" t="inlineStr">
        <is>
          <t>2022-07-04</t>
        </is>
      </c>
      <c r="B282" t="inlineStr">
        <is>
          <t>CW</t>
        </is>
      </c>
      <c r="C282" t="n">
        <v>38.95433924958392</v>
      </c>
      <c r="D282">
        <f>SUMPRODUCT(Risk_Inputs!B282:AJ282,Risk_Coefs!$B$2:$AJ$2)</f>
        <v/>
      </c>
      <c r="E282">
        <f>1/(1+EXP(-MAX(-25,MIN(25,D282))))</f>
        <v/>
      </c>
      <c r="F282">
        <f>SUMPRODUCT(Risk_Inputs!B282:AJ282,Risk_Coefs!$B$3:$AJ$3)</f>
        <v/>
      </c>
      <c r="G282">
        <f>MAX(0,F282)</f>
        <v/>
      </c>
      <c r="H282">
        <f>(SUMPRODUCT(--ISNUMBER($E$2:$E$800),--($E$2:$E$800&lt;E282))+(SUMPRODUCT(--ISNUMBER($E$2:$E$800),--($E$2:$E$800=E282))+1)/2)/COUNT($E$2:$E$800)</f>
        <v/>
      </c>
      <c r="I282">
        <f>(SUMPRODUCT(--ISNUMBER($G$2:$G$800),--($G$2:$G$800&lt;G282))+(SUMPRODUCT(--ISNUMBER($G$2:$G$800),--($G$2:$G$800=G282))+1)/2)/COUNT($G$2:$G$800)</f>
        <v/>
      </c>
      <c r="J282" t="n">
        <v>51.36883201663024</v>
      </c>
      <c r="K282" t="n">
        <v>13.78232945669154</v>
      </c>
      <c r="L282" t="n">
        <v>0.2082971706300969</v>
      </c>
      <c r="M282">
        <f>IF(OR(B282="NW",COUNT(Risk_Rank_Keys!B282)=0),0.5,(SUMPRODUCT(--ISNUMBER(Risk_Rank_Keys!$B$2:$B$800),--(Risk_Rank_Keys!$B$2:$B$800&lt;Risk_Rank_Keys!B282))+(SUMPRODUCT(--ISNUMBER(Risk_Rank_Keys!$B$2:$B$800),--(Risk_Rank_Keys!$B$2:$B$800=Risk_Rank_Keys!B282))+1)/2)/COUNT(Risk_Rank_Keys!$B$2:$B$800))</f>
        <v/>
      </c>
      <c r="N282">
        <f>IF(OR(B282="NW",COUNT(Risk_Rank_Keys!C282)=0),0.5,(SUMPRODUCT(--ISNUMBER(Risk_Rank_Keys!$C$2:$C$800),--(Risk_Rank_Keys!$C$2:$C$800&lt;Risk_Rank_Keys!C282))+(SUMPRODUCT(--ISNUMBER(Risk_Rank_Keys!$C$2:$C$800),--(Risk_Rank_Keys!$C$2:$C$800=Risk_Rank_Keys!C282))+1)/2)/COUNT(Risk_Rank_Keys!$C$2:$C$800))</f>
        <v/>
      </c>
      <c r="O282">
        <f>IF(OR(B282="NW",COUNT(Risk_Rank_Keys!D282)=0),0.5,(SUMPRODUCT(--ISNUMBER(Risk_Rank_Keys!$D$2:$D$800),--(Risk_Rank_Keys!$D$2:$D$800&lt;Risk_Rank_Keys!D282))+(SUMPRODUCT(--ISNUMBER(Risk_Rank_Keys!$D$2:$D$800),--(Risk_Rank_Keys!$D$2:$D$800=Risk_Rank_Keys!D282))+1)/2)/COUNT(Risk_Rank_Keys!$D$2:$D$800))</f>
        <v/>
      </c>
      <c r="P282">
        <f>AVERAGE(M282:O282)</f>
        <v/>
      </c>
      <c r="Q282">
        <f>0.4*H282+0.4*I282+0.2*P282</f>
        <v/>
      </c>
      <c r="R282">
        <f>PERCENTILE($Q$2:$Q$800,0.75)</f>
        <v/>
      </c>
      <c r="S282">
        <f>OR(Q282&gt;=R282,AND(B282="CW",COUNT(J282:L282)&lt;3))</f>
        <v/>
      </c>
      <c r="T282" t="n">
        <v>0.1748423877486623</v>
      </c>
      <c r="U282" t="n">
        <v>4.681632613600886</v>
      </c>
      <c r="V282" t="n">
        <v>0.2115180004759553</v>
      </c>
      <c r="W282">
        <f>Q282-V282</f>
        <v/>
      </c>
    </row>
    <row r="283">
      <c r="A283" t="inlineStr">
        <is>
          <t>2022-07-05</t>
        </is>
      </c>
      <c r="B283" t="inlineStr">
        <is>
          <t>CW</t>
        </is>
      </c>
      <c r="C283" t="n">
        <v>-0.9056563924208154</v>
      </c>
      <c r="D283">
        <f>SUMPRODUCT(Risk_Inputs!B283:AJ283,Risk_Coefs!$B$2:$AJ$2)</f>
        <v/>
      </c>
      <c r="E283">
        <f>1/(1+EXP(-MAX(-25,MIN(25,D283))))</f>
        <v/>
      </c>
      <c r="F283">
        <f>SUMPRODUCT(Risk_Inputs!B283:AJ283,Risk_Coefs!$B$3:$AJ$3)</f>
        <v/>
      </c>
      <c r="G283">
        <f>MAX(0,F283)</f>
        <v/>
      </c>
      <c r="H283">
        <f>(SUMPRODUCT(--ISNUMBER($E$2:$E$800),--($E$2:$E$800&lt;E283))+(SUMPRODUCT(--ISNUMBER($E$2:$E$800),--($E$2:$E$800=E283))+1)/2)/COUNT($E$2:$E$800)</f>
        <v/>
      </c>
      <c r="I283">
        <f>(SUMPRODUCT(--ISNUMBER($G$2:$G$800),--($G$2:$G$800&lt;G283))+(SUMPRODUCT(--ISNUMBER($G$2:$G$800),--($G$2:$G$800=G283))+1)/2)/COUNT($G$2:$G$800)</f>
        <v/>
      </c>
      <c r="J283" t="n">
        <v>5.345928760781122</v>
      </c>
      <c r="K283" t="n">
        <v>1.147578609134726</v>
      </c>
      <c r="L283" t="n">
        <v>0.2065641496442454</v>
      </c>
      <c r="M283">
        <f>IF(OR(B283="NW",COUNT(Risk_Rank_Keys!B283)=0),0.5,(SUMPRODUCT(--ISNUMBER(Risk_Rank_Keys!$B$2:$B$800),--(Risk_Rank_Keys!$B$2:$B$800&lt;Risk_Rank_Keys!B283))+(SUMPRODUCT(--ISNUMBER(Risk_Rank_Keys!$B$2:$B$800),--(Risk_Rank_Keys!$B$2:$B$800=Risk_Rank_Keys!B283))+1)/2)/COUNT(Risk_Rank_Keys!$B$2:$B$800))</f>
        <v/>
      </c>
      <c r="N283">
        <f>IF(OR(B283="NW",COUNT(Risk_Rank_Keys!C283)=0),0.5,(SUMPRODUCT(--ISNUMBER(Risk_Rank_Keys!$C$2:$C$800),--(Risk_Rank_Keys!$C$2:$C$800&lt;Risk_Rank_Keys!C283))+(SUMPRODUCT(--ISNUMBER(Risk_Rank_Keys!$C$2:$C$800),--(Risk_Rank_Keys!$C$2:$C$800=Risk_Rank_Keys!C283))+1)/2)/COUNT(Risk_Rank_Keys!$C$2:$C$800))</f>
        <v/>
      </c>
      <c r="O283">
        <f>IF(OR(B283="NW",COUNT(Risk_Rank_Keys!D283)=0),0.5,(SUMPRODUCT(--ISNUMBER(Risk_Rank_Keys!$D$2:$D$800),--(Risk_Rank_Keys!$D$2:$D$800&lt;Risk_Rank_Keys!D283))+(SUMPRODUCT(--ISNUMBER(Risk_Rank_Keys!$D$2:$D$800),--(Risk_Rank_Keys!$D$2:$D$800=Risk_Rank_Keys!D283))+1)/2)/COUNT(Risk_Rank_Keys!$D$2:$D$800))</f>
        <v/>
      </c>
      <c r="P283">
        <f>AVERAGE(M283:O283)</f>
        <v/>
      </c>
      <c r="Q283">
        <f>0.4*H283+0.4*I283+0.2*P283</f>
        <v/>
      </c>
      <c r="R283">
        <f>PERCENTILE($Q$2:$Q$800,0.75)</f>
        <v/>
      </c>
      <c r="S283">
        <f>OR(Q283&gt;=R283,AND(B283="CW",COUNT(J283:L283)&lt;3))</f>
        <v/>
      </c>
      <c r="T283" t="n">
        <v>0.2775190551921042</v>
      </c>
      <c r="U283" t="n">
        <v>6.848169302535947</v>
      </c>
      <c r="V283" t="n">
        <v>0.3768022440882344</v>
      </c>
      <c r="W283">
        <f>Q283-V283</f>
        <v/>
      </c>
    </row>
    <row r="284">
      <c r="A284" t="inlineStr">
        <is>
          <t>2022-07-06</t>
        </is>
      </c>
      <c r="B284" t="inlineStr">
        <is>
          <t>CW</t>
        </is>
      </c>
      <c r="C284" t="n">
        <v>-42.39672762232431</v>
      </c>
      <c r="D284">
        <f>SUMPRODUCT(Risk_Inputs!B284:AJ284,Risk_Coefs!$B$2:$AJ$2)</f>
        <v/>
      </c>
      <c r="E284">
        <f>1/(1+EXP(-MAX(-25,MIN(25,D284))))</f>
        <v/>
      </c>
      <c r="F284">
        <f>SUMPRODUCT(Risk_Inputs!B284:AJ284,Risk_Coefs!$B$3:$AJ$3)</f>
        <v/>
      </c>
      <c r="G284">
        <f>MAX(0,F284)</f>
        <v/>
      </c>
      <c r="H284">
        <f>(SUMPRODUCT(--ISNUMBER($E$2:$E$800),--($E$2:$E$800&lt;E284))+(SUMPRODUCT(--ISNUMBER($E$2:$E$800),--($E$2:$E$800=E284))+1)/2)/COUNT($E$2:$E$800)</f>
        <v/>
      </c>
      <c r="I284">
        <f>(SUMPRODUCT(--ISNUMBER($G$2:$G$800),--($G$2:$G$800&lt;G284))+(SUMPRODUCT(--ISNUMBER($G$2:$G$800),--($G$2:$G$800=G284))+1)/2)/COUNT($G$2:$G$800)</f>
        <v/>
      </c>
      <c r="J284" t="n">
        <v>7.857095525242562</v>
      </c>
      <c r="K284" t="n">
        <v>2.048835251192803</v>
      </c>
      <c r="L284" t="n">
        <v>0.1964636542239654</v>
      </c>
      <c r="M284">
        <f>IF(OR(B284="NW",COUNT(Risk_Rank_Keys!B284)=0),0.5,(SUMPRODUCT(--ISNUMBER(Risk_Rank_Keys!$B$2:$B$800),--(Risk_Rank_Keys!$B$2:$B$800&lt;Risk_Rank_Keys!B284))+(SUMPRODUCT(--ISNUMBER(Risk_Rank_Keys!$B$2:$B$800),--(Risk_Rank_Keys!$B$2:$B$800=Risk_Rank_Keys!B284))+1)/2)/COUNT(Risk_Rank_Keys!$B$2:$B$800))</f>
        <v/>
      </c>
      <c r="N284">
        <f>IF(OR(B284="NW",COUNT(Risk_Rank_Keys!C284)=0),0.5,(SUMPRODUCT(--ISNUMBER(Risk_Rank_Keys!$C$2:$C$800),--(Risk_Rank_Keys!$C$2:$C$800&lt;Risk_Rank_Keys!C284))+(SUMPRODUCT(--ISNUMBER(Risk_Rank_Keys!$C$2:$C$800),--(Risk_Rank_Keys!$C$2:$C$800=Risk_Rank_Keys!C284))+1)/2)/COUNT(Risk_Rank_Keys!$C$2:$C$800))</f>
        <v/>
      </c>
      <c r="O284">
        <f>IF(OR(B284="NW",COUNT(Risk_Rank_Keys!D284)=0),0.5,(SUMPRODUCT(--ISNUMBER(Risk_Rank_Keys!$D$2:$D$800),--(Risk_Rank_Keys!$D$2:$D$800&lt;Risk_Rank_Keys!D284))+(SUMPRODUCT(--ISNUMBER(Risk_Rank_Keys!$D$2:$D$800),--(Risk_Rank_Keys!$D$2:$D$800=Risk_Rank_Keys!D284))+1)/2)/COUNT(Risk_Rank_Keys!$D$2:$D$800))</f>
        <v/>
      </c>
      <c r="P284">
        <f>AVERAGE(M284:O284)</f>
        <v/>
      </c>
      <c r="Q284">
        <f>0.4*H284+0.4*I284+0.2*P284</f>
        <v/>
      </c>
      <c r="R284">
        <f>PERCENTILE($Q$2:$Q$800,0.75)</f>
        <v/>
      </c>
      <c r="S284">
        <f>OR(Q284&gt;=R284,AND(B284="CW",COUNT(J284:L284)&lt;3))</f>
        <v/>
      </c>
      <c r="T284" t="n">
        <v>0.3260166595084981</v>
      </c>
      <c r="U284" t="n">
        <v>10.31718058439501</v>
      </c>
      <c r="V284" t="n">
        <v>0.6781451011812184</v>
      </c>
      <c r="W284">
        <f>Q284-V284</f>
        <v/>
      </c>
    </row>
    <row r="285">
      <c r="A285" t="inlineStr">
        <is>
          <t>2022-07-07</t>
        </is>
      </c>
      <c r="B285" t="inlineStr">
        <is>
          <t>CW</t>
        </is>
      </c>
      <c r="C285" t="n">
        <v>42.50037984893697</v>
      </c>
      <c r="D285">
        <f>SUMPRODUCT(Risk_Inputs!B285:AJ285,Risk_Coefs!$B$2:$AJ$2)</f>
        <v/>
      </c>
      <c r="E285">
        <f>1/(1+EXP(-MAX(-25,MIN(25,D285))))</f>
        <v/>
      </c>
      <c r="F285">
        <f>SUMPRODUCT(Risk_Inputs!B285:AJ285,Risk_Coefs!$B$3:$AJ$3)</f>
        <v/>
      </c>
      <c r="G285">
        <f>MAX(0,F285)</f>
        <v/>
      </c>
      <c r="H285">
        <f>(SUMPRODUCT(--ISNUMBER($E$2:$E$800),--($E$2:$E$800&lt;E285))+(SUMPRODUCT(--ISNUMBER($E$2:$E$800),--($E$2:$E$800=E285))+1)/2)/COUNT($E$2:$E$800)</f>
        <v/>
      </c>
      <c r="I285">
        <f>(SUMPRODUCT(--ISNUMBER($G$2:$G$800),--($G$2:$G$800&lt;G285))+(SUMPRODUCT(--ISNUMBER($G$2:$G$800),--($G$2:$G$800=G285))+1)/2)/COUNT($G$2:$G$800)</f>
        <v/>
      </c>
      <c r="J285" t="n">
        <v>31.69542618253115</v>
      </c>
      <c r="K285" t="n">
        <v>15.72649572649573</v>
      </c>
      <c r="L285" t="n">
        <v>0.512820512820514</v>
      </c>
      <c r="M285">
        <f>IF(OR(B285="NW",COUNT(Risk_Rank_Keys!B285)=0),0.5,(SUMPRODUCT(--ISNUMBER(Risk_Rank_Keys!$B$2:$B$800),--(Risk_Rank_Keys!$B$2:$B$800&lt;Risk_Rank_Keys!B285))+(SUMPRODUCT(--ISNUMBER(Risk_Rank_Keys!$B$2:$B$800),--(Risk_Rank_Keys!$B$2:$B$800=Risk_Rank_Keys!B285))+1)/2)/COUNT(Risk_Rank_Keys!$B$2:$B$800))</f>
        <v/>
      </c>
      <c r="N285">
        <f>IF(OR(B285="NW",COUNT(Risk_Rank_Keys!C285)=0),0.5,(SUMPRODUCT(--ISNUMBER(Risk_Rank_Keys!$C$2:$C$800),--(Risk_Rank_Keys!$C$2:$C$800&lt;Risk_Rank_Keys!C285))+(SUMPRODUCT(--ISNUMBER(Risk_Rank_Keys!$C$2:$C$800),--(Risk_Rank_Keys!$C$2:$C$800=Risk_Rank_Keys!C285))+1)/2)/COUNT(Risk_Rank_Keys!$C$2:$C$800))</f>
        <v/>
      </c>
      <c r="O285">
        <f>IF(OR(B285="NW",COUNT(Risk_Rank_Keys!D285)=0),0.5,(SUMPRODUCT(--ISNUMBER(Risk_Rank_Keys!$D$2:$D$800),--(Risk_Rank_Keys!$D$2:$D$800&lt;Risk_Rank_Keys!D285))+(SUMPRODUCT(--ISNUMBER(Risk_Rank_Keys!$D$2:$D$800),--(Risk_Rank_Keys!$D$2:$D$800=Risk_Rank_Keys!D285))+1)/2)/COUNT(Risk_Rank_Keys!$D$2:$D$800))</f>
        <v/>
      </c>
      <c r="P285">
        <f>AVERAGE(M285:O285)</f>
        <v/>
      </c>
      <c r="Q285">
        <f>0.4*H285+0.4*I285+0.2*P285</f>
        <v/>
      </c>
      <c r="R285">
        <f>PERCENTILE($Q$2:$Q$800,0.75)</f>
        <v/>
      </c>
      <c r="S285">
        <f>OR(Q285&gt;=R285,AND(B285="CW",COUNT(J285:L285)&lt;3))</f>
        <v/>
      </c>
      <c r="T285" t="n">
        <v>0.1758863278702375</v>
      </c>
      <c r="U285" t="n">
        <v>7.055784755951342</v>
      </c>
      <c r="V285" t="n">
        <v>0.3785937675464857</v>
      </c>
      <c r="W285">
        <f>Q285-V285</f>
        <v/>
      </c>
    </row>
    <row r="286">
      <c r="A286" t="inlineStr">
        <is>
          <t>2022-07-12</t>
        </is>
      </c>
      <c r="B286" t="inlineStr">
        <is>
          <t>CW</t>
        </is>
      </c>
      <c r="C286" t="n">
        <v>17.60555765063521</v>
      </c>
      <c r="D286">
        <f>SUMPRODUCT(Risk_Inputs!B286:AJ286,Risk_Coefs!$B$2:$AJ$2)</f>
        <v/>
      </c>
      <c r="E286">
        <f>1/(1+EXP(-MAX(-25,MIN(25,D286))))</f>
        <v/>
      </c>
      <c r="F286">
        <f>SUMPRODUCT(Risk_Inputs!B286:AJ286,Risk_Coefs!$B$3:$AJ$3)</f>
        <v/>
      </c>
      <c r="G286">
        <f>MAX(0,F286)</f>
        <v/>
      </c>
      <c r="H286">
        <f>(SUMPRODUCT(--ISNUMBER($E$2:$E$800),--($E$2:$E$800&lt;E286))+(SUMPRODUCT(--ISNUMBER($E$2:$E$800),--($E$2:$E$800=E286))+1)/2)/COUNT($E$2:$E$800)</f>
        <v/>
      </c>
      <c r="I286">
        <f>(SUMPRODUCT(--ISNUMBER($G$2:$G$800),--($G$2:$G$800&lt;G286))+(SUMPRODUCT(--ISNUMBER($G$2:$G$800),--($G$2:$G$800=G286))+1)/2)/COUNT($G$2:$G$800)</f>
        <v/>
      </c>
      <c r="J286" t="n">
        <v>5.778461251689945</v>
      </c>
      <c r="K286" t="n">
        <v>1.231586573291481</v>
      </c>
      <c r="L286" t="n">
        <v>0.1207437816952426</v>
      </c>
      <c r="M286">
        <f>IF(OR(B286="NW",COUNT(Risk_Rank_Keys!B286)=0),0.5,(SUMPRODUCT(--ISNUMBER(Risk_Rank_Keys!$B$2:$B$800),--(Risk_Rank_Keys!$B$2:$B$800&lt;Risk_Rank_Keys!B286))+(SUMPRODUCT(--ISNUMBER(Risk_Rank_Keys!$B$2:$B$800),--(Risk_Rank_Keys!$B$2:$B$800=Risk_Rank_Keys!B286))+1)/2)/COUNT(Risk_Rank_Keys!$B$2:$B$800))</f>
        <v/>
      </c>
      <c r="N286">
        <f>IF(OR(B286="NW",COUNT(Risk_Rank_Keys!C286)=0),0.5,(SUMPRODUCT(--ISNUMBER(Risk_Rank_Keys!$C$2:$C$800),--(Risk_Rank_Keys!$C$2:$C$800&lt;Risk_Rank_Keys!C286))+(SUMPRODUCT(--ISNUMBER(Risk_Rank_Keys!$C$2:$C$800),--(Risk_Rank_Keys!$C$2:$C$800=Risk_Rank_Keys!C286))+1)/2)/COUNT(Risk_Rank_Keys!$C$2:$C$800))</f>
        <v/>
      </c>
      <c r="O286">
        <f>IF(OR(B286="NW",COUNT(Risk_Rank_Keys!D286)=0),0.5,(SUMPRODUCT(--ISNUMBER(Risk_Rank_Keys!$D$2:$D$800),--(Risk_Rank_Keys!$D$2:$D$800&lt;Risk_Rank_Keys!D286))+(SUMPRODUCT(--ISNUMBER(Risk_Rank_Keys!$D$2:$D$800),--(Risk_Rank_Keys!$D$2:$D$800=Risk_Rank_Keys!D286))+1)/2)/COUNT(Risk_Rank_Keys!$D$2:$D$800))</f>
        <v/>
      </c>
      <c r="P286">
        <f>AVERAGE(M286:O286)</f>
        <v/>
      </c>
      <c r="Q286">
        <f>0.4*H286+0.4*I286+0.2*P286</f>
        <v/>
      </c>
      <c r="R286">
        <f>PERCENTILE($Q$2:$Q$800,0.75)</f>
        <v/>
      </c>
      <c r="S286">
        <f>OR(Q286&gt;=R286,AND(B286="CW",COUNT(J286:L286)&lt;3))</f>
        <v/>
      </c>
      <c r="T286" t="n">
        <v>0.3197927894833698</v>
      </c>
      <c r="U286" t="n">
        <v>6.443275814447313</v>
      </c>
      <c r="V286" t="n">
        <v>0.4211637163842065</v>
      </c>
      <c r="W286">
        <f>Q286-V286</f>
        <v/>
      </c>
    </row>
    <row r="287">
      <c r="A287" t="inlineStr">
        <is>
          <t>2022-07-13</t>
        </is>
      </c>
      <c r="B287" t="inlineStr">
        <is>
          <t>CW</t>
        </is>
      </c>
      <c r="C287" t="n">
        <v>-10.74521644185219</v>
      </c>
      <c r="D287">
        <f>SUMPRODUCT(Risk_Inputs!B287:AJ287,Risk_Coefs!$B$2:$AJ$2)</f>
        <v/>
      </c>
      <c r="E287">
        <f>1/(1+EXP(-MAX(-25,MIN(25,D287))))</f>
        <v/>
      </c>
      <c r="F287">
        <f>SUMPRODUCT(Risk_Inputs!B287:AJ287,Risk_Coefs!$B$3:$AJ$3)</f>
        <v/>
      </c>
      <c r="G287">
        <f>MAX(0,F287)</f>
        <v/>
      </c>
      <c r="H287">
        <f>(SUMPRODUCT(--ISNUMBER($E$2:$E$800),--($E$2:$E$800&lt;E287))+(SUMPRODUCT(--ISNUMBER($E$2:$E$800),--($E$2:$E$800=E287))+1)/2)/COUNT($E$2:$E$800)</f>
        <v/>
      </c>
      <c r="I287">
        <f>(SUMPRODUCT(--ISNUMBER($G$2:$G$800),--($G$2:$G$800&lt;G287))+(SUMPRODUCT(--ISNUMBER($G$2:$G$800),--($G$2:$G$800=G287))+1)/2)/COUNT($G$2:$G$800)</f>
        <v/>
      </c>
      <c r="J287" t="n">
        <v>4.839520267042924</v>
      </c>
      <c r="K287" t="n">
        <v>1.202346041055708</v>
      </c>
      <c r="L287" t="n">
        <v>0.1466275659824047</v>
      </c>
      <c r="M287">
        <f>IF(OR(B287="NW",COUNT(Risk_Rank_Keys!B287)=0),0.5,(SUMPRODUCT(--ISNUMBER(Risk_Rank_Keys!$B$2:$B$800),--(Risk_Rank_Keys!$B$2:$B$800&lt;Risk_Rank_Keys!B287))+(SUMPRODUCT(--ISNUMBER(Risk_Rank_Keys!$B$2:$B$800),--(Risk_Rank_Keys!$B$2:$B$800=Risk_Rank_Keys!B287))+1)/2)/COUNT(Risk_Rank_Keys!$B$2:$B$800))</f>
        <v/>
      </c>
      <c r="N287">
        <f>IF(OR(B287="NW",COUNT(Risk_Rank_Keys!C287)=0),0.5,(SUMPRODUCT(--ISNUMBER(Risk_Rank_Keys!$C$2:$C$800),--(Risk_Rank_Keys!$C$2:$C$800&lt;Risk_Rank_Keys!C287))+(SUMPRODUCT(--ISNUMBER(Risk_Rank_Keys!$C$2:$C$800),--(Risk_Rank_Keys!$C$2:$C$800=Risk_Rank_Keys!C287))+1)/2)/COUNT(Risk_Rank_Keys!$C$2:$C$800))</f>
        <v/>
      </c>
      <c r="O287">
        <f>IF(OR(B287="NW",COUNT(Risk_Rank_Keys!D287)=0),0.5,(SUMPRODUCT(--ISNUMBER(Risk_Rank_Keys!$D$2:$D$800),--(Risk_Rank_Keys!$D$2:$D$800&lt;Risk_Rank_Keys!D287))+(SUMPRODUCT(--ISNUMBER(Risk_Rank_Keys!$D$2:$D$800),--(Risk_Rank_Keys!$D$2:$D$800=Risk_Rank_Keys!D287))+1)/2)/COUNT(Risk_Rank_Keys!$D$2:$D$800))</f>
        <v/>
      </c>
      <c r="P287">
        <f>AVERAGE(M287:O287)</f>
        <v/>
      </c>
      <c r="Q287">
        <f>0.4*H287+0.4*I287+0.2*P287</f>
        <v/>
      </c>
      <c r="R287">
        <f>PERCENTILE($Q$2:$Q$800,0.75)</f>
        <v/>
      </c>
      <c r="S287">
        <f>OR(Q287&gt;=R287,AND(B287="CW",COUNT(J287:L287)&lt;3))</f>
        <v/>
      </c>
      <c r="T287" t="n">
        <v>0.3981458724103457</v>
      </c>
      <c r="U287" t="n">
        <v>10.67201042688342</v>
      </c>
      <c r="V287" t="n">
        <v>0.7367365878663997</v>
      </c>
      <c r="W287">
        <f>Q287-V287</f>
        <v/>
      </c>
    </row>
    <row r="288">
      <c r="A288" t="inlineStr">
        <is>
          <t>2022-07-14</t>
        </is>
      </c>
      <c r="B288" t="inlineStr">
        <is>
          <t>CW</t>
        </is>
      </c>
      <c r="C288" t="n">
        <v>13.48894106172065</v>
      </c>
      <c r="D288">
        <f>SUMPRODUCT(Risk_Inputs!B288:AJ288,Risk_Coefs!$B$2:$AJ$2)</f>
        <v/>
      </c>
      <c r="E288">
        <f>1/(1+EXP(-MAX(-25,MIN(25,D288))))</f>
        <v/>
      </c>
      <c r="F288">
        <f>SUMPRODUCT(Risk_Inputs!B288:AJ288,Risk_Coefs!$B$3:$AJ$3)</f>
        <v/>
      </c>
      <c r="G288">
        <f>MAX(0,F288)</f>
        <v/>
      </c>
      <c r="H288">
        <f>(SUMPRODUCT(--ISNUMBER($E$2:$E$800),--($E$2:$E$800&lt;E288))+(SUMPRODUCT(--ISNUMBER($E$2:$E$800),--($E$2:$E$800=E288))+1)/2)/COUNT($E$2:$E$800)</f>
        <v/>
      </c>
      <c r="I288">
        <f>(SUMPRODUCT(--ISNUMBER($G$2:$G$800),--($G$2:$G$800&lt;G288))+(SUMPRODUCT(--ISNUMBER($G$2:$G$800),--($G$2:$G$800=G288))+1)/2)/COUNT($G$2:$G$800)</f>
        <v/>
      </c>
      <c r="J288" t="n">
        <v>9.93939469711391</v>
      </c>
      <c r="K288" t="n">
        <v>6.117136659436018</v>
      </c>
      <c r="L288" t="n">
        <v>0.1735357917570523</v>
      </c>
      <c r="M288">
        <f>IF(OR(B288="NW",COUNT(Risk_Rank_Keys!B288)=0),0.5,(SUMPRODUCT(--ISNUMBER(Risk_Rank_Keys!$B$2:$B$800),--(Risk_Rank_Keys!$B$2:$B$800&lt;Risk_Rank_Keys!B288))+(SUMPRODUCT(--ISNUMBER(Risk_Rank_Keys!$B$2:$B$800),--(Risk_Rank_Keys!$B$2:$B$800=Risk_Rank_Keys!B288))+1)/2)/COUNT(Risk_Rank_Keys!$B$2:$B$800))</f>
        <v/>
      </c>
      <c r="N288">
        <f>IF(OR(B288="NW",COUNT(Risk_Rank_Keys!C288)=0),0.5,(SUMPRODUCT(--ISNUMBER(Risk_Rank_Keys!$C$2:$C$800),--(Risk_Rank_Keys!$C$2:$C$800&lt;Risk_Rank_Keys!C288))+(SUMPRODUCT(--ISNUMBER(Risk_Rank_Keys!$C$2:$C$800),--(Risk_Rank_Keys!$C$2:$C$800=Risk_Rank_Keys!C288))+1)/2)/COUNT(Risk_Rank_Keys!$C$2:$C$800))</f>
        <v/>
      </c>
      <c r="O288">
        <f>IF(OR(B288="NW",COUNT(Risk_Rank_Keys!D288)=0),0.5,(SUMPRODUCT(--ISNUMBER(Risk_Rank_Keys!$D$2:$D$800),--(Risk_Rank_Keys!$D$2:$D$800&lt;Risk_Rank_Keys!D288))+(SUMPRODUCT(--ISNUMBER(Risk_Rank_Keys!$D$2:$D$800),--(Risk_Rank_Keys!$D$2:$D$800=Risk_Rank_Keys!D288))+1)/2)/COUNT(Risk_Rank_Keys!$D$2:$D$800))</f>
        <v/>
      </c>
      <c r="P288">
        <f>AVERAGE(M288:O288)</f>
        <v/>
      </c>
      <c r="Q288">
        <f>0.4*H288+0.4*I288+0.2*P288</f>
        <v/>
      </c>
      <c r="R288">
        <f>PERCENTILE($Q$2:$Q$800,0.75)</f>
        <v/>
      </c>
      <c r="S288">
        <f>OR(Q288&gt;=R288,AND(B288="CW",COUNT(J288:L288)&lt;3))</f>
        <v/>
      </c>
      <c r="T288" t="n">
        <v>0.3130096338962975</v>
      </c>
      <c r="U288" t="n">
        <v>11.21924917816743</v>
      </c>
      <c r="V288" t="n">
        <v>0.705216946566751</v>
      </c>
      <c r="W288">
        <f>Q288-V288</f>
        <v/>
      </c>
    </row>
    <row r="289">
      <c r="A289" t="inlineStr">
        <is>
          <t>2022-07-20</t>
        </is>
      </c>
      <c r="B289" t="inlineStr">
        <is>
          <t>CW</t>
        </is>
      </c>
      <c r="C289" t="n">
        <v>16.9927334940459</v>
      </c>
      <c r="D289">
        <f>SUMPRODUCT(Risk_Inputs!B289:AJ289,Risk_Coefs!$B$2:$AJ$2)</f>
        <v/>
      </c>
      <c r="E289">
        <f>1/(1+EXP(-MAX(-25,MIN(25,D289))))</f>
        <v/>
      </c>
      <c r="F289">
        <f>SUMPRODUCT(Risk_Inputs!B289:AJ289,Risk_Coefs!$B$3:$AJ$3)</f>
        <v/>
      </c>
      <c r="G289">
        <f>MAX(0,F289)</f>
        <v/>
      </c>
      <c r="H289">
        <f>(SUMPRODUCT(--ISNUMBER($E$2:$E$800),--($E$2:$E$800&lt;E289))+(SUMPRODUCT(--ISNUMBER($E$2:$E$800),--($E$2:$E$800=E289))+1)/2)/COUNT($E$2:$E$800)</f>
        <v/>
      </c>
      <c r="I289">
        <f>(SUMPRODUCT(--ISNUMBER($G$2:$G$800),--($G$2:$G$800&lt;G289))+(SUMPRODUCT(--ISNUMBER($G$2:$G$800),--($G$2:$G$800=G289))+1)/2)/COUNT($G$2:$G$800)</f>
        <v/>
      </c>
      <c r="J289" t="n">
        <v>8.330278897737497</v>
      </c>
      <c r="K289" t="n">
        <v>3.218960028298537</v>
      </c>
      <c r="L289" t="n">
        <v>0.2122391227449572</v>
      </c>
      <c r="M289">
        <f>IF(OR(B289="NW",COUNT(Risk_Rank_Keys!B289)=0),0.5,(SUMPRODUCT(--ISNUMBER(Risk_Rank_Keys!$B$2:$B$800),--(Risk_Rank_Keys!$B$2:$B$800&lt;Risk_Rank_Keys!B289))+(SUMPRODUCT(--ISNUMBER(Risk_Rank_Keys!$B$2:$B$800),--(Risk_Rank_Keys!$B$2:$B$800=Risk_Rank_Keys!B289))+1)/2)/COUNT(Risk_Rank_Keys!$B$2:$B$800))</f>
        <v/>
      </c>
      <c r="N289">
        <f>IF(OR(B289="NW",COUNT(Risk_Rank_Keys!C289)=0),0.5,(SUMPRODUCT(--ISNUMBER(Risk_Rank_Keys!$C$2:$C$800),--(Risk_Rank_Keys!$C$2:$C$800&lt;Risk_Rank_Keys!C289))+(SUMPRODUCT(--ISNUMBER(Risk_Rank_Keys!$C$2:$C$800),--(Risk_Rank_Keys!$C$2:$C$800=Risk_Rank_Keys!C289))+1)/2)/COUNT(Risk_Rank_Keys!$C$2:$C$800))</f>
        <v/>
      </c>
      <c r="O289">
        <f>IF(OR(B289="NW",COUNT(Risk_Rank_Keys!D289)=0),0.5,(SUMPRODUCT(--ISNUMBER(Risk_Rank_Keys!$D$2:$D$800),--(Risk_Rank_Keys!$D$2:$D$800&lt;Risk_Rank_Keys!D289))+(SUMPRODUCT(--ISNUMBER(Risk_Rank_Keys!$D$2:$D$800),--(Risk_Rank_Keys!$D$2:$D$800=Risk_Rank_Keys!D289))+1)/2)/COUNT(Risk_Rank_Keys!$D$2:$D$800))</f>
        <v/>
      </c>
      <c r="P289">
        <f>AVERAGE(M289:O289)</f>
        <v/>
      </c>
      <c r="Q289">
        <f>0.4*H289+0.4*I289+0.2*P289</f>
        <v/>
      </c>
      <c r="R289">
        <f>PERCENTILE($Q$2:$Q$800,0.75)</f>
        <v/>
      </c>
      <c r="S289">
        <f>OR(Q289&gt;=R289,AND(B289="CW",COUNT(J289:L289)&lt;3))</f>
        <v/>
      </c>
      <c r="T289" t="n">
        <v>0.2976709060542997</v>
      </c>
      <c r="U289" t="n">
        <v>10.79561373909292</v>
      </c>
      <c r="V289" t="n">
        <v>0.6530868141196953</v>
      </c>
      <c r="W289">
        <f>Q289-V289</f>
        <v/>
      </c>
    </row>
    <row r="290">
      <c r="A290" t="inlineStr">
        <is>
          <t>2022-07-21</t>
        </is>
      </c>
      <c r="B290" t="inlineStr">
        <is>
          <t>CW</t>
        </is>
      </c>
      <c r="C290" t="n">
        <v>15.52534670300675</v>
      </c>
      <c r="D290">
        <f>SUMPRODUCT(Risk_Inputs!B290:AJ290,Risk_Coefs!$B$2:$AJ$2)</f>
        <v/>
      </c>
      <c r="E290">
        <f>1/(1+EXP(-MAX(-25,MIN(25,D290))))</f>
        <v/>
      </c>
      <c r="F290">
        <f>SUMPRODUCT(Risk_Inputs!B290:AJ290,Risk_Coefs!$B$3:$AJ$3)</f>
        <v/>
      </c>
      <c r="G290">
        <f>MAX(0,F290)</f>
        <v/>
      </c>
      <c r="H290">
        <f>(SUMPRODUCT(--ISNUMBER($E$2:$E$800),--($E$2:$E$800&lt;E290))+(SUMPRODUCT(--ISNUMBER($E$2:$E$800),--($E$2:$E$800=E290))+1)/2)/COUNT($E$2:$E$800)</f>
        <v/>
      </c>
      <c r="I290">
        <f>(SUMPRODUCT(--ISNUMBER($G$2:$G$800),--($G$2:$G$800&lt;G290))+(SUMPRODUCT(--ISNUMBER($G$2:$G$800),--($G$2:$G$800=G290))+1)/2)/COUNT($G$2:$G$800)</f>
        <v/>
      </c>
      <c r="J290" t="n">
        <v>5.365571221136437</v>
      </c>
      <c r="K290" t="n">
        <v>5.764840182648383</v>
      </c>
      <c r="L290" t="n">
        <v>0.2853881278538894</v>
      </c>
      <c r="M290">
        <f>IF(OR(B290="NW",COUNT(Risk_Rank_Keys!B290)=0),0.5,(SUMPRODUCT(--ISNUMBER(Risk_Rank_Keys!$B$2:$B$800),--(Risk_Rank_Keys!$B$2:$B$800&lt;Risk_Rank_Keys!B290))+(SUMPRODUCT(--ISNUMBER(Risk_Rank_Keys!$B$2:$B$800),--(Risk_Rank_Keys!$B$2:$B$800=Risk_Rank_Keys!B290))+1)/2)/COUNT(Risk_Rank_Keys!$B$2:$B$800))</f>
        <v/>
      </c>
      <c r="N290">
        <f>IF(OR(B290="NW",COUNT(Risk_Rank_Keys!C290)=0),0.5,(SUMPRODUCT(--ISNUMBER(Risk_Rank_Keys!$C$2:$C$800),--(Risk_Rank_Keys!$C$2:$C$800&lt;Risk_Rank_Keys!C290))+(SUMPRODUCT(--ISNUMBER(Risk_Rank_Keys!$C$2:$C$800),--(Risk_Rank_Keys!$C$2:$C$800=Risk_Rank_Keys!C290))+1)/2)/COUNT(Risk_Rank_Keys!$C$2:$C$800))</f>
        <v/>
      </c>
      <c r="O290">
        <f>IF(OR(B290="NW",COUNT(Risk_Rank_Keys!D290)=0),0.5,(SUMPRODUCT(--ISNUMBER(Risk_Rank_Keys!$D$2:$D$800),--(Risk_Rank_Keys!$D$2:$D$800&lt;Risk_Rank_Keys!D290))+(SUMPRODUCT(--ISNUMBER(Risk_Rank_Keys!$D$2:$D$800),--(Risk_Rank_Keys!$D$2:$D$800=Risk_Rank_Keys!D290))+1)/2)/COUNT(Risk_Rank_Keys!$D$2:$D$800))</f>
        <v/>
      </c>
      <c r="P290">
        <f>AVERAGE(M290:O290)</f>
        <v/>
      </c>
      <c r="Q290">
        <f>0.4*H290+0.4*I290+0.2*P290</f>
        <v/>
      </c>
      <c r="R290">
        <f>PERCENTILE($Q$2:$Q$800,0.75)</f>
        <v/>
      </c>
      <c r="S290">
        <f>OR(Q290&gt;=R290,AND(B290="CW",COUNT(J290:L290)&lt;3))</f>
        <v/>
      </c>
      <c r="T290" t="n">
        <v>0.2698130356557168</v>
      </c>
      <c r="U290" t="n">
        <v>7.954230384902691</v>
      </c>
      <c r="V290" t="n">
        <v>0.4760741722131744</v>
      </c>
      <c r="W290">
        <f>Q290-V290</f>
        <v/>
      </c>
    </row>
    <row r="291">
      <c r="A291" t="inlineStr">
        <is>
          <t>2022-07-22</t>
        </is>
      </c>
      <c r="B291" t="inlineStr">
        <is>
          <t>CW</t>
        </is>
      </c>
      <c r="C291" t="n">
        <v>-13.17369997998724</v>
      </c>
      <c r="D291">
        <f>SUMPRODUCT(Risk_Inputs!B291:AJ291,Risk_Coefs!$B$2:$AJ$2)</f>
        <v/>
      </c>
      <c r="E291">
        <f>1/(1+EXP(-MAX(-25,MIN(25,D291))))</f>
        <v/>
      </c>
      <c r="F291">
        <f>SUMPRODUCT(Risk_Inputs!B291:AJ291,Risk_Coefs!$B$3:$AJ$3)</f>
        <v/>
      </c>
      <c r="G291">
        <f>MAX(0,F291)</f>
        <v/>
      </c>
      <c r="H291">
        <f>(SUMPRODUCT(--ISNUMBER($E$2:$E$800),--($E$2:$E$800&lt;E291))+(SUMPRODUCT(--ISNUMBER($E$2:$E$800),--($E$2:$E$800=E291))+1)/2)/COUNT($E$2:$E$800)</f>
        <v/>
      </c>
      <c r="I291">
        <f>(SUMPRODUCT(--ISNUMBER($G$2:$G$800),--($G$2:$G$800&lt;G291))+(SUMPRODUCT(--ISNUMBER($G$2:$G$800),--($G$2:$G$800=G291))+1)/2)/COUNT($G$2:$G$800)</f>
        <v/>
      </c>
      <c r="J291" t="n">
        <v>6.81429982318756</v>
      </c>
      <c r="K291" t="n">
        <v>1.478886942985021</v>
      </c>
      <c r="L291" t="n">
        <v>0.1945903872348705</v>
      </c>
      <c r="M291">
        <f>IF(OR(B291="NW",COUNT(Risk_Rank_Keys!B291)=0),0.5,(SUMPRODUCT(--ISNUMBER(Risk_Rank_Keys!$B$2:$B$800),--(Risk_Rank_Keys!$B$2:$B$800&lt;Risk_Rank_Keys!B291))+(SUMPRODUCT(--ISNUMBER(Risk_Rank_Keys!$B$2:$B$800),--(Risk_Rank_Keys!$B$2:$B$800=Risk_Rank_Keys!B291))+1)/2)/COUNT(Risk_Rank_Keys!$B$2:$B$800))</f>
        <v/>
      </c>
      <c r="N291">
        <f>IF(OR(B291="NW",COUNT(Risk_Rank_Keys!C291)=0),0.5,(SUMPRODUCT(--ISNUMBER(Risk_Rank_Keys!$C$2:$C$800),--(Risk_Rank_Keys!$C$2:$C$800&lt;Risk_Rank_Keys!C291))+(SUMPRODUCT(--ISNUMBER(Risk_Rank_Keys!$C$2:$C$800),--(Risk_Rank_Keys!$C$2:$C$800=Risk_Rank_Keys!C291))+1)/2)/COUNT(Risk_Rank_Keys!$C$2:$C$800))</f>
        <v/>
      </c>
      <c r="O291">
        <f>IF(OR(B291="NW",COUNT(Risk_Rank_Keys!D291)=0),0.5,(SUMPRODUCT(--ISNUMBER(Risk_Rank_Keys!$D$2:$D$800),--(Risk_Rank_Keys!$D$2:$D$800&lt;Risk_Rank_Keys!D291))+(SUMPRODUCT(--ISNUMBER(Risk_Rank_Keys!$D$2:$D$800),--(Risk_Rank_Keys!$D$2:$D$800=Risk_Rank_Keys!D291))+1)/2)/COUNT(Risk_Rank_Keys!$D$2:$D$800))</f>
        <v/>
      </c>
      <c r="P291">
        <f>AVERAGE(M291:O291)</f>
        <v/>
      </c>
      <c r="Q291">
        <f>0.4*H291+0.4*I291+0.2*P291</f>
        <v/>
      </c>
      <c r="R291">
        <f>PERCENTILE($Q$2:$Q$800,0.75)</f>
        <v/>
      </c>
      <c r="S291">
        <f>OR(Q291&gt;=R291,AND(B291="CW",COUNT(J291:L291)&lt;3))</f>
        <v/>
      </c>
      <c r="T291" t="n">
        <v>0.2722296335422499</v>
      </c>
      <c r="U291" t="n">
        <v>8.621044660978797</v>
      </c>
      <c r="V291" t="n">
        <v>0.4592488634968513</v>
      </c>
      <c r="W291">
        <f>Q291-V291</f>
        <v/>
      </c>
    </row>
    <row r="292">
      <c r="A292" t="inlineStr">
        <is>
          <t>2022-07-25</t>
        </is>
      </c>
      <c r="B292" t="inlineStr">
        <is>
          <t>CW</t>
        </is>
      </c>
      <c r="C292" t="n">
        <v>16.50828542975257</v>
      </c>
      <c r="D292">
        <f>SUMPRODUCT(Risk_Inputs!B292:AJ292,Risk_Coefs!$B$2:$AJ$2)</f>
        <v/>
      </c>
      <c r="E292">
        <f>1/(1+EXP(-MAX(-25,MIN(25,D292))))</f>
        <v/>
      </c>
      <c r="F292">
        <f>SUMPRODUCT(Risk_Inputs!B292:AJ292,Risk_Coefs!$B$3:$AJ$3)</f>
        <v/>
      </c>
      <c r="G292">
        <f>MAX(0,F292)</f>
        <v/>
      </c>
      <c r="H292">
        <f>(SUMPRODUCT(--ISNUMBER($E$2:$E$800),--($E$2:$E$800&lt;E292))+(SUMPRODUCT(--ISNUMBER($E$2:$E$800),--($E$2:$E$800=E292))+1)/2)/COUNT($E$2:$E$800)</f>
        <v/>
      </c>
      <c r="I292">
        <f>(SUMPRODUCT(--ISNUMBER($G$2:$G$800),--($G$2:$G$800&lt;G292))+(SUMPRODUCT(--ISNUMBER($G$2:$G$800),--($G$2:$G$800=G292))+1)/2)/COUNT($G$2:$G$800)</f>
        <v/>
      </c>
      <c r="J292" t="n">
        <v>9.562321455869192</v>
      </c>
      <c r="K292" t="n">
        <v>1.455389158405395</v>
      </c>
      <c r="L292" t="n">
        <v>0.1476481754904124</v>
      </c>
      <c r="M292">
        <f>IF(OR(B292="NW",COUNT(Risk_Rank_Keys!B292)=0),0.5,(SUMPRODUCT(--ISNUMBER(Risk_Rank_Keys!$B$2:$B$800),--(Risk_Rank_Keys!$B$2:$B$800&lt;Risk_Rank_Keys!B292))+(SUMPRODUCT(--ISNUMBER(Risk_Rank_Keys!$B$2:$B$800),--(Risk_Rank_Keys!$B$2:$B$800=Risk_Rank_Keys!B292))+1)/2)/COUNT(Risk_Rank_Keys!$B$2:$B$800))</f>
        <v/>
      </c>
      <c r="N292">
        <f>IF(OR(B292="NW",COUNT(Risk_Rank_Keys!C292)=0),0.5,(SUMPRODUCT(--ISNUMBER(Risk_Rank_Keys!$C$2:$C$800),--(Risk_Rank_Keys!$C$2:$C$800&lt;Risk_Rank_Keys!C292))+(SUMPRODUCT(--ISNUMBER(Risk_Rank_Keys!$C$2:$C$800),--(Risk_Rank_Keys!$C$2:$C$800=Risk_Rank_Keys!C292))+1)/2)/COUNT(Risk_Rank_Keys!$C$2:$C$800))</f>
        <v/>
      </c>
      <c r="O292">
        <f>IF(OR(B292="NW",COUNT(Risk_Rank_Keys!D292)=0),0.5,(SUMPRODUCT(--ISNUMBER(Risk_Rank_Keys!$D$2:$D$800),--(Risk_Rank_Keys!$D$2:$D$800&lt;Risk_Rank_Keys!D292))+(SUMPRODUCT(--ISNUMBER(Risk_Rank_Keys!$D$2:$D$800),--(Risk_Rank_Keys!$D$2:$D$800=Risk_Rank_Keys!D292))+1)/2)/COUNT(Risk_Rank_Keys!$D$2:$D$800))</f>
        <v/>
      </c>
      <c r="P292">
        <f>AVERAGE(M292:O292)</f>
        <v/>
      </c>
      <c r="Q292">
        <f>0.4*H292+0.4*I292+0.2*P292</f>
        <v/>
      </c>
      <c r="R292">
        <f>PERCENTILE($Q$2:$Q$800,0.75)</f>
        <v/>
      </c>
      <c r="S292">
        <f>OR(Q292&gt;=R292,AND(B292="CW",COUNT(J292:L292)&lt;3))</f>
        <v/>
      </c>
      <c r="T292" t="n">
        <v>0.3231144286750187</v>
      </c>
      <c r="U292" t="n">
        <v>9.203115284457413</v>
      </c>
      <c r="V292" t="n">
        <v>0.6063398634625221</v>
      </c>
      <c r="W292">
        <f>Q292-V292</f>
        <v/>
      </c>
    </row>
    <row r="293">
      <c r="A293" t="inlineStr">
        <is>
          <t>2022-07-26</t>
        </is>
      </c>
      <c r="B293" t="inlineStr">
        <is>
          <t>CW</t>
        </is>
      </c>
      <c r="C293" t="n">
        <v>24.24657713497002</v>
      </c>
      <c r="D293">
        <f>SUMPRODUCT(Risk_Inputs!B293:AJ293,Risk_Coefs!$B$2:$AJ$2)</f>
        <v/>
      </c>
      <c r="E293">
        <f>1/(1+EXP(-MAX(-25,MIN(25,D293))))</f>
        <v/>
      </c>
      <c r="F293">
        <f>SUMPRODUCT(Risk_Inputs!B293:AJ293,Risk_Coefs!$B$3:$AJ$3)</f>
        <v/>
      </c>
      <c r="G293">
        <f>MAX(0,F293)</f>
        <v/>
      </c>
      <c r="H293">
        <f>(SUMPRODUCT(--ISNUMBER($E$2:$E$800),--($E$2:$E$800&lt;E293))+(SUMPRODUCT(--ISNUMBER($E$2:$E$800),--($E$2:$E$800=E293))+1)/2)/COUNT($E$2:$E$800)</f>
        <v/>
      </c>
      <c r="I293">
        <f>(SUMPRODUCT(--ISNUMBER($G$2:$G$800),--($G$2:$G$800&lt;G293))+(SUMPRODUCT(--ISNUMBER($G$2:$G$800),--($G$2:$G$800=G293))+1)/2)/COUNT($G$2:$G$800)</f>
        <v/>
      </c>
      <c r="J293" t="n">
        <v>6.332129223678764</v>
      </c>
      <c r="K293" t="n">
        <v>3.229908443540181</v>
      </c>
      <c r="L293" t="n">
        <v>0.1525940996948031</v>
      </c>
      <c r="M293">
        <f>IF(OR(B293="NW",COUNT(Risk_Rank_Keys!B293)=0),0.5,(SUMPRODUCT(--ISNUMBER(Risk_Rank_Keys!$B$2:$B$800),--(Risk_Rank_Keys!$B$2:$B$800&lt;Risk_Rank_Keys!B293))+(SUMPRODUCT(--ISNUMBER(Risk_Rank_Keys!$B$2:$B$800),--(Risk_Rank_Keys!$B$2:$B$800=Risk_Rank_Keys!B293))+1)/2)/COUNT(Risk_Rank_Keys!$B$2:$B$800))</f>
        <v/>
      </c>
      <c r="N293">
        <f>IF(OR(B293="NW",COUNT(Risk_Rank_Keys!C293)=0),0.5,(SUMPRODUCT(--ISNUMBER(Risk_Rank_Keys!$C$2:$C$800),--(Risk_Rank_Keys!$C$2:$C$800&lt;Risk_Rank_Keys!C293))+(SUMPRODUCT(--ISNUMBER(Risk_Rank_Keys!$C$2:$C$800),--(Risk_Rank_Keys!$C$2:$C$800=Risk_Rank_Keys!C293))+1)/2)/COUNT(Risk_Rank_Keys!$C$2:$C$800))</f>
        <v/>
      </c>
      <c r="O293">
        <f>IF(OR(B293="NW",COUNT(Risk_Rank_Keys!D293)=0),0.5,(SUMPRODUCT(--ISNUMBER(Risk_Rank_Keys!$D$2:$D$800),--(Risk_Rank_Keys!$D$2:$D$800&lt;Risk_Rank_Keys!D293))+(SUMPRODUCT(--ISNUMBER(Risk_Rank_Keys!$D$2:$D$800),--(Risk_Rank_Keys!$D$2:$D$800=Risk_Rank_Keys!D293))+1)/2)/COUNT(Risk_Rank_Keys!$D$2:$D$800))</f>
        <v/>
      </c>
      <c r="P293">
        <f>AVERAGE(M293:O293)</f>
        <v/>
      </c>
      <c r="Q293">
        <f>0.4*H293+0.4*I293+0.2*P293</f>
        <v/>
      </c>
      <c r="R293">
        <f>PERCENTILE($Q$2:$Q$800,0.75)</f>
        <v/>
      </c>
      <c r="S293">
        <f>OR(Q293&gt;=R293,AND(B293="CW",COUNT(J293:L293)&lt;3))</f>
        <v/>
      </c>
      <c r="T293" t="n">
        <v>0.2832434968468754</v>
      </c>
      <c r="U293" t="n">
        <v>6.8033945084302</v>
      </c>
      <c r="V293" t="n">
        <v>0.4065480502417889</v>
      </c>
      <c r="W293">
        <f>Q293-V293</f>
        <v/>
      </c>
    </row>
    <row r="294">
      <c r="A294" t="inlineStr">
        <is>
          <t>2022-07-27</t>
        </is>
      </c>
      <c r="B294" t="inlineStr">
        <is>
          <t>CW</t>
        </is>
      </c>
      <c r="C294" t="n">
        <v>-37.92464728055193</v>
      </c>
      <c r="D294">
        <f>SUMPRODUCT(Risk_Inputs!B294:AJ294,Risk_Coefs!$B$2:$AJ$2)</f>
        <v/>
      </c>
      <c r="E294">
        <f>1/(1+EXP(-MAX(-25,MIN(25,D294))))</f>
        <v/>
      </c>
      <c r="F294">
        <f>SUMPRODUCT(Risk_Inputs!B294:AJ294,Risk_Coefs!$B$3:$AJ$3)</f>
        <v/>
      </c>
      <c r="G294">
        <f>MAX(0,F294)</f>
        <v/>
      </c>
      <c r="H294">
        <f>(SUMPRODUCT(--ISNUMBER($E$2:$E$800),--($E$2:$E$800&lt;E294))+(SUMPRODUCT(--ISNUMBER($E$2:$E$800),--($E$2:$E$800=E294))+1)/2)/COUNT($E$2:$E$800)</f>
        <v/>
      </c>
      <c r="I294">
        <f>(SUMPRODUCT(--ISNUMBER($G$2:$G$800),--($G$2:$G$800&lt;G294))+(SUMPRODUCT(--ISNUMBER($G$2:$G$800),--($G$2:$G$800=G294))+1)/2)/COUNT($G$2:$G$800)</f>
        <v/>
      </c>
      <c r="J294" t="n">
        <v>12.73263586783524</v>
      </c>
      <c r="K294" t="n">
        <v>2.637294446168167</v>
      </c>
      <c r="L294" t="n">
        <v>0.2482159478746545</v>
      </c>
      <c r="M294">
        <f>IF(OR(B294="NW",COUNT(Risk_Rank_Keys!B294)=0),0.5,(SUMPRODUCT(--ISNUMBER(Risk_Rank_Keys!$B$2:$B$800),--(Risk_Rank_Keys!$B$2:$B$800&lt;Risk_Rank_Keys!B294))+(SUMPRODUCT(--ISNUMBER(Risk_Rank_Keys!$B$2:$B$800),--(Risk_Rank_Keys!$B$2:$B$800=Risk_Rank_Keys!B294))+1)/2)/COUNT(Risk_Rank_Keys!$B$2:$B$800))</f>
        <v/>
      </c>
      <c r="N294">
        <f>IF(OR(B294="NW",COUNT(Risk_Rank_Keys!C294)=0),0.5,(SUMPRODUCT(--ISNUMBER(Risk_Rank_Keys!$C$2:$C$800),--(Risk_Rank_Keys!$C$2:$C$800&lt;Risk_Rank_Keys!C294))+(SUMPRODUCT(--ISNUMBER(Risk_Rank_Keys!$C$2:$C$800),--(Risk_Rank_Keys!$C$2:$C$800=Risk_Rank_Keys!C294))+1)/2)/COUNT(Risk_Rank_Keys!$C$2:$C$800))</f>
        <v/>
      </c>
      <c r="O294">
        <f>IF(OR(B294="NW",COUNT(Risk_Rank_Keys!D294)=0),0.5,(SUMPRODUCT(--ISNUMBER(Risk_Rank_Keys!$D$2:$D$800),--(Risk_Rank_Keys!$D$2:$D$800&lt;Risk_Rank_Keys!D294))+(SUMPRODUCT(--ISNUMBER(Risk_Rank_Keys!$D$2:$D$800),--(Risk_Rank_Keys!$D$2:$D$800=Risk_Rank_Keys!D294))+1)/2)/COUNT(Risk_Rank_Keys!$D$2:$D$800))</f>
        <v/>
      </c>
      <c r="P294">
        <f>AVERAGE(M294:O294)</f>
        <v/>
      </c>
      <c r="Q294">
        <f>0.4*H294+0.4*I294+0.2*P294</f>
        <v/>
      </c>
      <c r="R294">
        <f>PERCENTILE($Q$2:$Q$800,0.75)</f>
        <v/>
      </c>
      <c r="S294">
        <f>OR(Q294&gt;=R294,AND(B294="CW",COUNT(J294:L294)&lt;3))</f>
        <v/>
      </c>
      <c r="T294" t="n">
        <v>0.3118228885425955</v>
      </c>
      <c r="U294" t="n">
        <v>9.784793805887565</v>
      </c>
      <c r="V294" t="n">
        <v>0.6630508032762944</v>
      </c>
      <c r="W294">
        <f>Q294-V294</f>
        <v/>
      </c>
    </row>
    <row r="295">
      <c r="A295" t="inlineStr">
        <is>
          <t>2022-07-28</t>
        </is>
      </c>
      <c r="B295" t="inlineStr">
        <is>
          <t>CW</t>
        </is>
      </c>
      <c r="C295" t="n">
        <v>21.09027443357955</v>
      </c>
      <c r="D295">
        <f>SUMPRODUCT(Risk_Inputs!B295:AJ295,Risk_Coefs!$B$2:$AJ$2)</f>
        <v/>
      </c>
      <c r="E295">
        <f>1/(1+EXP(-MAX(-25,MIN(25,D295))))</f>
        <v/>
      </c>
      <c r="F295">
        <f>SUMPRODUCT(Risk_Inputs!B295:AJ295,Risk_Coefs!$B$3:$AJ$3)</f>
        <v/>
      </c>
      <c r="G295">
        <f>MAX(0,F295)</f>
        <v/>
      </c>
      <c r="H295">
        <f>(SUMPRODUCT(--ISNUMBER($E$2:$E$800),--($E$2:$E$800&lt;E295))+(SUMPRODUCT(--ISNUMBER($E$2:$E$800),--($E$2:$E$800=E295))+1)/2)/COUNT($E$2:$E$800)</f>
        <v/>
      </c>
      <c r="I295">
        <f>(SUMPRODUCT(--ISNUMBER($G$2:$G$800),--($G$2:$G$800&lt;G295))+(SUMPRODUCT(--ISNUMBER($G$2:$G$800),--($G$2:$G$800=G295))+1)/2)/COUNT($G$2:$G$800)</f>
        <v/>
      </c>
      <c r="J295" t="n">
        <v>4.170849929840347</v>
      </c>
      <c r="K295" t="n">
        <v>4.769152714358182</v>
      </c>
      <c r="L295" t="n">
        <v>0.1522070015220613</v>
      </c>
      <c r="M295">
        <f>IF(OR(B295="NW",COUNT(Risk_Rank_Keys!B295)=0),0.5,(SUMPRODUCT(--ISNUMBER(Risk_Rank_Keys!$B$2:$B$800),--(Risk_Rank_Keys!$B$2:$B$800&lt;Risk_Rank_Keys!B295))+(SUMPRODUCT(--ISNUMBER(Risk_Rank_Keys!$B$2:$B$800),--(Risk_Rank_Keys!$B$2:$B$800=Risk_Rank_Keys!B295))+1)/2)/COUNT(Risk_Rank_Keys!$B$2:$B$800))</f>
        <v/>
      </c>
      <c r="N295">
        <f>IF(OR(B295="NW",COUNT(Risk_Rank_Keys!C295)=0),0.5,(SUMPRODUCT(--ISNUMBER(Risk_Rank_Keys!$C$2:$C$800),--(Risk_Rank_Keys!$C$2:$C$800&lt;Risk_Rank_Keys!C295))+(SUMPRODUCT(--ISNUMBER(Risk_Rank_Keys!$C$2:$C$800),--(Risk_Rank_Keys!$C$2:$C$800=Risk_Rank_Keys!C295))+1)/2)/COUNT(Risk_Rank_Keys!$C$2:$C$800))</f>
        <v/>
      </c>
      <c r="O295">
        <f>IF(OR(B295="NW",COUNT(Risk_Rank_Keys!D295)=0),0.5,(SUMPRODUCT(--ISNUMBER(Risk_Rank_Keys!$D$2:$D$800),--(Risk_Rank_Keys!$D$2:$D$800&lt;Risk_Rank_Keys!D295))+(SUMPRODUCT(--ISNUMBER(Risk_Rank_Keys!$D$2:$D$800),--(Risk_Rank_Keys!$D$2:$D$800=Risk_Rank_Keys!D295))+1)/2)/COUNT(Risk_Rank_Keys!$D$2:$D$800))</f>
        <v/>
      </c>
      <c r="P295">
        <f>AVERAGE(M295:O295)</f>
        <v/>
      </c>
      <c r="Q295">
        <f>0.4*H295+0.4*I295+0.2*P295</f>
        <v/>
      </c>
      <c r="R295">
        <f>PERCENTILE($Q$2:$Q$800,0.75)</f>
        <v/>
      </c>
      <c r="S295">
        <f>OR(Q295&gt;=R295,AND(B295="CW",COUNT(J295:L295)&lt;3))</f>
        <v/>
      </c>
      <c r="T295" t="n">
        <v>0.3157460507093855</v>
      </c>
      <c r="U295" t="n">
        <v>12.16162648575279</v>
      </c>
      <c r="V295" t="n">
        <v>0.684931710896175</v>
      </c>
      <c r="W295">
        <f>Q295-V295</f>
        <v/>
      </c>
    </row>
    <row r="296">
      <c r="A296" t="inlineStr">
        <is>
          <t>2022-08-02</t>
        </is>
      </c>
      <c r="B296" t="inlineStr">
        <is>
          <t>CW</t>
        </is>
      </c>
      <c r="C296" t="n">
        <v>-8.550941443830069</v>
      </c>
      <c r="D296">
        <f>SUMPRODUCT(Risk_Inputs!B296:AJ296,Risk_Coefs!$B$2:$AJ$2)</f>
        <v/>
      </c>
      <c r="E296">
        <f>1/(1+EXP(-MAX(-25,MIN(25,D296))))</f>
        <v/>
      </c>
      <c r="F296">
        <f>SUMPRODUCT(Risk_Inputs!B296:AJ296,Risk_Coefs!$B$3:$AJ$3)</f>
        <v/>
      </c>
      <c r="G296">
        <f>MAX(0,F296)</f>
        <v/>
      </c>
      <c r="H296">
        <f>(SUMPRODUCT(--ISNUMBER($E$2:$E$800),--($E$2:$E$800&lt;E296))+(SUMPRODUCT(--ISNUMBER($E$2:$E$800),--($E$2:$E$800=E296))+1)/2)/COUNT($E$2:$E$800)</f>
        <v/>
      </c>
      <c r="I296">
        <f>(SUMPRODUCT(--ISNUMBER($G$2:$G$800),--($G$2:$G$800&lt;G296))+(SUMPRODUCT(--ISNUMBER($G$2:$G$800),--($G$2:$G$800=G296))+1)/2)/COUNT($G$2:$G$800)</f>
        <v/>
      </c>
      <c r="J296" t="n">
        <v>9.436993593844113</v>
      </c>
      <c r="K296" t="n">
        <v>2.45133381398702</v>
      </c>
      <c r="L296" t="n">
        <v>0.192261475606828</v>
      </c>
      <c r="M296">
        <f>IF(OR(B296="NW",COUNT(Risk_Rank_Keys!B296)=0),0.5,(SUMPRODUCT(--ISNUMBER(Risk_Rank_Keys!$B$2:$B$800),--(Risk_Rank_Keys!$B$2:$B$800&lt;Risk_Rank_Keys!B296))+(SUMPRODUCT(--ISNUMBER(Risk_Rank_Keys!$B$2:$B$800),--(Risk_Rank_Keys!$B$2:$B$800=Risk_Rank_Keys!B296))+1)/2)/COUNT(Risk_Rank_Keys!$B$2:$B$800))</f>
        <v/>
      </c>
      <c r="N296">
        <f>IF(OR(B296="NW",COUNT(Risk_Rank_Keys!C296)=0),0.5,(SUMPRODUCT(--ISNUMBER(Risk_Rank_Keys!$C$2:$C$800),--(Risk_Rank_Keys!$C$2:$C$800&lt;Risk_Rank_Keys!C296))+(SUMPRODUCT(--ISNUMBER(Risk_Rank_Keys!$C$2:$C$800),--(Risk_Rank_Keys!$C$2:$C$800=Risk_Rank_Keys!C296))+1)/2)/COUNT(Risk_Rank_Keys!$C$2:$C$800))</f>
        <v/>
      </c>
      <c r="O296">
        <f>IF(OR(B296="NW",COUNT(Risk_Rank_Keys!D296)=0),0.5,(SUMPRODUCT(--ISNUMBER(Risk_Rank_Keys!$D$2:$D$800),--(Risk_Rank_Keys!$D$2:$D$800&lt;Risk_Rank_Keys!D296))+(SUMPRODUCT(--ISNUMBER(Risk_Rank_Keys!$D$2:$D$800),--(Risk_Rank_Keys!$D$2:$D$800=Risk_Rank_Keys!D296))+1)/2)/COUNT(Risk_Rank_Keys!$D$2:$D$800))</f>
        <v/>
      </c>
      <c r="P296">
        <f>AVERAGE(M296:O296)</f>
        <v/>
      </c>
      <c r="Q296">
        <f>0.4*H296+0.4*I296+0.2*P296</f>
        <v/>
      </c>
      <c r="R296">
        <f>PERCENTILE($Q$2:$Q$800,0.75)</f>
        <v/>
      </c>
      <c r="S296">
        <f>OR(Q296&gt;=R296,AND(B296="CW",COUNT(J296:L296)&lt;3))</f>
        <v/>
      </c>
      <c r="T296" t="n">
        <v>0.2823833857277313</v>
      </c>
      <c r="U296" t="n">
        <v>6.081917740446645</v>
      </c>
      <c r="V296" t="n">
        <v>0.3741301452478081</v>
      </c>
      <c r="W296">
        <f>Q296-V296</f>
        <v/>
      </c>
    </row>
    <row r="297">
      <c r="A297" t="inlineStr">
        <is>
          <t>2022-08-03</t>
        </is>
      </c>
      <c r="B297" t="inlineStr">
        <is>
          <t>CW</t>
        </is>
      </c>
      <c r="C297" t="n">
        <v>10.44475669197766</v>
      </c>
      <c r="D297">
        <f>SUMPRODUCT(Risk_Inputs!B297:AJ297,Risk_Coefs!$B$2:$AJ$2)</f>
        <v/>
      </c>
      <c r="E297">
        <f>1/(1+EXP(-MAX(-25,MIN(25,D297))))</f>
        <v/>
      </c>
      <c r="F297">
        <f>SUMPRODUCT(Risk_Inputs!B297:AJ297,Risk_Coefs!$B$3:$AJ$3)</f>
        <v/>
      </c>
      <c r="G297">
        <f>MAX(0,F297)</f>
        <v/>
      </c>
      <c r="H297">
        <f>(SUMPRODUCT(--ISNUMBER($E$2:$E$800),--($E$2:$E$800&lt;E297))+(SUMPRODUCT(--ISNUMBER($E$2:$E$800),--($E$2:$E$800=E297))+1)/2)/COUNT($E$2:$E$800)</f>
        <v/>
      </c>
      <c r="I297">
        <f>(SUMPRODUCT(--ISNUMBER($G$2:$G$800),--($G$2:$G$800&lt;G297))+(SUMPRODUCT(--ISNUMBER($G$2:$G$800),--($G$2:$G$800=G297))+1)/2)/COUNT($G$2:$G$800)</f>
        <v/>
      </c>
      <c r="J297" t="n">
        <v>19.20231233842048</v>
      </c>
      <c r="K297" t="n">
        <v>4.251126126126116</v>
      </c>
      <c r="L297" t="n">
        <v>0.2252252252252284</v>
      </c>
      <c r="M297">
        <f>IF(OR(B297="NW",COUNT(Risk_Rank_Keys!B297)=0),0.5,(SUMPRODUCT(--ISNUMBER(Risk_Rank_Keys!$B$2:$B$800),--(Risk_Rank_Keys!$B$2:$B$800&lt;Risk_Rank_Keys!B297))+(SUMPRODUCT(--ISNUMBER(Risk_Rank_Keys!$B$2:$B$800),--(Risk_Rank_Keys!$B$2:$B$800=Risk_Rank_Keys!B297))+1)/2)/COUNT(Risk_Rank_Keys!$B$2:$B$800))</f>
        <v/>
      </c>
      <c r="N297">
        <f>IF(OR(B297="NW",COUNT(Risk_Rank_Keys!C297)=0),0.5,(SUMPRODUCT(--ISNUMBER(Risk_Rank_Keys!$C$2:$C$800),--(Risk_Rank_Keys!$C$2:$C$800&lt;Risk_Rank_Keys!C297))+(SUMPRODUCT(--ISNUMBER(Risk_Rank_Keys!$C$2:$C$800),--(Risk_Rank_Keys!$C$2:$C$800=Risk_Rank_Keys!C297))+1)/2)/COUNT(Risk_Rank_Keys!$C$2:$C$800))</f>
        <v/>
      </c>
      <c r="O297">
        <f>IF(OR(B297="NW",COUNT(Risk_Rank_Keys!D297)=0),0.5,(SUMPRODUCT(--ISNUMBER(Risk_Rank_Keys!$D$2:$D$800),--(Risk_Rank_Keys!$D$2:$D$800&lt;Risk_Rank_Keys!D297))+(SUMPRODUCT(--ISNUMBER(Risk_Rank_Keys!$D$2:$D$800),--(Risk_Rank_Keys!$D$2:$D$800=Risk_Rank_Keys!D297))+1)/2)/COUNT(Risk_Rank_Keys!$D$2:$D$800))</f>
        <v/>
      </c>
      <c r="P297">
        <f>AVERAGE(M297:O297)</f>
        <v/>
      </c>
      <c r="Q297">
        <f>0.4*H297+0.4*I297+0.2*P297</f>
        <v/>
      </c>
      <c r="R297">
        <f>PERCENTILE($Q$2:$Q$800,0.75)</f>
        <v/>
      </c>
      <c r="S297">
        <f>OR(Q297&gt;=R297,AND(B297="CW",COUNT(J297:L297)&lt;3))</f>
        <v/>
      </c>
      <c r="T297" t="n">
        <v>0.274320184400033</v>
      </c>
      <c r="U297" t="n">
        <v>9.27032413861088</v>
      </c>
      <c r="V297" t="n">
        <v>0.576157668028783</v>
      </c>
      <c r="W297">
        <f>Q297-V297</f>
        <v/>
      </c>
    </row>
    <row r="298">
      <c r="A298" t="inlineStr">
        <is>
          <t>2022-08-04</t>
        </is>
      </c>
      <c r="B298" t="inlineStr">
        <is>
          <t>CW</t>
        </is>
      </c>
      <c r="C298" t="n">
        <v>-44.69357518271498</v>
      </c>
      <c r="D298">
        <f>SUMPRODUCT(Risk_Inputs!B298:AJ298,Risk_Coefs!$B$2:$AJ$2)</f>
        <v/>
      </c>
      <c r="E298">
        <f>1/(1+EXP(-MAX(-25,MIN(25,D298))))</f>
        <v/>
      </c>
      <c r="F298">
        <f>SUMPRODUCT(Risk_Inputs!B298:AJ298,Risk_Coefs!$B$3:$AJ$3)</f>
        <v/>
      </c>
      <c r="G298">
        <f>MAX(0,F298)</f>
        <v/>
      </c>
      <c r="H298">
        <f>(SUMPRODUCT(--ISNUMBER($E$2:$E$800),--($E$2:$E$800&lt;E298))+(SUMPRODUCT(--ISNUMBER($E$2:$E$800),--($E$2:$E$800=E298))+1)/2)/COUNT($E$2:$E$800)</f>
        <v/>
      </c>
      <c r="I298">
        <f>(SUMPRODUCT(--ISNUMBER($G$2:$G$800),--($G$2:$G$800&lt;G298))+(SUMPRODUCT(--ISNUMBER($G$2:$G$800),--($G$2:$G$800=G298))+1)/2)/COUNT($G$2:$G$800)</f>
        <v/>
      </c>
      <c r="J298" t="n">
        <v>2.947396132900562</v>
      </c>
      <c r="K298" t="n">
        <v>2.866698518872432</v>
      </c>
      <c r="L298" t="n">
        <v>0.2388915432393693</v>
      </c>
      <c r="M298">
        <f>IF(OR(B298="NW",COUNT(Risk_Rank_Keys!B298)=0),0.5,(SUMPRODUCT(--ISNUMBER(Risk_Rank_Keys!$B$2:$B$800),--(Risk_Rank_Keys!$B$2:$B$800&lt;Risk_Rank_Keys!B298))+(SUMPRODUCT(--ISNUMBER(Risk_Rank_Keys!$B$2:$B$800),--(Risk_Rank_Keys!$B$2:$B$800=Risk_Rank_Keys!B298))+1)/2)/COUNT(Risk_Rank_Keys!$B$2:$B$800))</f>
        <v/>
      </c>
      <c r="N298">
        <f>IF(OR(B298="NW",COUNT(Risk_Rank_Keys!C298)=0),0.5,(SUMPRODUCT(--ISNUMBER(Risk_Rank_Keys!$C$2:$C$800),--(Risk_Rank_Keys!$C$2:$C$800&lt;Risk_Rank_Keys!C298))+(SUMPRODUCT(--ISNUMBER(Risk_Rank_Keys!$C$2:$C$800),--(Risk_Rank_Keys!$C$2:$C$800=Risk_Rank_Keys!C298))+1)/2)/COUNT(Risk_Rank_Keys!$C$2:$C$800))</f>
        <v/>
      </c>
      <c r="O298">
        <f>IF(OR(B298="NW",COUNT(Risk_Rank_Keys!D298)=0),0.5,(SUMPRODUCT(--ISNUMBER(Risk_Rank_Keys!$D$2:$D$800),--(Risk_Rank_Keys!$D$2:$D$800&lt;Risk_Rank_Keys!D298))+(SUMPRODUCT(--ISNUMBER(Risk_Rank_Keys!$D$2:$D$800),--(Risk_Rank_Keys!$D$2:$D$800=Risk_Rank_Keys!D298))+1)/2)/COUNT(Risk_Rank_Keys!$D$2:$D$800))</f>
        <v/>
      </c>
      <c r="P298">
        <f>AVERAGE(M298:O298)</f>
        <v/>
      </c>
      <c r="Q298">
        <f>0.4*H298+0.4*I298+0.2*P298</f>
        <v/>
      </c>
      <c r="R298">
        <f>PERCENTILE($Q$2:$Q$800,0.75)</f>
        <v/>
      </c>
      <c r="S298">
        <f>OR(Q298&gt;=R298,AND(B298="CW",COUNT(J298:L298)&lt;3))</f>
        <v/>
      </c>
      <c r="T298" t="n">
        <v>0.3157795000809276</v>
      </c>
      <c r="U298" t="n">
        <v>10.84482025530065</v>
      </c>
      <c r="V298" t="n">
        <v>0.6706645743255313</v>
      </c>
      <c r="W298">
        <f>Q298-V298</f>
        <v/>
      </c>
    </row>
    <row r="299">
      <c r="A299" t="inlineStr">
        <is>
          <t>2022-08-10</t>
        </is>
      </c>
      <c r="B299" t="inlineStr">
        <is>
          <t>CW</t>
        </is>
      </c>
      <c r="C299" t="n">
        <v>31.6384269286022</v>
      </c>
      <c r="D299">
        <f>SUMPRODUCT(Risk_Inputs!B299:AJ299,Risk_Coefs!$B$2:$AJ$2)</f>
        <v/>
      </c>
      <c r="E299">
        <f>1/(1+EXP(-MAX(-25,MIN(25,D299))))</f>
        <v/>
      </c>
      <c r="F299">
        <f>SUMPRODUCT(Risk_Inputs!B299:AJ299,Risk_Coefs!$B$3:$AJ$3)</f>
        <v/>
      </c>
      <c r="G299">
        <f>MAX(0,F299)</f>
        <v/>
      </c>
      <c r="H299">
        <f>(SUMPRODUCT(--ISNUMBER($E$2:$E$800),--($E$2:$E$800&lt;E299))+(SUMPRODUCT(--ISNUMBER($E$2:$E$800),--($E$2:$E$800=E299))+1)/2)/COUNT($E$2:$E$800)</f>
        <v/>
      </c>
      <c r="I299">
        <f>(SUMPRODUCT(--ISNUMBER($G$2:$G$800),--($G$2:$G$800&lt;G299))+(SUMPRODUCT(--ISNUMBER($G$2:$G$800),--($G$2:$G$800=G299))+1)/2)/COUNT($G$2:$G$800)</f>
        <v/>
      </c>
      <c r="J299" t="n">
        <v>18.33122990560398</v>
      </c>
      <c r="K299" t="n">
        <v>2.399595857539769</v>
      </c>
      <c r="L299" t="n">
        <v>0.2020712301086161</v>
      </c>
      <c r="M299">
        <f>IF(OR(B299="NW",COUNT(Risk_Rank_Keys!B299)=0),0.5,(SUMPRODUCT(--ISNUMBER(Risk_Rank_Keys!$B$2:$B$800),--(Risk_Rank_Keys!$B$2:$B$800&lt;Risk_Rank_Keys!B299))+(SUMPRODUCT(--ISNUMBER(Risk_Rank_Keys!$B$2:$B$800),--(Risk_Rank_Keys!$B$2:$B$800=Risk_Rank_Keys!B299))+1)/2)/COUNT(Risk_Rank_Keys!$B$2:$B$800))</f>
        <v/>
      </c>
      <c r="N299">
        <f>IF(OR(B299="NW",COUNT(Risk_Rank_Keys!C299)=0),0.5,(SUMPRODUCT(--ISNUMBER(Risk_Rank_Keys!$C$2:$C$800),--(Risk_Rank_Keys!$C$2:$C$800&lt;Risk_Rank_Keys!C299))+(SUMPRODUCT(--ISNUMBER(Risk_Rank_Keys!$C$2:$C$800),--(Risk_Rank_Keys!$C$2:$C$800=Risk_Rank_Keys!C299))+1)/2)/COUNT(Risk_Rank_Keys!$C$2:$C$800))</f>
        <v/>
      </c>
      <c r="O299">
        <f>IF(OR(B299="NW",COUNT(Risk_Rank_Keys!D299)=0),0.5,(SUMPRODUCT(--ISNUMBER(Risk_Rank_Keys!$D$2:$D$800),--(Risk_Rank_Keys!$D$2:$D$800&lt;Risk_Rank_Keys!D299))+(SUMPRODUCT(--ISNUMBER(Risk_Rank_Keys!$D$2:$D$800),--(Risk_Rank_Keys!$D$2:$D$800=Risk_Rank_Keys!D299))+1)/2)/COUNT(Risk_Rank_Keys!$D$2:$D$800))</f>
        <v/>
      </c>
      <c r="P299">
        <f>AVERAGE(M299:O299)</f>
        <v/>
      </c>
      <c r="Q299">
        <f>0.4*H299+0.4*I299+0.2*P299</f>
        <v/>
      </c>
      <c r="R299">
        <f>PERCENTILE($Q$2:$Q$800,0.75)</f>
        <v/>
      </c>
      <c r="S299">
        <f>OR(Q299&gt;=R299,AND(B299="CW",COUNT(J299:L299)&lt;3))</f>
        <v/>
      </c>
      <c r="T299" t="n">
        <v>0.283284450584341</v>
      </c>
      <c r="U299" t="n">
        <v>9.731043624633909</v>
      </c>
      <c r="V299" t="n">
        <v>0.5901982894703921</v>
      </c>
      <c r="W299">
        <f>Q299-V299</f>
        <v/>
      </c>
    </row>
    <row r="300">
      <c r="A300" t="inlineStr">
        <is>
          <t>2022-08-11</t>
        </is>
      </c>
      <c r="B300" t="inlineStr">
        <is>
          <t>NW</t>
        </is>
      </c>
      <c r="C300" t="n">
        <v>34.06085589782676</v>
      </c>
      <c r="D300">
        <f>SUMPRODUCT(Risk_Inputs!B300:AJ300,Risk_Coefs!$B$2:$AJ$2)</f>
        <v/>
      </c>
      <c r="E300">
        <f>1/(1+EXP(-MAX(-25,MIN(25,D300))))</f>
        <v/>
      </c>
      <c r="F300">
        <f>SUMPRODUCT(Risk_Inputs!B300:AJ300,Risk_Coefs!$B$3:$AJ$3)</f>
        <v/>
      </c>
      <c r="G300">
        <f>MAX(0,F300)</f>
        <v/>
      </c>
      <c r="H300">
        <f>(SUMPRODUCT(--ISNUMBER($E$2:$E$800),--($E$2:$E$800&lt;E300))+(SUMPRODUCT(--ISNUMBER($E$2:$E$800),--($E$2:$E$800=E300))+1)/2)/COUNT($E$2:$E$800)</f>
        <v/>
      </c>
      <c r="I300">
        <f>(SUMPRODUCT(--ISNUMBER($G$2:$G$800),--($G$2:$G$800&lt;G300))+(SUMPRODUCT(--ISNUMBER($G$2:$G$800),--($G$2:$G$800=G300))+1)/2)/COUNT($G$2:$G$800)</f>
        <v/>
      </c>
      <c r="M300">
        <f>IF(OR(B300="NW",COUNT(Risk_Rank_Keys!B300)=0),0.5,(SUMPRODUCT(--ISNUMBER(Risk_Rank_Keys!$B$2:$B$800),--(Risk_Rank_Keys!$B$2:$B$800&lt;Risk_Rank_Keys!B300))+(SUMPRODUCT(--ISNUMBER(Risk_Rank_Keys!$B$2:$B$800),--(Risk_Rank_Keys!$B$2:$B$800=Risk_Rank_Keys!B300))+1)/2)/COUNT(Risk_Rank_Keys!$B$2:$B$800))</f>
        <v/>
      </c>
      <c r="N300">
        <f>IF(OR(B300="NW",COUNT(Risk_Rank_Keys!C300)=0),0.5,(SUMPRODUCT(--ISNUMBER(Risk_Rank_Keys!$C$2:$C$800),--(Risk_Rank_Keys!$C$2:$C$800&lt;Risk_Rank_Keys!C300))+(SUMPRODUCT(--ISNUMBER(Risk_Rank_Keys!$C$2:$C$800),--(Risk_Rank_Keys!$C$2:$C$800=Risk_Rank_Keys!C300))+1)/2)/COUNT(Risk_Rank_Keys!$C$2:$C$800))</f>
        <v/>
      </c>
      <c r="O300">
        <f>IF(OR(B300="NW",COUNT(Risk_Rank_Keys!D300)=0),0.5,(SUMPRODUCT(--ISNUMBER(Risk_Rank_Keys!$D$2:$D$800),--(Risk_Rank_Keys!$D$2:$D$800&lt;Risk_Rank_Keys!D300))+(SUMPRODUCT(--ISNUMBER(Risk_Rank_Keys!$D$2:$D$800),--(Risk_Rank_Keys!$D$2:$D$800=Risk_Rank_Keys!D300))+1)/2)/COUNT(Risk_Rank_Keys!$D$2:$D$800))</f>
        <v/>
      </c>
      <c r="P300">
        <f>AVERAGE(M300:O300)</f>
        <v/>
      </c>
      <c r="Q300">
        <f>0.4*H300+0.4*I300+0.2*P300</f>
        <v/>
      </c>
      <c r="R300">
        <f>PERCENTILE($Q$2:$Q$800,0.75)</f>
        <v/>
      </c>
      <c r="S300">
        <f>OR(Q300&gt;=R300,AND(B300="CW",COUNT(J300:L300)&lt;3))</f>
        <v/>
      </c>
      <c r="T300" t="n">
        <v>0.3497503760615693</v>
      </c>
      <c r="U300" t="n">
        <v>10.83988480722608</v>
      </c>
      <c r="V300" t="n">
        <v>0.7713391739674593</v>
      </c>
      <c r="W300">
        <f>Q300-V300</f>
        <v/>
      </c>
    </row>
    <row r="301">
      <c r="A301" t="inlineStr">
        <is>
          <t>2022-08-16</t>
        </is>
      </c>
      <c r="B301" t="inlineStr">
        <is>
          <t>CW</t>
        </is>
      </c>
      <c r="C301" t="n">
        <v>34.6586398022528</v>
      </c>
      <c r="D301">
        <f>SUMPRODUCT(Risk_Inputs!B301:AJ301,Risk_Coefs!$B$2:$AJ$2)</f>
        <v/>
      </c>
      <c r="E301">
        <f>1/(1+EXP(-MAX(-25,MIN(25,D301))))</f>
        <v/>
      </c>
      <c r="F301">
        <f>SUMPRODUCT(Risk_Inputs!B301:AJ301,Risk_Coefs!$B$3:$AJ$3)</f>
        <v/>
      </c>
      <c r="G301">
        <f>MAX(0,F301)</f>
        <v/>
      </c>
      <c r="H301">
        <f>(SUMPRODUCT(--ISNUMBER($E$2:$E$800),--($E$2:$E$800&lt;E301))+(SUMPRODUCT(--ISNUMBER($E$2:$E$800),--($E$2:$E$800=E301))+1)/2)/COUNT($E$2:$E$800)</f>
        <v/>
      </c>
      <c r="I301">
        <f>(SUMPRODUCT(--ISNUMBER($G$2:$G$800),--($G$2:$G$800&lt;G301))+(SUMPRODUCT(--ISNUMBER($G$2:$G$800),--($G$2:$G$800=G301))+1)/2)/COUNT($G$2:$G$800)</f>
        <v/>
      </c>
      <c r="J301" t="n">
        <v>7.004140600385418</v>
      </c>
      <c r="K301" t="n">
        <v>2.267140125648717</v>
      </c>
      <c r="L301" t="n">
        <v>0.163889647637256</v>
      </c>
      <c r="M301">
        <f>IF(OR(B301="NW",COUNT(Risk_Rank_Keys!B301)=0),0.5,(SUMPRODUCT(--ISNUMBER(Risk_Rank_Keys!$B$2:$B$800),--(Risk_Rank_Keys!$B$2:$B$800&lt;Risk_Rank_Keys!B301))+(SUMPRODUCT(--ISNUMBER(Risk_Rank_Keys!$B$2:$B$800),--(Risk_Rank_Keys!$B$2:$B$800=Risk_Rank_Keys!B301))+1)/2)/COUNT(Risk_Rank_Keys!$B$2:$B$800))</f>
        <v/>
      </c>
      <c r="N301">
        <f>IF(OR(B301="NW",COUNT(Risk_Rank_Keys!C301)=0),0.5,(SUMPRODUCT(--ISNUMBER(Risk_Rank_Keys!$C$2:$C$800),--(Risk_Rank_Keys!$C$2:$C$800&lt;Risk_Rank_Keys!C301))+(SUMPRODUCT(--ISNUMBER(Risk_Rank_Keys!$C$2:$C$800),--(Risk_Rank_Keys!$C$2:$C$800=Risk_Rank_Keys!C301))+1)/2)/COUNT(Risk_Rank_Keys!$C$2:$C$800))</f>
        <v/>
      </c>
      <c r="O301">
        <f>IF(OR(B301="NW",COUNT(Risk_Rank_Keys!D301)=0),0.5,(SUMPRODUCT(--ISNUMBER(Risk_Rank_Keys!$D$2:$D$800),--(Risk_Rank_Keys!$D$2:$D$800&lt;Risk_Rank_Keys!D301))+(SUMPRODUCT(--ISNUMBER(Risk_Rank_Keys!$D$2:$D$800),--(Risk_Rank_Keys!$D$2:$D$800=Risk_Rank_Keys!D301))+1)/2)/COUNT(Risk_Rank_Keys!$D$2:$D$800))</f>
        <v/>
      </c>
      <c r="P301">
        <f>AVERAGE(M301:O301)</f>
        <v/>
      </c>
      <c r="Q301">
        <f>0.4*H301+0.4*I301+0.2*P301</f>
        <v/>
      </c>
      <c r="R301">
        <f>PERCENTILE($Q$2:$Q$800,0.75)</f>
        <v/>
      </c>
      <c r="S301">
        <f>OR(Q301&gt;=R301,AND(B301="CW",COUNT(J301:L301)&lt;3))</f>
        <v/>
      </c>
      <c r="T301" t="n">
        <v>0.2756796830241527</v>
      </c>
      <c r="U301" t="n">
        <v>7.462717904779876</v>
      </c>
      <c r="V301" t="n">
        <v>0.4155803773778125</v>
      </c>
      <c r="W301">
        <f>Q301-V301</f>
        <v/>
      </c>
    </row>
    <row r="302">
      <c r="A302" t="inlineStr">
        <is>
          <t>2022-08-18</t>
        </is>
      </c>
      <c r="B302" t="inlineStr">
        <is>
          <t>CW</t>
        </is>
      </c>
      <c r="C302" t="n">
        <v>23.82807477828487</v>
      </c>
      <c r="D302">
        <f>SUMPRODUCT(Risk_Inputs!B302:AJ302,Risk_Coefs!$B$2:$AJ$2)</f>
        <v/>
      </c>
      <c r="E302">
        <f>1/(1+EXP(-MAX(-25,MIN(25,D302))))</f>
        <v/>
      </c>
      <c r="F302">
        <f>SUMPRODUCT(Risk_Inputs!B302:AJ302,Risk_Coefs!$B$3:$AJ$3)</f>
        <v/>
      </c>
      <c r="G302">
        <f>MAX(0,F302)</f>
        <v/>
      </c>
      <c r="H302">
        <f>(SUMPRODUCT(--ISNUMBER($E$2:$E$800),--($E$2:$E$800&lt;E302))+(SUMPRODUCT(--ISNUMBER($E$2:$E$800),--($E$2:$E$800=E302))+1)/2)/COUNT($E$2:$E$800)</f>
        <v/>
      </c>
      <c r="I302">
        <f>(SUMPRODUCT(--ISNUMBER($G$2:$G$800),--($G$2:$G$800&lt;G302))+(SUMPRODUCT(--ISNUMBER($G$2:$G$800),--($G$2:$G$800=G302))+1)/2)/COUNT($G$2:$G$800)</f>
        <v/>
      </c>
      <c r="J302" t="n">
        <v>14.5526661266441</v>
      </c>
      <c r="K302" t="n">
        <v>31.63716814159291</v>
      </c>
      <c r="L302" t="n">
        <v>0.2765486725663716</v>
      </c>
      <c r="M302">
        <f>IF(OR(B302="NW",COUNT(Risk_Rank_Keys!B302)=0),0.5,(SUMPRODUCT(--ISNUMBER(Risk_Rank_Keys!$B$2:$B$800),--(Risk_Rank_Keys!$B$2:$B$800&lt;Risk_Rank_Keys!B302))+(SUMPRODUCT(--ISNUMBER(Risk_Rank_Keys!$B$2:$B$800),--(Risk_Rank_Keys!$B$2:$B$800=Risk_Rank_Keys!B302))+1)/2)/COUNT(Risk_Rank_Keys!$B$2:$B$800))</f>
        <v/>
      </c>
      <c r="N302">
        <f>IF(OR(B302="NW",COUNT(Risk_Rank_Keys!C302)=0),0.5,(SUMPRODUCT(--ISNUMBER(Risk_Rank_Keys!$C$2:$C$800),--(Risk_Rank_Keys!$C$2:$C$800&lt;Risk_Rank_Keys!C302))+(SUMPRODUCT(--ISNUMBER(Risk_Rank_Keys!$C$2:$C$800),--(Risk_Rank_Keys!$C$2:$C$800=Risk_Rank_Keys!C302))+1)/2)/COUNT(Risk_Rank_Keys!$C$2:$C$800))</f>
        <v/>
      </c>
      <c r="O302">
        <f>IF(OR(B302="NW",COUNT(Risk_Rank_Keys!D302)=0),0.5,(SUMPRODUCT(--ISNUMBER(Risk_Rank_Keys!$D$2:$D$800),--(Risk_Rank_Keys!$D$2:$D$800&lt;Risk_Rank_Keys!D302))+(SUMPRODUCT(--ISNUMBER(Risk_Rank_Keys!$D$2:$D$800),--(Risk_Rank_Keys!$D$2:$D$800=Risk_Rank_Keys!D302))+1)/2)/COUNT(Risk_Rank_Keys!$D$2:$D$800))</f>
        <v/>
      </c>
      <c r="P302">
        <f>AVERAGE(M302:O302)</f>
        <v/>
      </c>
      <c r="Q302">
        <f>0.4*H302+0.4*I302+0.2*P302</f>
        <v/>
      </c>
      <c r="R302">
        <f>PERCENTILE($Q$2:$Q$800,0.75)</f>
        <v/>
      </c>
      <c r="S302">
        <f>OR(Q302&gt;=R302,AND(B302="CW",COUNT(J302:L302)&lt;3))</f>
        <v/>
      </c>
      <c r="T302" t="n">
        <v>0.2047502530443753</v>
      </c>
      <c r="U302" t="n">
        <v>6.25239801482083</v>
      </c>
      <c r="V302" t="n">
        <v>0.3236444439789626</v>
      </c>
      <c r="W302">
        <f>Q302-V302</f>
        <v/>
      </c>
    </row>
    <row r="303">
      <c r="A303" t="inlineStr">
        <is>
          <t>2022-08-19</t>
        </is>
      </c>
      <c r="B303" t="inlineStr">
        <is>
          <t>CW</t>
        </is>
      </c>
      <c r="C303" t="n">
        <v>-37.9882064273962</v>
      </c>
      <c r="D303">
        <f>SUMPRODUCT(Risk_Inputs!B303:AJ303,Risk_Coefs!$B$2:$AJ$2)</f>
        <v/>
      </c>
      <c r="E303">
        <f>1/(1+EXP(-MAX(-25,MIN(25,D303))))</f>
        <v/>
      </c>
      <c r="F303">
        <f>SUMPRODUCT(Risk_Inputs!B303:AJ303,Risk_Coefs!$B$3:$AJ$3)</f>
        <v/>
      </c>
      <c r="G303">
        <f>MAX(0,F303)</f>
        <v/>
      </c>
      <c r="H303">
        <f>(SUMPRODUCT(--ISNUMBER($E$2:$E$800),--($E$2:$E$800&lt;E303))+(SUMPRODUCT(--ISNUMBER($E$2:$E$800),--($E$2:$E$800=E303))+1)/2)/COUNT($E$2:$E$800)</f>
        <v/>
      </c>
      <c r="I303">
        <f>(SUMPRODUCT(--ISNUMBER($G$2:$G$800),--($G$2:$G$800&lt;G303))+(SUMPRODUCT(--ISNUMBER($G$2:$G$800),--($G$2:$G$800=G303))+1)/2)/COUNT($G$2:$G$800)</f>
        <v/>
      </c>
      <c r="J303" t="n">
        <v>9.602190969485273</v>
      </c>
      <c r="K303" t="n">
        <v>1.546286876907431</v>
      </c>
      <c r="L303" t="n">
        <v>0.1627670396744682</v>
      </c>
      <c r="M303">
        <f>IF(OR(B303="NW",COUNT(Risk_Rank_Keys!B303)=0),0.5,(SUMPRODUCT(--ISNUMBER(Risk_Rank_Keys!$B$2:$B$800),--(Risk_Rank_Keys!$B$2:$B$800&lt;Risk_Rank_Keys!B303))+(SUMPRODUCT(--ISNUMBER(Risk_Rank_Keys!$B$2:$B$800),--(Risk_Rank_Keys!$B$2:$B$800=Risk_Rank_Keys!B303))+1)/2)/COUNT(Risk_Rank_Keys!$B$2:$B$800))</f>
        <v/>
      </c>
      <c r="N303">
        <f>IF(OR(B303="NW",COUNT(Risk_Rank_Keys!C303)=0),0.5,(SUMPRODUCT(--ISNUMBER(Risk_Rank_Keys!$C$2:$C$800),--(Risk_Rank_Keys!$C$2:$C$800&lt;Risk_Rank_Keys!C303))+(SUMPRODUCT(--ISNUMBER(Risk_Rank_Keys!$C$2:$C$800),--(Risk_Rank_Keys!$C$2:$C$800=Risk_Rank_Keys!C303))+1)/2)/COUNT(Risk_Rank_Keys!$C$2:$C$800))</f>
        <v/>
      </c>
      <c r="O303">
        <f>IF(OR(B303="NW",COUNT(Risk_Rank_Keys!D303)=0),0.5,(SUMPRODUCT(--ISNUMBER(Risk_Rank_Keys!$D$2:$D$800),--(Risk_Rank_Keys!$D$2:$D$800&lt;Risk_Rank_Keys!D303))+(SUMPRODUCT(--ISNUMBER(Risk_Rank_Keys!$D$2:$D$800),--(Risk_Rank_Keys!$D$2:$D$800=Risk_Rank_Keys!D303))+1)/2)/COUNT(Risk_Rank_Keys!$D$2:$D$800))</f>
        <v/>
      </c>
      <c r="P303">
        <f>AVERAGE(M303:O303)</f>
        <v/>
      </c>
      <c r="Q303">
        <f>0.4*H303+0.4*I303+0.2*P303</f>
        <v/>
      </c>
      <c r="R303">
        <f>PERCENTILE($Q$2:$Q$800,0.75)</f>
        <v/>
      </c>
      <c r="S303">
        <f>OR(Q303&gt;=R303,AND(B303="CW",COUNT(J303:L303)&lt;3))</f>
        <v/>
      </c>
      <c r="T303" t="n">
        <v>0.2925746686655228</v>
      </c>
      <c r="U303" t="n">
        <v>7.676467684874474</v>
      </c>
      <c r="V303" t="n">
        <v>0.4715359564402039</v>
      </c>
      <c r="W303">
        <f>Q303-V303</f>
        <v/>
      </c>
    </row>
    <row r="304">
      <c r="A304" t="inlineStr">
        <is>
          <t>2022-08-23</t>
        </is>
      </c>
      <c r="B304" t="inlineStr">
        <is>
          <t>CW</t>
        </is>
      </c>
      <c r="C304" t="n">
        <v>-37.25309318314904</v>
      </c>
      <c r="D304">
        <f>SUMPRODUCT(Risk_Inputs!B304:AJ304,Risk_Coefs!$B$2:$AJ$2)</f>
        <v/>
      </c>
      <c r="E304">
        <f>1/(1+EXP(-MAX(-25,MIN(25,D304))))</f>
        <v/>
      </c>
      <c r="F304">
        <f>SUMPRODUCT(Risk_Inputs!B304:AJ304,Risk_Coefs!$B$3:$AJ$3)</f>
        <v/>
      </c>
      <c r="G304">
        <f>MAX(0,F304)</f>
        <v/>
      </c>
      <c r="H304">
        <f>(SUMPRODUCT(--ISNUMBER($E$2:$E$800),--($E$2:$E$800&lt;E304))+(SUMPRODUCT(--ISNUMBER($E$2:$E$800),--($E$2:$E$800=E304))+1)/2)/COUNT($E$2:$E$800)</f>
        <v/>
      </c>
      <c r="I304">
        <f>(SUMPRODUCT(--ISNUMBER($G$2:$G$800),--($G$2:$G$800&lt;G304))+(SUMPRODUCT(--ISNUMBER($G$2:$G$800),--($G$2:$G$800=G304))+1)/2)/COUNT($G$2:$G$800)</f>
        <v/>
      </c>
      <c r="J304" t="n">
        <v>14.55220460170585</v>
      </c>
      <c r="K304" t="n">
        <v>8.246197718631189</v>
      </c>
      <c r="L304" t="n">
        <v>0.1901140684410538</v>
      </c>
      <c r="M304">
        <f>IF(OR(B304="NW",COUNT(Risk_Rank_Keys!B304)=0),0.5,(SUMPRODUCT(--ISNUMBER(Risk_Rank_Keys!$B$2:$B$800),--(Risk_Rank_Keys!$B$2:$B$800&lt;Risk_Rank_Keys!B304))+(SUMPRODUCT(--ISNUMBER(Risk_Rank_Keys!$B$2:$B$800),--(Risk_Rank_Keys!$B$2:$B$800=Risk_Rank_Keys!B304))+1)/2)/COUNT(Risk_Rank_Keys!$B$2:$B$800))</f>
        <v/>
      </c>
      <c r="N304">
        <f>IF(OR(B304="NW",COUNT(Risk_Rank_Keys!C304)=0),0.5,(SUMPRODUCT(--ISNUMBER(Risk_Rank_Keys!$C$2:$C$800),--(Risk_Rank_Keys!$C$2:$C$800&lt;Risk_Rank_Keys!C304))+(SUMPRODUCT(--ISNUMBER(Risk_Rank_Keys!$C$2:$C$800),--(Risk_Rank_Keys!$C$2:$C$800=Risk_Rank_Keys!C304))+1)/2)/COUNT(Risk_Rank_Keys!$C$2:$C$800))</f>
        <v/>
      </c>
      <c r="O304">
        <f>IF(OR(B304="NW",COUNT(Risk_Rank_Keys!D304)=0),0.5,(SUMPRODUCT(--ISNUMBER(Risk_Rank_Keys!$D$2:$D$800),--(Risk_Rank_Keys!$D$2:$D$800&lt;Risk_Rank_Keys!D304))+(SUMPRODUCT(--ISNUMBER(Risk_Rank_Keys!$D$2:$D$800),--(Risk_Rank_Keys!$D$2:$D$800=Risk_Rank_Keys!D304))+1)/2)/COUNT(Risk_Rank_Keys!$D$2:$D$800))</f>
        <v/>
      </c>
      <c r="P304">
        <f>AVERAGE(M304:O304)</f>
        <v/>
      </c>
      <c r="Q304">
        <f>0.4*H304+0.4*I304+0.2*P304</f>
        <v/>
      </c>
      <c r="R304">
        <f>PERCENTILE($Q$2:$Q$800,0.75)</f>
        <v/>
      </c>
      <c r="S304">
        <f>OR(Q304&gt;=R304,AND(B304="CW",COUNT(J304:L304)&lt;3))</f>
        <v/>
      </c>
      <c r="T304" t="n">
        <v>0.260672462783013</v>
      </c>
      <c r="U304" t="n">
        <v>5.908571687540142</v>
      </c>
      <c r="V304" t="n">
        <v>0.3534359837290802</v>
      </c>
      <c r="W304">
        <f>Q304-V304</f>
        <v/>
      </c>
    </row>
    <row r="305">
      <c r="A305" t="inlineStr">
        <is>
          <t>2022-08-24</t>
        </is>
      </c>
      <c r="B305" t="inlineStr">
        <is>
          <t>CW</t>
        </is>
      </c>
      <c r="C305" t="n">
        <v>27.08971419090011</v>
      </c>
      <c r="D305">
        <f>SUMPRODUCT(Risk_Inputs!B305:AJ305,Risk_Coefs!$B$2:$AJ$2)</f>
        <v/>
      </c>
      <c r="E305">
        <f>1/(1+EXP(-MAX(-25,MIN(25,D305))))</f>
        <v/>
      </c>
      <c r="F305">
        <f>SUMPRODUCT(Risk_Inputs!B305:AJ305,Risk_Coefs!$B$3:$AJ$3)</f>
        <v/>
      </c>
      <c r="G305">
        <f>MAX(0,F305)</f>
        <v/>
      </c>
      <c r="H305">
        <f>(SUMPRODUCT(--ISNUMBER($E$2:$E$800),--($E$2:$E$800&lt;E305))+(SUMPRODUCT(--ISNUMBER($E$2:$E$800),--($E$2:$E$800=E305))+1)/2)/COUNT($E$2:$E$800)</f>
        <v/>
      </c>
      <c r="I305">
        <f>(SUMPRODUCT(--ISNUMBER($G$2:$G$800),--($G$2:$G$800&lt;G305))+(SUMPRODUCT(--ISNUMBER($G$2:$G$800),--($G$2:$G$800=G305))+1)/2)/COUNT($G$2:$G$800)</f>
        <v/>
      </c>
      <c r="J305" t="n">
        <v>12.36195813416845</v>
      </c>
      <c r="K305" t="n">
        <v>6.477611940298504</v>
      </c>
      <c r="L305" t="n">
        <v>0.2388059701492571</v>
      </c>
      <c r="M305">
        <f>IF(OR(B305="NW",COUNT(Risk_Rank_Keys!B305)=0),0.5,(SUMPRODUCT(--ISNUMBER(Risk_Rank_Keys!$B$2:$B$800),--(Risk_Rank_Keys!$B$2:$B$800&lt;Risk_Rank_Keys!B305))+(SUMPRODUCT(--ISNUMBER(Risk_Rank_Keys!$B$2:$B$800),--(Risk_Rank_Keys!$B$2:$B$800=Risk_Rank_Keys!B305))+1)/2)/COUNT(Risk_Rank_Keys!$B$2:$B$800))</f>
        <v/>
      </c>
      <c r="N305">
        <f>IF(OR(B305="NW",COUNT(Risk_Rank_Keys!C305)=0),0.5,(SUMPRODUCT(--ISNUMBER(Risk_Rank_Keys!$C$2:$C$800),--(Risk_Rank_Keys!$C$2:$C$800&lt;Risk_Rank_Keys!C305))+(SUMPRODUCT(--ISNUMBER(Risk_Rank_Keys!$C$2:$C$800),--(Risk_Rank_Keys!$C$2:$C$800=Risk_Rank_Keys!C305))+1)/2)/COUNT(Risk_Rank_Keys!$C$2:$C$800))</f>
        <v/>
      </c>
      <c r="O305">
        <f>IF(OR(B305="NW",COUNT(Risk_Rank_Keys!D305)=0),0.5,(SUMPRODUCT(--ISNUMBER(Risk_Rank_Keys!$D$2:$D$800),--(Risk_Rank_Keys!$D$2:$D$800&lt;Risk_Rank_Keys!D305))+(SUMPRODUCT(--ISNUMBER(Risk_Rank_Keys!$D$2:$D$800),--(Risk_Rank_Keys!$D$2:$D$800=Risk_Rank_Keys!D305))+1)/2)/COUNT(Risk_Rank_Keys!$D$2:$D$800))</f>
        <v/>
      </c>
      <c r="P305">
        <f>AVERAGE(M305:O305)</f>
        <v/>
      </c>
      <c r="Q305">
        <f>0.4*H305+0.4*I305+0.2*P305</f>
        <v/>
      </c>
      <c r="R305">
        <f>PERCENTILE($Q$2:$Q$800,0.75)</f>
        <v/>
      </c>
      <c r="S305">
        <f>OR(Q305&gt;=R305,AND(B305="CW",COUNT(J305:L305)&lt;3))</f>
        <v/>
      </c>
      <c r="T305" t="n">
        <v>0.2365461838365749</v>
      </c>
      <c r="U305" t="n">
        <v>5.918970956099741</v>
      </c>
      <c r="V305" t="n">
        <v>0.3124281921439456</v>
      </c>
      <c r="W305">
        <f>Q305-V305</f>
        <v/>
      </c>
    </row>
    <row r="306">
      <c r="A306" t="inlineStr">
        <is>
          <t>2022-08-25</t>
        </is>
      </c>
      <c r="B306" t="inlineStr">
        <is>
          <t>CW</t>
        </is>
      </c>
      <c r="C306" t="n">
        <v>-1.147166259698407</v>
      </c>
      <c r="D306">
        <f>SUMPRODUCT(Risk_Inputs!B306:AJ306,Risk_Coefs!$B$2:$AJ$2)</f>
        <v/>
      </c>
      <c r="E306">
        <f>1/(1+EXP(-MAX(-25,MIN(25,D306))))</f>
        <v/>
      </c>
      <c r="F306">
        <f>SUMPRODUCT(Risk_Inputs!B306:AJ306,Risk_Coefs!$B$3:$AJ$3)</f>
        <v/>
      </c>
      <c r="G306">
        <f>MAX(0,F306)</f>
        <v/>
      </c>
      <c r="H306">
        <f>(SUMPRODUCT(--ISNUMBER($E$2:$E$800),--($E$2:$E$800&lt;E306))+(SUMPRODUCT(--ISNUMBER($E$2:$E$800),--($E$2:$E$800=E306))+1)/2)/COUNT($E$2:$E$800)</f>
        <v/>
      </c>
      <c r="I306">
        <f>(SUMPRODUCT(--ISNUMBER($G$2:$G$800),--($G$2:$G$800&lt;G306))+(SUMPRODUCT(--ISNUMBER($G$2:$G$800),--($G$2:$G$800=G306))+1)/2)/COUNT($G$2:$G$800)</f>
        <v/>
      </c>
      <c r="J306" t="n">
        <v>6.424152549567031</v>
      </c>
      <c r="K306" t="n">
        <v>4.53091684434968</v>
      </c>
      <c r="L306" t="n">
        <v>0.3731343283582105</v>
      </c>
      <c r="M306">
        <f>IF(OR(B306="NW",COUNT(Risk_Rank_Keys!B306)=0),0.5,(SUMPRODUCT(--ISNUMBER(Risk_Rank_Keys!$B$2:$B$800),--(Risk_Rank_Keys!$B$2:$B$800&lt;Risk_Rank_Keys!B306))+(SUMPRODUCT(--ISNUMBER(Risk_Rank_Keys!$B$2:$B$800),--(Risk_Rank_Keys!$B$2:$B$800=Risk_Rank_Keys!B306))+1)/2)/COUNT(Risk_Rank_Keys!$B$2:$B$800))</f>
        <v/>
      </c>
      <c r="N306">
        <f>IF(OR(B306="NW",COUNT(Risk_Rank_Keys!C306)=0),0.5,(SUMPRODUCT(--ISNUMBER(Risk_Rank_Keys!$C$2:$C$800),--(Risk_Rank_Keys!$C$2:$C$800&lt;Risk_Rank_Keys!C306))+(SUMPRODUCT(--ISNUMBER(Risk_Rank_Keys!$C$2:$C$800),--(Risk_Rank_Keys!$C$2:$C$800=Risk_Rank_Keys!C306))+1)/2)/COUNT(Risk_Rank_Keys!$C$2:$C$800))</f>
        <v/>
      </c>
      <c r="O306">
        <f>IF(OR(B306="NW",COUNT(Risk_Rank_Keys!D306)=0),0.5,(SUMPRODUCT(--ISNUMBER(Risk_Rank_Keys!$D$2:$D$800),--(Risk_Rank_Keys!$D$2:$D$800&lt;Risk_Rank_Keys!D306))+(SUMPRODUCT(--ISNUMBER(Risk_Rank_Keys!$D$2:$D$800),--(Risk_Rank_Keys!$D$2:$D$800=Risk_Rank_Keys!D306))+1)/2)/COUNT(Risk_Rank_Keys!$D$2:$D$800))</f>
        <v/>
      </c>
      <c r="P306">
        <f>AVERAGE(M306:O306)</f>
        <v/>
      </c>
      <c r="Q306">
        <f>0.4*H306+0.4*I306+0.2*P306</f>
        <v/>
      </c>
      <c r="R306">
        <f>PERCENTILE($Q$2:$Q$800,0.75)</f>
        <v/>
      </c>
      <c r="S306">
        <f>OR(Q306&gt;=R306,AND(B306="CW",COUNT(J306:L306)&lt;3))</f>
        <v/>
      </c>
      <c r="T306" t="n">
        <v>0.2595201854278152</v>
      </c>
      <c r="U306" t="n">
        <v>8.39009659355423</v>
      </c>
      <c r="V306" t="n">
        <v>0.4879183591297583</v>
      </c>
      <c r="W306">
        <f>Q306-V306</f>
        <v/>
      </c>
    </row>
    <row r="307">
      <c r="A307" t="inlineStr">
        <is>
          <t>2022-08-29</t>
        </is>
      </c>
      <c r="B307" t="inlineStr">
        <is>
          <t>CW</t>
        </is>
      </c>
      <c r="C307" t="n">
        <v>42.60663887885777</v>
      </c>
      <c r="D307">
        <f>SUMPRODUCT(Risk_Inputs!B307:AJ307,Risk_Coefs!$B$2:$AJ$2)</f>
        <v/>
      </c>
      <c r="E307">
        <f>1/(1+EXP(-MAX(-25,MIN(25,D307))))</f>
        <v/>
      </c>
      <c r="F307">
        <f>SUMPRODUCT(Risk_Inputs!B307:AJ307,Risk_Coefs!$B$3:$AJ$3)</f>
        <v/>
      </c>
      <c r="G307">
        <f>MAX(0,F307)</f>
        <v/>
      </c>
      <c r="H307">
        <f>(SUMPRODUCT(--ISNUMBER($E$2:$E$800),--($E$2:$E$800&lt;E307))+(SUMPRODUCT(--ISNUMBER($E$2:$E$800),--($E$2:$E$800=E307))+1)/2)/COUNT($E$2:$E$800)</f>
        <v/>
      </c>
      <c r="I307">
        <f>(SUMPRODUCT(--ISNUMBER($G$2:$G$800),--($G$2:$G$800&lt;G307))+(SUMPRODUCT(--ISNUMBER($G$2:$G$800),--($G$2:$G$800=G307))+1)/2)/COUNT($G$2:$G$800)</f>
        <v/>
      </c>
      <c r="J307" t="n">
        <v>20.98050440387307</v>
      </c>
      <c r="K307" t="n">
        <v>5.290278254895217</v>
      </c>
      <c r="L307" t="n">
        <v>0.1717622810030917</v>
      </c>
      <c r="M307">
        <f>IF(OR(B307="NW",COUNT(Risk_Rank_Keys!B307)=0),0.5,(SUMPRODUCT(--ISNUMBER(Risk_Rank_Keys!$B$2:$B$800),--(Risk_Rank_Keys!$B$2:$B$800&lt;Risk_Rank_Keys!B307))+(SUMPRODUCT(--ISNUMBER(Risk_Rank_Keys!$B$2:$B$800),--(Risk_Rank_Keys!$B$2:$B$800=Risk_Rank_Keys!B307))+1)/2)/COUNT(Risk_Rank_Keys!$B$2:$B$800))</f>
        <v/>
      </c>
      <c r="N307">
        <f>IF(OR(B307="NW",COUNT(Risk_Rank_Keys!C307)=0),0.5,(SUMPRODUCT(--ISNUMBER(Risk_Rank_Keys!$C$2:$C$800),--(Risk_Rank_Keys!$C$2:$C$800&lt;Risk_Rank_Keys!C307))+(SUMPRODUCT(--ISNUMBER(Risk_Rank_Keys!$C$2:$C$800),--(Risk_Rank_Keys!$C$2:$C$800=Risk_Rank_Keys!C307))+1)/2)/COUNT(Risk_Rank_Keys!$C$2:$C$800))</f>
        <v/>
      </c>
      <c r="O307">
        <f>IF(OR(B307="NW",COUNT(Risk_Rank_Keys!D307)=0),0.5,(SUMPRODUCT(--ISNUMBER(Risk_Rank_Keys!$D$2:$D$800),--(Risk_Rank_Keys!$D$2:$D$800&lt;Risk_Rank_Keys!D307))+(SUMPRODUCT(--ISNUMBER(Risk_Rank_Keys!$D$2:$D$800),--(Risk_Rank_Keys!$D$2:$D$800=Risk_Rank_Keys!D307))+1)/2)/COUNT(Risk_Rank_Keys!$D$2:$D$800))</f>
        <v/>
      </c>
      <c r="P307">
        <f>AVERAGE(M307:O307)</f>
        <v/>
      </c>
      <c r="Q307">
        <f>0.4*H307+0.4*I307+0.2*P307</f>
        <v/>
      </c>
      <c r="R307">
        <f>PERCENTILE($Q$2:$Q$800,0.75)</f>
        <v/>
      </c>
      <c r="S307">
        <f>OR(Q307&gt;=R307,AND(B307="CW",COUNT(J307:L307)&lt;3))</f>
        <v/>
      </c>
      <c r="T307" t="n">
        <v>0.2668841052689706</v>
      </c>
      <c r="U307" t="n">
        <v>4.211172559052601</v>
      </c>
      <c r="V307" t="n">
        <v>0.2906928639879347</v>
      </c>
      <c r="W307">
        <f>Q307-V307</f>
        <v/>
      </c>
    </row>
    <row r="308">
      <c r="A308" t="inlineStr">
        <is>
          <t>2022-09-01</t>
        </is>
      </c>
      <c r="B308" t="inlineStr">
        <is>
          <t>CW</t>
        </is>
      </c>
      <c r="C308" t="n">
        <v>68.85454544565791</v>
      </c>
      <c r="D308">
        <f>SUMPRODUCT(Risk_Inputs!B308:AJ308,Risk_Coefs!$B$2:$AJ$2)</f>
        <v/>
      </c>
      <c r="E308">
        <f>1/(1+EXP(-MAX(-25,MIN(25,D308))))</f>
        <v/>
      </c>
      <c r="F308">
        <f>SUMPRODUCT(Risk_Inputs!B308:AJ308,Risk_Coefs!$B$3:$AJ$3)</f>
        <v/>
      </c>
      <c r="G308">
        <f>MAX(0,F308)</f>
        <v/>
      </c>
      <c r="H308">
        <f>(SUMPRODUCT(--ISNUMBER($E$2:$E$800),--($E$2:$E$800&lt;E308))+(SUMPRODUCT(--ISNUMBER($E$2:$E$800),--($E$2:$E$800=E308))+1)/2)/COUNT($E$2:$E$800)</f>
        <v/>
      </c>
      <c r="I308">
        <f>(SUMPRODUCT(--ISNUMBER($G$2:$G$800),--($G$2:$G$800&lt;G308))+(SUMPRODUCT(--ISNUMBER($G$2:$G$800),--($G$2:$G$800=G308))+1)/2)/COUNT($G$2:$G$800)</f>
        <v/>
      </c>
      <c r="J308" t="n">
        <v>43.92895068740492</v>
      </c>
      <c r="K308" t="n">
        <v>39.52569169960472</v>
      </c>
      <c r="L308" t="n">
        <v>0.4611330698287238</v>
      </c>
      <c r="M308">
        <f>IF(OR(B308="NW",COUNT(Risk_Rank_Keys!B308)=0),0.5,(SUMPRODUCT(--ISNUMBER(Risk_Rank_Keys!$B$2:$B$800),--(Risk_Rank_Keys!$B$2:$B$800&lt;Risk_Rank_Keys!B308))+(SUMPRODUCT(--ISNUMBER(Risk_Rank_Keys!$B$2:$B$800),--(Risk_Rank_Keys!$B$2:$B$800=Risk_Rank_Keys!B308))+1)/2)/COUNT(Risk_Rank_Keys!$B$2:$B$800))</f>
        <v/>
      </c>
      <c r="N308">
        <f>IF(OR(B308="NW",COUNT(Risk_Rank_Keys!C308)=0),0.5,(SUMPRODUCT(--ISNUMBER(Risk_Rank_Keys!$C$2:$C$800),--(Risk_Rank_Keys!$C$2:$C$800&lt;Risk_Rank_Keys!C308))+(SUMPRODUCT(--ISNUMBER(Risk_Rank_Keys!$C$2:$C$800),--(Risk_Rank_Keys!$C$2:$C$800=Risk_Rank_Keys!C308))+1)/2)/COUNT(Risk_Rank_Keys!$C$2:$C$800))</f>
        <v/>
      </c>
      <c r="O308">
        <f>IF(OR(B308="NW",COUNT(Risk_Rank_Keys!D308)=0),0.5,(SUMPRODUCT(--ISNUMBER(Risk_Rank_Keys!$D$2:$D$800),--(Risk_Rank_Keys!$D$2:$D$800&lt;Risk_Rank_Keys!D308))+(SUMPRODUCT(--ISNUMBER(Risk_Rank_Keys!$D$2:$D$800),--(Risk_Rank_Keys!$D$2:$D$800=Risk_Rank_Keys!D308))+1)/2)/COUNT(Risk_Rank_Keys!$D$2:$D$800))</f>
        <v/>
      </c>
      <c r="P308">
        <f>AVERAGE(M308:O308)</f>
        <v/>
      </c>
      <c r="Q308">
        <f>0.4*H308+0.4*I308+0.2*P308</f>
        <v/>
      </c>
      <c r="R308">
        <f>PERCENTILE($Q$2:$Q$800,0.75)</f>
        <v/>
      </c>
      <c r="S308">
        <f>OR(Q308&gt;=R308,AND(B308="CW",COUNT(J308:L308)&lt;3))</f>
        <v/>
      </c>
      <c r="T308" t="n">
        <v>0.1546188123451306</v>
      </c>
      <c r="U308" t="n">
        <v>3.754309545544223</v>
      </c>
      <c r="V308" t="n">
        <v>0.2211545231167039</v>
      </c>
      <c r="W308">
        <f>Q308-V308</f>
        <v/>
      </c>
    </row>
    <row r="309">
      <c r="A309" t="inlineStr">
        <is>
          <t>2022-09-06</t>
        </is>
      </c>
      <c r="B309" t="inlineStr">
        <is>
          <t>CW</t>
        </is>
      </c>
      <c r="C309" t="n">
        <v>-39.52145503213139</v>
      </c>
      <c r="D309">
        <f>SUMPRODUCT(Risk_Inputs!B309:AJ309,Risk_Coefs!$B$2:$AJ$2)</f>
        <v/>
      </c>
      <c r="E309">
        <f>1/(1+EXP(-MAX(-25,MIN(25,D309))))</f>
        <v/>
      </c>
      <c r="F309">
        <f>SUMPRODUCT(Risk_Inputs!B309:AJ309,Risk_Coefs!$B$3:$AJ$3)</f>
        <v/>
      </c>
      <c r="G309">
        <f>MAX(0,F309)</f>
        <v/>
      </c>
      <c r="H309">
        <f>(SUMPRODUCT(--ISNUMBER($E$2:$E$800),--($E$2:$E$800&lt;E309))+(SUMPRODUCT(--ISNUMBER($E$2:$E$800),--($E$2:$E$800=E309))+1)/2)/COUNT($E$2:$E$800)</f>
        <v/>
      </c>
      <c r="I309">
        <f>(SUMPRODUCT(--ISNUMBER($G$2:$G$800),--($G$2:$G$800&lt;G309))+(SUMPRODUCT(--ISNUMBER($G$2:$G$800),--($G$2:$G$800=G309))+1)/2)/COUNT($G$2:$G$800)</f>
        <v/>
      </c>
      <c r="J309" t="n">
        <v>9.15877368247518</v>
      </c>
      <c r="K309" t="n">
        <v>3.745819397993313</v>
      </c>
      <c r="L309" t="n">
        <v>0.08918617614269279</v>
      </c>
      <c r="M309">
        <f>IF(OR(B309="NW",COUNT(Risk_Rank_Keys!B309)=0),0.5,(SUMPRODUCT(--ISNUMBER(Risk_Rank_Keys!$B$2:$B$800),--(Risk_Rank_Keys!$B$2:$B$800&lt;Risk_Rank_Keys!B309))+(SUMPRODUCT(--ISNUMBER(Risk_Rank_Keys!$B$2:$B$800),--(Risk_Rank_Keys!$B$2:$B$800=Risk_Rank_Keys!B309))+1)/2)/COUNT(Risk_Rank_Keys!$B$2:$B$800))</f>
        <v/>
      </c>
      <c r="N309">
        <f>IF(OR(B309="NW",COUNT(Risk_Rank_Keys!C309)=0),0.5,(SUMPRODUCT(--ISNUMBER(Risk_Rank_Keys!$C$2:$C$800),--(Risk_Rank_Keys!$C$2:$C$800&lt;Risk_Rank_Keys!C309))+(SUMPRODUCT(--ISNUMBER(Risk_Rank_Keys!$C$2:$C$800),--(Risk_Rank_Keys!$C$2:$C$800=Risk_Rank_Keys!C309))+1)/2)/COUNT(Risk_Rank_Keys!$C$2:$C$800))</f>
        <v/>
      </c>
      <c r="O309">
        <f>IF(OR(B309="NW",COUNT(Risk_Rank_Keys!D309)=0),0.5,(SUMPRODUCT(--ISNUMBER(Risk_Rank_Keys!$D$2:$D$800),--(Risk_Rank_Keys!$D$2:$D$800&lt;Risk_Rank_Keys!D309))+(SUMPRODUCT(--ISNUMBER(Risk_Rank_Keys!$D$2:$D$800),--(Risk_Rank_Keys!$D$2:$D$800=Risk_Rank_Keys!D309))+1)/2)/COUNT(Risk_Rank_Keys!$D$2:$D$800))</f>
        <v/>
      </c>
      <c r="P309">
        <f>AVERAGE(M309:O309)</f>
        <v/>
      </c>
      <c r="Q309">
        <f>0.4*H309+0.4*I309+0.2*P309</f>
        <v/>
      </c>
      <c r="R309">
        <f>PERCENTILE($Q$2:$Q$800,0.75)</f>
        <v/>
      </c>
      <c r="S309">
        <f>OR(Q309&gt;=R309,AND(B309="CW",COUNT(J309:L309)&lt;3))</f>
        <v/>
      </c>
      <c r="T309" t="n">
        <v>0.3132374268207209</v>
      </c>
      <c r="U309" t="n">
        <v>8.471594757777062</v>
      </c>
      <c r="V309" t="n">
        <v>0.5610133308197311</v>
      </c>
      <c r="W309">
        <f>Q309-V309</f>
        <v/>
      </c>
    </row>
    <row r="310">
      <c r="A310" t="inlineStr">
        <is>
          <t>2022-09-07</t>
        </is>
      </c>
      <c r="B310" t="inlineStr">
        <is>
          <t>CW</t>
        </is>
      </c>
      <c r="C310" t="n">
        <v>7.710178415334435</v>
      </c>
      <c r="D310">
        <f>SUMPRODUCT(Risk_Inputs!B310:AJ310,Risk_Coefs!$B$2:$AJ$2)</f>
        <v/>
      </c>
      <c r="E310">
        <f>1/(1+EXP(-MAX(-25,MIN(25,D310))))</f>
        <v/>
      </c>
      <c r="F310">
        <f>SUMPRODUCT(Risk_Inputs!B310:AJ310,Risk_Coefs!$B$3:$AJ$3)</f>
        <v/>
      </c>
      <c r="G310">
        <f>MAX(0,F310)</f>
        <v/>
      </c>
      <c r="H310">
        <f>(SUMPRODUCT(--ISNUMBER($E$2:$E$800),--($E$2:$E$800&lt;E310))+(SUMPRODUCT(--ISNUMBER($E$2:$E$800),--($E$2:$E$800=E310))+1)/2)/COUNT($E$2:$E$800)</f>
        <v/>
      </c>
      <c r="I310">
        <f>(SUMPRODUCT(--ISNUMBER($G$2:$G$800),--($G$2:$G$800&lt;G310))+(SUMPRODUCT(--ISNUMBER($G$2:$G$800),--($G$2:$G$800=G310))+1)/2)/COUNT($G$2:$G$800)</f>
        <v/>
      </c>
      <c r="J310" t="n">
        <v>13.06846391334742</v>
      </c>
      <c r="K310" t="n">
        <v>4.407370517928298</v>
      </c>
      <c r="L310" t="n">
        <v>0.1245019920318725</v>
      </c>
      <c r="M310">
        <f>IF(OR(B310="NW",COUNT(Risk_Rank_Keys!B310)=0),0.5,(SUMPRODUCT(--ISNUMBER(Risk_Rank_Keys!$B$2:$B$800),--(Risk_Rank_Keys!$B$2:$B$800&lt;Risk_Rank_Keys!B310))+(SUMPRODUCT(--ISNUMBER(Risk_Rank_Keys!$B$2:$B$800),--(Risk_Rank_Keys!$B$2:$B$800=Risk_Rank_Keys!B310))+1)/2)/COUNT(Risk_Rank_Keys!$B$2:$B$800))</f>
        <v/>
      </c>
      <c r="N310">
        <f>IF(OR(B310="NW",COUNT(Risk_Rank_Keys!C310)=0),0.5,(SUMPRODUCT(--ISNUMBER(Risk_Rank_Keys!$C$2:$C$800),--(Risk_Rank_Keys!$C$2:$C$800&lt;Risk_Rank_Keys!C310))+(SUMPRODUCT(--ISNUMBER(Risk_Rank_Keys!$C$2:$C$800),--(Risk_Rank_Keys!$C$2:$C$800=Risk_Rank_Keys!C310))+1)/2)/COUNT(Risk_Rank_Keys!$C$2:$C$800))</f>
        <v/>
      </c>
      <c r="O310">
        <f>IF(OR(B310="NW",COUNT(Risk_Rank_Keys!D310)=0),0.5,(SUMPRODUCT(--ISNUMBER(Risk_Rank_Keys!$D$2:$D$800),--(Risk_Rank_Keys!$D$2:$D$800&lt;Risk_Rank_Keys!D310))+(SUMPRODUCT(--ISNUMBER(Risk_Rank_Keys!$D$2:$D$800),--(Risk_Rank_Keys!$D$2:$D$800=Risk_Rank_Keys!D310))+1)/2)/COUNT(Risk_Rank_Keys!$D$2:$D$800))</f>
        <v/>
      </c>
      <c r="P310">
        <f>AVERAGE(M310:O310)</f>
        <v/>
      </c>
      <c r="Q310">
        <f>0.4*H310+0.4*I310+0.2*P310</f>
        <v/>
      </c>
      <c r="R310">
        <f>PERCENTILE($Q$2:$Q$800,0.75)</f>
        <v/>
      </c>
      <c r="S310">
        <f>OR(Q310&gt;=R310,AND(B310="CW",COUNT(J310:L310)&lt;3))</f>
        <v/>
      </c>
      <c r="T310" t="n">
        <v>0.3168589578935184</v>
      </c>
      <c r="U310" t="n">
        <v>8.498286030371631</v>
      </c>
      <c r="V310" t="n">
        <v>0.5905159226811293</v>
      </c>
      <c r="W310">
        <f>Q310-V310</f>
        <v/>
      </c>
    </row>
    <row r="311">
      <c r="A311" t="inlineStr">
        <is>
          <t>2022-09-08</t>
        </is>
      </c>
      <c r="B311" t="inlineStr">
        <is>
          <t>CW</t>
        </is>
      </c>
      <c r="C311" t="n">
        <v>29.2747806640842</v>
      </c>
      <c r="D311">
        <f>SUMPRODUCT(Risk_Inputs!B311:AJ311,Risk_Coefs!$B$2:$AJ$2)</f>
        <v/>
      </c>
      <c r="E311">
        <f>1/(1+EXP(-MAX(-25,MIN(25,D311))))</f>
        <v/>
      </c>
      <c r="F311">
        <f>SUMPRODUCT(Risk_Inputs!B311:AJ311,Risk_Coefs!$B$3:$AJ$3)</f>
        <v/>
      </c>
      <c r="G311">
        <f>MAX(0,F311)</f>
        <v/>
      </c>
      <c r="H311">
        <f>(SUMPRODUCT(--ISNUMBER($E$2:$E$800),--($E$2:$E$800&lt;E311))+(SUMPRODUCT(--ISNUMBER($E$2:$E$800),--($E$2:$E$800=E311))+1)/2)/COUNT($E$2:$E$800)</f>
        <v/>
      </c>
      <c r="I311">
        <f>(SUMPRODUCT(--ISNUMBER($G$2:$G$800),--($G$2:$G$800&lt;G311))+(SUMPRODUCT(--ISNUMBER($G$2:$G$800),--($G$2:$G$800=G311))+1)/2)/COUNT($G$2:$G$800)</f>
        <v/>
      </c>
      <c r="J311" t="n">
        <v>6.708155764503041</v>
      </c>
      <c r="K311" t="n">
        <v>1.965484180249278</v>
      </c>
      <c r="L311" t="n">
        <v>0.2876318312559964</v>
      </c>
      <c r="M311">
        <f>IF(OR(B311="NW",COUNT(Risk_Rank_Keys!B311)=0),0.5,(SUMPRODUCT(--ISNUMBER(Risk_Rank_Keys!$B$2:$B$800),--(Risk_Rank_Keys!$B$2:$B$800&lt;Risk_Rank_Keys!B311))+(SUMPRODUCT(--ISNUMBER(Risk_Rank_Keys!$B$2:$B$800),--(Risk_Rank_Keys!$B$2:$B$800=Risk_Rank_Keys!B311))+1)/2)/COUNT(Risk_Rank_Keys!$B$2:$B$800))</f>
        <v/>
      </c>
      <c r="N311">
        <f>IF(OR(B311="NW",COUNT(Risk_Rank_Keys!C311)=0),0.5,(SUMPRODUCT(--ISNUMBER(Risk_Rank_Keys!$C$2:$C$800),--(Risk_Rank_Keys!$C$2:$C$800&lt;Risk_Rank_Keys!C311))+(SUMPRODUCT(--ISNUMBER(Risk_Rank_Keys!$C$2:$C$800),--(Risk_Rank_Keys!$C$2:$C$800=Risk_Rank_Keys!C311))+1)/2)/COUNT(Risk_Rank_Keys!$C$2:$C$800))</f>
        <v/>
      </c>
      <c r="O311">
        <f>IF(OR(B311="NW",COUNT(Risk_Rank_Keys!D311)=0),0.5,(SUMPRODUCT(--ISNUMBER(Risk_Rank_Keys!$D$2:$D$800),--(Risk_Rank_Keys!$D$2:$D$800&lt;Risk_Rank_Keys!D311))+(SUMPRODUCT(--ISNUMBER(Risk_Rank_Keys!$D$2:$D$800),--(Risk_Rank_Keys!$D$2:$D$800=Risk_Rank_Keys!D311))+1)/2)/COUNT(Risk_Rank_Keys!$D$2:$D$800))</f>
        <v/>
      </c>
      <c r="P311">
        <f>AVERAGE(M311:O311)</f>
        <v/>
      </c>
      <c r="Q311">
        <f>0.4*H311+0.4*I311+0.2*P311</f>
        <v/>
      </c>
      <c r="R311">
        <f>PERCENTILE($Q$2:$Q$800,0.75)</f>
        <v/>
      </c>
      <c r="S311">
        <f>OR(Q311&gt;=R311,AND(B311="CW",COUNT(J311:L311)&lt;3))</f>
        <v/>
      </c>
      <c r="T311" t="n">
        <v>0.2986510695769634</v>
      </c>
      <c r="U311" t="n">
        <v>8.756834741335153</v>
      </c>
      <c r="V311" t="n">
        <v>0.5669933767744315</v>
      </c>
      <c r="W311">
        <f>Q311-V311</f>
        <v/>
      </c>
    </row>
    <row r="312">
      <c r="A312" t="inlineStr">
        <is>
          <t>2022-09-12</t>
        </is>
      </c>
      <c r="B312" t="inlineStr">
        <is>
          <t>CW</t>
        </is>
      </c>
      <c r="C312" t="n">
        <v>1.785482734302561</v>
      </c>
      <c r="D312">
        <f>SUMPRODUCT(Risk_Inputs!B312:AJ312,Risk_Coefs!$B$2:$AJ$2)</f>
        <v/>
      </c>
      <c r="E312">
        <f>1/(1+EXP(-MAX(-25,MIN(25,D312))))</f>
        <v/>
      </c>
      <c r="F312">
        <f>SUMPRODUCT(Risk_Inputs!B312:AJ312,Risk_Coefs!$B$3:$AJ$3)</f>
        <v/>
      </c>
      <c r="G312">
        <f>MAX(0,F312)</f>
        <v/>
      </c>
      <c r="H312">
        <f>(SUMPRODUCT(--ISNUMBER($E$2:$E$800),--($E$2:$E$800&lt;E312))+(SUMPRODUCT(--ISNUMBER($E$2:$E$800),--($E$2:$E$800=E312))+1)/2)/COUNT($E$2:$E$800)</f>
        <v/>
      </c>
      <c r="I312">
        <f>(SUMPRODUCT(--ISNUMBER($G$2:$G$800),--($G$2:$G$800&lt;G312))+(SUMPRODUCT(--ISNUMBER($G$2:$G$800),--($G$2:$G$800=G312))+1)/2)/COUNT($G$2:$G$800)</f>
        <v/>
      </c>
      <c r="J312" t="n">
        <v>7.038044540768814</v>
      </c>
      <c r="K312" t="n">
        <v>2.390852390852391</v>
      </c>
      <c r="L312" t="n">
        <v>0.1455301455301431</v>
      </c>
      <c r="M312">
        <f>IF(OR(B312="NW",COUNT(Risk_Rank_Keys!B312)=0),0.5,(SUMPRODUCT(--ISNUMBER(Risk_Rank_Keys!$B$2:$B$800),--(Risk_Rank_Keys!$B$2:$B$800&lt;Risk_Rank_Keys!B312))+(SUMPRODUCT(--ISNUMBER(Risk_Rank_Keys!$B$2:$B$800),--(Risk_Rank_Keys!$B$2:$B$800=Risk_Rank_Keys!B312))+1)/2)/COUNT(Risk_Rank_Keys!$B$2:$B$800))</f>
        <v/>
      </c>
      <c r="N312">
        <f>IF(OR(B312="NW",COUNT(Risk_Rank_Keys!C312)=0),0.5,(SUMPRODUCT(--ISNUMBER(Risk_Rank_Keys!$C$2:$C$800),--(Risk_Rank_Keys!$C$2:$C$800&lt;Risk_Rank_Keys!C312))+(SUMPRODUCT(--ISNUMBER(Risk_Rank_Keys!$C$2:$C$800),--(Risk_Rank_Keys!$C$2:$C$800=Risk_Rank_Keys!C312))+1)/2)/COUNT(Risk_Rank_Keys!$C$2:$C$800))</f>
        <v/>
      </c>
      <c r="O312">
        <f>IF(OR(B312="NW",COUNT(Risk_Rank_Keys!D312)=0),0.5,(SUMPRODUCT(--ISNUMBER(Risk_Rank_Keys!$D$2:$D$800),--(Risk_Rank_Keys!$D$2:$D$800&lt;Risk_Rank_Keys!D312))+(SUMPRODUCT(--ISNUMBER(Risk_Rank_Keys!$D$2:$D$800),--(Risk_Rank_Keys!$D$2:$D$800=Risk_Rank_Keys!D312))+1)/2)/COUNT(Risk_Rank_Keys!$D$2:$D$800))</f>
        <v/>
      </c>
      <c r="P312">
        <f>AVERAGE(M312:O312)</f>
        <v/>
      </c>
      <c r="Q312">
        <f>0.4*H312+0.4*I312+0.2*P312</f>
        <v/>
      </c>
      <c r="R312">
        <f>PERCENTILE($Q$2:$Q$800,0.75)</f>
        <v/>
      </c>
      <c r="S312">
        <f>OR(Q312&gt;=R312,AND(B312="CW",COUNT(J312:L312)&lt;3))</f>
        <v/>
      </c>
      <c r="T312" t="n">
        <v>0.2934416476329883</v>
      </c>
      <c r="U312" t="n">
        <v>8.089715673666348</v>
      </c>
      <c r="V312" t="n">
        <v>0.4906169904384199</v>
      </c>
      <c r="W312">
        <f>Q312-V312</f>
        <v/>
      </c>
    </row>
    <row r="313">
      <c r="A313" t="inlineStr">
        <is>
          <t>2022-09-13</t>
        </is>
      </c>
      <c r="B313" t="inlineStr">
        <is>
          <t>CW</t>
        </is>
      </c>
      <c r="C313" t="n">
        <v>2.621207742998661</v>
      </c>
      <c r="D313">
        <f>SUMPRODUCT(Risk_Inputs!B313:AJ313,Risk_Coefs!$B$2:$AJ$2)</f>
        <v/>
      </c>
      <c r="E313">
        <f>1/(1+EXP(-MAX(-25,MIN(25,D313))))</f>
        <v/>
      </c>
      <c r="F313">
        <f>SUMPRODUCT(Risk_Inputs!B313:AJ313,Risk_Coefs!$B$3:$AJ$3)</f>
        <v/>
      </c>
      <c r="G313">
        <f>MAX(0,F313)</f>
        <v/>
      </c>
      <c r="H313">
        <f>(SUMPRODUCT(--ISNUMBER($E$2:$E$800),--($E$2:$E$800&lt;E313))+(SUMPRODUCT(--ISNUMBER($E$2:$E$800),--($E$2:$E$800=E313))+1)/2)/COUNT($E$2:$E$800)</f>
        <v/>
      </c>
      <c r="I313">
        <f>(SUMPRODUCT(--ISNUMBER($G$2:$G$800),--($G$2:$G$800&lt;G313))+(SUMPRODUCT(--ISNUMBER($G$2:$G$800),--($G$2:$G$800=G313))+1)/2)/COUNT($G$2:$G$800)</f>
        <v/>
      </c>
      <c r="J313" t="n">
        <v>6.267645084890135</v>
      </c>
      <c r="K313" t="n">
        <v>3.825000000000003</v>
      </c>
      <c r="L313" t="n">
        <v>0.2749999999999986</v>
      </c>
      <c r="M313">
        <f>IF(OR(B313="NW",COUNT(Risk_Rank_Keys!B313)=0),0.5,(SUMPRODUCT(--ISNUMBER(Risk_Rank_Keys!$B$2:$B$800),--(Risk_Rank_Keys!$B$2:$B$800&lt;Risk_Rank_Keys!B313))+(SUMPRODUCT(--ISNUMBER(Risk_Rank_Keys!$B$2:$B$800),--(Risk_Rank_Keys!$B$2:$B$800=Risk_Rank_Keys!B313))+1)/2)/COUNT(Risk_Rank_Keys!$B$2:$B$800))</f>
        <v/>
      </c>
      <c r="N313">
        <f>IF(OR(B313="NW",COUNT(Risk_Rank_Keys!C313)=0),0.5,(SUMPRODUCT(--ISNUMBER(Risk_Rank_Keys!$C$2:$C$800),--(Risk_Rank_Keys!$C$2:$C$800&lt;Risk_Rank_Keys!C313))+(SUMPRODUCT(--ISNUMBER(Risk_Rank_Keys!$C$2:$C$800),--(Risk_Rank_Keys!$C$2:$C$800=Risk_Rank_Keys!C313))+1)/2)/COUNT(Risk_Rank_Keys!$C$2:$C$800))</f>
        <v/>
      </c>
      <c r="O313">
        <f>IF(OR(B313="NW",COUNT(Risk_Rank_Keys!D313)=0),0.5,(SUMPRODUCT(--ISNUMBER(Risk_Rank_Keys!$D$2:$D$800),--(Risk_Rank_Keys!$D$2:$D$800&lt;Risk_Rank_Keys!D313))+(SUMPRODUCT(--ISNUMBER(Risk_Rank_Keys!$D$2:$D$800),--(Risk_Rank_Keys!$D$2:$D$800=Risk_Rank_Keys!D313))+1)/2)/COUNT(Risk_Rank_Keys!$D$2:$D$800))</f>
        <v/>
      </c>
      <c r="P313">
        <f>AVERAGE(M313:O313)</f>
        <v/>
      </c>
      <c r="Q313">
        <f>0.4*H313+0.4*I313+0.2*P313</f>
        <v/>
      </c>
      <c r="R313">
        <f>PERCENTILE($Q$2:$Q$800,0.75)</f>
        <v/>
      </c>
      <c r="S313">
        <f>OR(Q313&gt;=R313,AND(B313="CW",COUNT(J313:L313)&lt;3))</f>
        <v/>
      </c>
      <c r="T313" t="n">
        <v>0.2312781916171792</v>
      </c>
      <c r="U313" t="n">
        <v>6.174612294644605</v>
      </c>
      <c r="V313" t="n">
        <v>0.2870015925299465</v>
      </c>
      <c r="W313">
        <f>Q313-V313</f>
        <v/>
      </c>
    </row>
    <row r="314">
      <c r="A314" t="inlineStr">
        <is>
          <t>2022-09-14</t>
        </is>
      </c>
      <c r="B314" t="inlineStr">
        <is>
          <t>CW</t>
        </is>
      </c>
      <c r="C314" t="n">
        <v>-37.18514627007364</v>
      </c>
      <c r="D314">
        <f>SUMPRODUCT(Risk_Inputs!B314:AJ314,Risk_Coefs!$B$2:$AJ$2)</f>
        <v/>
      </c>
      <c r="E314">
        <f>1/(1+EXP(-MAX(-25,MIN(25,D314))))</f>
        <v/>
      </c>
      <c r="F314">
        <f>SUMPRODUCT(Risk_Inputs!B314:AJ314,Risk_Coefs!$B$3:$AJ$3)</f>
        <v/>
      </c>
      <c r="G314">
        <f>MAX(0,F314)</f>
        <v/>
      </c>
      <c r="H314">
        <f>(SUMPRODUCT(--ISNUMBER($E$2:$E$800),--($E$2:$E$800&lt;E314))+(SUMPRODUCT(--ISNUMBER($E$2:$E$800),--($E$2:$E$800=E314))+1)/2)/COUNT($E$2:$E$800)</f>
        <v/>
      </c>
      <c r="I314">
        <f>(SUMPRODUCT(--ISNUMBER($G$2:$G$800),--($G$2:$G$800&lt;G314))+(SUMPRODUCT(--ISNUMBER($G$2:$G$800),--($G$2:$G$800=G314))+1)/2)/COUNT($G$2:$G$800)</f>
        <v/>
      </c>
      <c r="J314" t="n">
        <v>6.289308176100628</v>
      </c>
      <c r="K314" t="n">
        <v>1.577801958650695</v>
      </c>
      <c r="L314" t="n">
        <v>0.1632208922742018</v>
      </c>
      <c r="M314">
        <f>IF(OR(B314="NW",COUNT(Risk_Rank_Keys!B314)=0),0.5,(SUMPRODUCT(--ISNUMBER(Risk_Rank_Keys!$B$2:$B$800),--(Risk_Rank_Keys!$B$2:$B$800&lt;Risk_Rank_Keys!B314))+(SUMPRODUCT(--ISNUMBER(Risk_Rank_Keys!$B$2:$B$800),--(Risk_Rank_Keys!$B$2:$B$800=Risk_Rank_Keys!B314))+1)/2)/COUNT(Risk_Rank_Keys!$B$2:$B$800))</f>
        <v/>
      </c>
      <c r="N314">
        <f>IF(OR(B314="NW",COUNT(Risk_Rank_Keys!C314)=0),0.5,(SUMPRODUCT(--ISNUMBER(Risk_Rank_Keys!$C$2:$C$800),--(Risk_Rank_Keys!$C$2:$C$800&lt;Risk_Rank_Keys!C314))+(SUMPRODUCT(--ISNUMBER(Risk_Rank_Keys!$C$2:$C$800),--(Risk_Rank_Keys!$C$2:$C$800=Risk_Rank_Keys!C314))+1)/2)/COUNT(Risk_Rank_Keys!$C$2:$C$800))</f>
        <v/>
      </c>
      <c r="O314">
        <f>IF(OR(B314="NW",COUNT(Risk_Rank_Keys!D314)=0),0.5,(SUMPRODUCT(--ISNUMBER(Risk_Rank_Keys!$D$2:$D$800),--(Risk_Rank_Keys!$D$2:$D$800&lt;Risk_Rank_Keys!D314))+(SUMPRODUCT(--ISNUMBER(Risk_Rank_Keys!$D$2:$D$800),--(Risk_Rank_Keys!$D$2:$D$800=Risk_Rank_Keys!D314))+1)/2)/COUNT(Risk_Rank_Keys!$D$2:$D$800))</f>
        <v/>
      </c>
      <c r="P314">
        <f>AVERAGE(M314:O314)</f>
        <v/>
      </c>
      <c r="Q314">
        <f>0.4*H314+0.4*I314+0.2*P314</f>
        <v/>
      </c>
      <c r="R314">
        <f>PERCENTILE($Q$2:$Q$800,0.75)</f>
        <v/>
      </c>
      <c r="S314">
        <f>OR(Q314&gt;=R314,AND(B314="CW",COUNT(J314:L314)&lt;3))</f>
        <v/>
      </c>
      <c r="T314" t="n">
        <v>0.3564722545634744</v>
      </c>
      <c r="U314" t="n">
        <v>6.572362620574795</v>
      </c>
      <c r="V314" t="n">
        <v>0.5125432825434396</v>
      </c>
      <c r="W314">
        <f>Q314-V314</f>
        <v/>
      </c>
    </row>
    <row r="315">
      <c r="A315" t="inlineStr">
        <is>
          <t>2022-09-15</t>
        </is>
      </c>
      <c r="B315" t="inlineStr">
        <is>
          <t>NW</t>
        </is>
      </c>
      <c r="C315" t="n">
        <v>-43.88092432169948</v>
      </c>
      <c r="D315">
        <f>SUMPRODUCT(Risk_Inputs!B315:AJ315,Risk_Coefs!$B$2:$AJ$2)</f>
        <v/>
      </c>
      <c r="E315">
        <f>1/(1+EXP(-MAX(-25,MIN(25,D315))))</f>
        <v/>
      </c>
      <c r="F315">
        <f>SUMPRODUCT(Risk_Inputs!B315:AJ315,Risk_Coefs!$B$3:$AJ$3)</f>
        <v/>
      </c>
      <c r="G315">
        <f>MAX(0,F315)</f>
        <v/>
      </c>
      <c r="H315">
        <f>(SUMPRODUCT(--ISNUMBER($E$2:$E$800),--($E$2:$E$800&lt;E315))+(SUMPRODUCT(--ISNUMBER($E$2:$E$800),--($E$2:$E$800=E315))+1)/2)/COUNT($E$2:$E$800)</f>
        <v/>
      </c>
      <c r="I315">
        <f>(SUMPRODUCT(--ISNUMBER($G$2:$G$800),--($G$2:$G$800&lt;G315))+(SUMPRODUCT(--ISNUMBER($G$2:$G$800),--($G$2:$G$800=G315))+1)/2)/COUNT($G$2:$G$800)</f>
        <v/>
      </c>
      <c r="M315">
        <f>IF(OR(B315="NW",COUNT(Risk_Rank_Keys!B315)=0),0.5,(SUMPRODUCT(--ISNUMBER(Risk_Rank_Keys!$B$2:$B$800),--(Risk_Rank_Keys!$B$2:$B$800&lt;Risk_Rank_Keys!B315))+(SUMPRODUCT(--ISNUMBER(Risk_Rank_Keys!$B$2:$B$800),--(Risk_Rank_Keys!$B$2:$B$800=Risk_Rank_Keys!B315))+1)/2)/COUNT(Risk_Rank_Keys!$B$2:$B$800))</f>
        <v/>
      </c>
      <c r="N315">
        <f>IF(OR(B315="NW",COUNT(Risk_Rank_Keys!C315)=0),0.5,(SUMPRODUCT(--ISNUMBER(Risk_Rank_Keys!$C$2:$C$800),--(Risk_Rank_Keys!$C$2:$C$800&lt;Risk_Rank_Keys!C315))+(SUMPRODUCT(--ISNUMBER(Risk_Rank_Keys!$C$2:$C$800),--(Risk_Rank_Keys!$C$2:$C$800=Risk_Rank_Keys!C315))+1)/2)/COUNT(Risk_Rank_Keys!$C$2:$C$800))</f>
        <v/>
      </c>
      <c r="O315">
        <f>IF(OR(B315="NW",COUNT(Risk_Rank_Keys!D315)=0),0.5,(SUMPRODUCT(--ISNUMBER(Risk_Rank_Keys!$D$2:$D$800),--(Risk_Rank_Keys!$D$2:$D$800&lt;Risk_Rank_Keys!D315))+(SUMPRODUCT(--ISNUMBER(Risk_Rank_Keys!$D$2:$D$800),--(Risk_Rank_Keys!$D$2:$D$800=Risk_Rank_Keys!D315))+1)/2)/COUNT(Risk_Rank_Keys!$D$2:$D$800))</f>
        <v/>
      </c>
      <c r="P315">
        <f>AVERAGE(M315:O315)</f>
        <v/>
      </c>
      <c r="Q315">
        <f>0.4*H315+0.4*I315+0.2*P315</f>
        <v/>
      </c>
      <c r="R315">
        <f>PERCENTILE($Q$2:$Q$800,0.75)</f>
        <v/>
      </c>
      <c r="S315">
        <f>OR(Q315&gt;=R315,AND(B315="CW",COUNT(J315:L315)&lt;3))</f>
        <v/>
      </c>
      <c r="T315" t="n">
        <v>0.3628176138753563</v>
      </c>
      <c r="U315" t="n">
        <v>11.05938769650006</v>
      </c>
      <c r="V315" t="n">
        <v>0.7948685857321652</v>
      </c>
      <c r="W315">
        <f>Q315-V315</f>
        <v/>
      </c>
    </row>
    <row r="316">
      <c r="A316" t="inlineStr">
        <is>
          <t>2022-09-19</t>
        </is>
      </c>
      <c r="B316" t="inlineStr">
        <is>
          <t>CW</t>
        </is>
      </c>
      <c r="C316" t="n">
        <v>-34.94659981738764</v>
      </c>
      <c r="D316">
        <f>SUMPRODUCT(Risk_Inputs!B316:AJ316,Risk_Coefs!$B$2:$AJ$2)</f>
        <v/>
      </c>
      <c r="E316">
        <f>1/(1+EXP(-MAX(-25,MIN(25,D316))))</f>
        <v/>
      </c>
      <c r="F316">
        <f>SUMPRODUCT(Risk_Inputs!B316:AJ316,Risk_Coefs!$B$3:$AJ$3)</f>
        <v/>
      </c>
      <c r="G316">
        <f>MAX(0,F316)</f>
        <v/>
      </c>
      <c r="H316">
        <f>(SUMPRODUCT(--ISNUMBER($E$2:$E$800),--($E$2:$E$800&lt;E316))+(SUMPRODUCT(--ISNUMBER($E$2:$E$800),--($E$2:$E$800=E316))+1)/2)/COUNT($E$2:$E$800)</f>
        <v/>
      </c>
      <c r="I316">
        <f>(SUMPRODUCT(--ISNUMBER($G$2:$G$800),--($G$2:$G$800&lt;G316))+(SUMPRODUCT(--ISNUMBER($G$2:$G$800),--($G$2:$G$800=G316))+1)/2)/COUNT($G$2:$G$800)</f>
        <v/>
      </c>
      <c r="J316" t="n">
        <v>23.63567418693607</v>
      </c>
      <c r="K316" t="n">
        <v>2.186658215813652</v>
      </c>
      <c r="L316" t="n">
        <v>0.1267627951196342</v>
      </c>
      <c r="M316">
        <f>IF(OR(B316="NW",COUNT(Risk_Rank_Keys!B316)=0),0.5,(SUMPRODUCT(--ISNUMBER(Risk_Rank_Keys!$B$2:$B$800),--(Risk_Rank_Keys!$B$2:$B$800&lt;Risk_Rank_Keys!B316))+(SUMPRODUCT(--ISNUMBER(Risk_Rank_Keys!$B$2:$B$800),--(Risk_Rank_Keys!$B$2:$B$800=Risk_Rank_Keys!B316))+1)/2)/COUNT(Risk_Rank_Keys!$B$2:$B$800))</f>
        <v/>
      </c>
      <c r="N316">
        <f>IF(OR(B316="NW",COUNT(Risk_Rank_Keys!C316)=0),0.5,(SUMPRODUCT(--ISNUMBER(Risk_Rank_Keys!$C$2:$C$800),--(Risk_Rank_Keys!$C$2:$C$800&lt;Risk_Rank_Keys!C316))+(SUMPRODUCT(--ISNUMBER(Risk_Rank_Keys!$C$2:$C$800),--(Risk_Rank_Keys!$C$2:$C$800=Risk_Rank_Keys!C316))+1)/2)/COUNT(Risk_Rank_Keys!$C$2:$C$800))</f>
        <v/>
      </c>
      <c r="O316">
        <f>IF(OR(B316="NW",COUNT(Risk_Rank_Keys!D316)=0),0.5,(SUMPRODUCT(--ISNUMBER(Risk_Rank_Keys!$D$2:$D$800),--(Risk_Rank_Keys!$D$2:$D$800&lt;Risk_Rank_Keys!D316))+(SUMPRODUCT(--ISNUMBER(Risk_Rank_Keys!$D$2:$D$800),--(Risk_Rank_Keys!$D$2:$D$800=Risk_Rank_Keys!D316))+1)/2)/COUNT(Risk_Rank_Keys!$D$2:$D$800))</f>
        <v/>
      </c>
      <c r="P316">
        <f>AVERAGE(M316:O316)</f>
        <v/>
      </c>
      <c r="Q316">
        <f>0.4*H316+0.4*I316+0.2*P316</f>
        <v/>
      </c>
      <c r="R316">
        <f>PERCENTILE($Q$2:$Q$800,0.75)</f>
        <v/>
      </c>
      <c r="S316">
        <f>OR(Q316&gt;=R316,AND(B316="CW",COUNT(J316:L316)&lt;3))</f>
        <v/>
      </c>
      <c r="T316" t="n">
        <v>0.3648608856248075</v>
      </c>
      <c r="U316" t="n">
        <v>11.12677939415039</v>
      </c>
      <c r="V316" t="n">
        <v>0.7801738458521781</v>
      </c>
      <c r="W316">
        <f>Q316-V316</f>
        <v/>
      </c>
    </row>
    <row r="317">
      <c r="A317" t="inlineStr">
        <is>
          <t>2022-09-20</t>
        </is>
      </c>
      <c r="B317" t="inlineStr">
        <is>
          <t>CW</t>
        </is>
      </c>
      <c r="C317" t="n">
        <v>9.812105477273924</v>
      </c>
      <c r="D317">
        <f>SUMPRODUCT(Risk_Inputs!B317:AJ317,Risk_Coefs!$B$2:$AJ$2)</f>
        <v/>
      </c>
      <c r="E317">
        <f>1/(1+EXP(-MAX(-25,MIN(25,D317))))</f>
        <v/>
      </c>
      <c r="F317">
        <f>SUMPRODUCT(Risk_Inputs!B317:AJ317,Risk_Coefs!$B$3:$AJ$3)</f>
        <v/>
      </c>
      <c r="G317">
        <f>MAX(0,F317)</f>
        <v/>
      </c>
      <c r="H317">
        <f>(SUMPRODUCT(--ISNUMBER($E$2:$E$800),--($E$2:$E$800&lt;E317))+(SUMPRODUCT(--ISNUMBER($E$2:$E$800),--($E$2:$E$800=E317))+1)/2)/COUNT($E$2:$E$800)</f>
        <v/>
      </c>
      <c r="I317">
        <f>(SUMPRODUCT(--ISNUMBER($G$2:$G$800),--($G$2:$G$800&lt;G317))+(SUMPRODUCT(--ISNUMBER($G$2:$G$800),--($G$2:$G$800=G317))+1)/2)/COUNT($G$2:$G$800)</f>
        <v/>
      </c>
      <c r="J317" t="n">
        <v>11.10545685600299</v>
      </c>
      <c r="K317" t="n">
        <v>4.278074866310163</v>
      </c>
      <c r="L317" t="n">
        <v>0.2262443438914073</v>
      </c>
      <c r="M317">
        <f>IF(OR(B317="NW",COUNT(Risk_Rank_Keys!B317)=0),0.5,(SUMPRODUCT(--ISNUMBER(Risk_Rank_Keys!$B$2:$B$800),--(Risk_Rank_Keys!$B$2:$B$800&lt;Risk_Rank_Keys!B317))+(SUMPRODUCT(--ISNUMBER(Risk_Rank_Keys!$B$2:$B$800),--(Risk_Rank_Keys!$B$2:$B$800=Risk_Rank_Keys!B317))+1)/2)/COUNT(Risk_Rank_Keys!$B$2:$B$800))</f>
        <v/>
      </c>
      <c r="N317">
        <f>IF(OR(B317="NW",COUNT(Risk_Rank_Keys!C317)=0),0.5,(SUMPRODUCT(--ISNUMBER(Risk_Rank_Keys!$C$2:$C$800),--(Risk_Rank_Keys!$C$2:$C$800&lt;Risk_Rank_Keys!C317))+(SUMPRODUCT(--ISNUMBER(Risk_Rank_Keys!$C$2:$C$800),--(Risk_Rank_Keys!$C$2:$C$800=Risk_Rank_Keys!C317))+1)/2)/COUNT(Risk_Rank_Keys!$C$2:$C$800))</f>
        <v/>
      </c>
      <c r="O317">
        <f>IF(OR(B317="NW",COUNT(Risk_Rank_Keys!D317)=0),0.5,(SUMPRODUCT(--ISNUMBER(Risk_Rank_Keys!$D$2:$D$800),--(Risk_Rank_Keys!$D$2:$D$800&lt;Risk_Rank_Keys!D317))+(SUMPRODUCT(--ISNUMBER(Risk_Rank_Keys!$D$2:$D$800),--(Risk_Rank_Keys!$D$2:$D$800=Risk_Rank_Keys!D317))+1)/2)/COUNT(Risk_Rank_Keys!$D$2:$D$800))</f>
        <v/>
      </c>
      <c r="P317">
        <f>AVERAGE(M317:O317)</f>
        <v/>
      </c>
      <c r="Q317">
        <f>0.4*H317+0.4*I317+0.2*P317</f>
        <v/>
      </c>
      <c r="R317">
        <f>PERCENTILE($Q$2:$Q$800,0.75)</f>
        <v/>
      </c>
      <c r="S317">
        <f>OR(Q317&gt;=R317,AND(B317="CW",COUNT(J317:L317)&lt;3))</f>
        <v/>
      </c>
      <c r="T317" t="n">
        <v>0.221114768207856</v>
      </c>
      <c r="U317" t="n">
        <v>5.709437306435547</v>
      </c>
      <c r="V317" t="n">
        <v>0.2593677941220109</v>
      </c>
      <c r="W317">
        <f>Q317-V317</f>
        <v/>
      </c>
    </row>
    <row r="318">
      <c r="A318" t="inlineStr">
        <is>
          <t>2022-09-21</t>
        </is>
      </c>
      <c r="B318" t="inlineStr">
        <is>
          <t>CW</t>
        </is>
      </c>
      <c r="C318" t="n">
        <v>-38.1653230944469</v>
      </c>
      <c r="D318">
        <f>SUMPRODUCT(Risk_Inputs!B318:AJ318,Risk_Coefs!$B$2:$AJ$2)</f>
        <v/>
      </c>
      <c r="E318">
        <f>1/(1+EXP(-MAX(-25,MIN(25,D318))))</f>
        <v/>
      </c>
      <c r="F318">
        <f>SUMPRODUCT(Risk_Inputs!B318:AJ318,Risk_Coefs!$B$3:$AJ$3)</f>
        <v/>
      </c>
      <c r="G318">
        <f>MAX(0,F318)</f>
        <v/>
      </c>
      <c r="H318">
        <f>(SUMPRODUCT(--ISNUMBER($E$2:$E$800),--($E$2:$E$800&lt;E318))+(SUMPRODUCT(--ISNUMBER($E$2:$E$800),--($E$2:$E$800=E318))+1)/2)/COUNT($E$2:$E$800)</f>
        <v/>
      </c>
      <c r="I318">
        <f>(SUMPRODUCT(--ISNUMBER($G$2:$G$800),--($G$2:$G$800&lt;G318))+(SUMPRODUCT(--ISNUMBER($G$2:$G$800),--($G$2:$G$800=G318))+1)/2)/COUNT($G$2:$G$800)</f>
        <v/>
      </c>
      <c r="J318" t="n">
        <v>43.82064395586637</v>
      </c>
      <c r="K318" t="n">
        <v>11.66812609457092</v>
      </c>
      <c r="L318" t="n">
        <v>0.2845884413310007</v>
      </c>
      <c r="M318">
        <f>IF(OR(B318="NW",COUNT(Risk_Rank_Keys!B318)=0),0.5,(SUMPRODUCT(--ISNUMBER(Risk_Rank_Keys!$B$2:$B$800),--(Risk_Rank_Keys!$B$2:$B$800&lt;Risk_Rank_Keys!B318))+(SUMPRODUCT(--ISNUMBER(Risk_Rank_Keys!$B$2:$B$800),--(Risk_Rank_Keys!$B$2:$B$800=Risk_Rank_Keys!B318))+1)/2)/COUNT(Risk_Rank_Keys!$B$2:$B$800))</f>
        <v/>
      </c>
      <c r="N318">
        <f>IF(OR(B318="NW",COUNT(Risk_Rank_Keys!C318)=0),0.5,(SUMPRODUCT(--ISNUMBER(Risk_Rank_Keys!$C$2:$C$800),--(Risk_Rank_Keys!$C$2:$C$800&lt;Risk_Rank_Keys!C318))+(SUMPRODUCT(--ISNUMBER(Risk_Rank_Keys!$C$2:$C$800),--(Risk_Rank_Keys!$C$2:$C$800=Risk_Rank_Keys!C318))+1)/2)/COUNT(Risk_Rank_Keys!$C$2:$C$800))</f>
        <v/>
      </c>
      <c r="O318">
        <f>IF(OR(B318="NW",COUNT(Risk_Rank_Keys!D318)=0),0.5,(SUMPRODUCT(--ISNUMBER(Risk_Rank_Keys!$D$2:$D$800),--(Risk_Rank_Keys!$D$2:$D$800&lt;Risk_Rank_Keys!D318))+(SUMPRODUCT(--ISNUMBER(Risk_Rank_Keys!$D$2:$D$800),--(Risk_Rank_Keys!$D$2:$D$800=Risk_Rank_Keys!D318))+1)/2)/COUNT(Risk_Rank_Keys!$D$2:$D$800))</f>
        <v/>
      </c>
      <c r="P318">
        <f>AVERAGE(M318:O318)</f>
        <v/>
      </c>
      <c r="Q318">
        <f>0.4*H318+0.4*I318+0.2*P318</f>
        <v/>
      </c>
      <c r="R318">
        <f>PERCENTILE($Q$2:$Q$800,0.75)</f>
        <v/>
      </c>
      <c r="S318">
        <f>OR(Q318&gt;=R318,AND(B318="CW",COUNT(J318:L318)&lt;3))</f>
        <v/>
      </c>
      <c r="T318" t="n">
        <v>0.1714256448121001</v>
      </c>
      <c r="U318" t="n">
        <v>4.423421821945849</v>
      </c>
      <c r="V318" t="n">
        <v>0.2217966553961862</v>
      </c>
      <c r="W318">
        <f>Q318-V318</f>
        <v/>
      </c>
    </row>
    <row r="319">
      <c r="A319" t="inlineStr">
        <is>
          <t>2022-09-22</t>
        </is>
      </c>
      <c r="B319" t="inlineStr">
        <is>
          <t>CW</t>
        </is>
      </c>
      <c r="C319" t="n">
        <v>80.62502027640657</v>
      </c>
      <c r="D319">
        <f>SUMPRODUCT(Risk_Inputs!B319:AJ319,Risk_Coefs!$B$2:$AJ$2)</f>
        <v/>
      </c>
      <c r="E319">
        <f>1/(1+EXP(-MAX(-25,MIN(25,D319))))</f>
        <v/>
      </c>
      <c r="F319">
        <f>SUMPRODUCT(Risk_Inputs!B319:AJ319,Risk_Coefs!$B$3:$AJ$3)</f>
        <v/>
      </c>
      <c r="G319">
        <f>MAX(0,F319)</f>
        <v/>
      </c>
      <c r="H319">
        <f>(SUMPRODUCT(--ISNUMBER($E$2:$E$800),--($E$2:$E$800&lt;E319))+(SUMPRODUCT(--ISNUMBER($E$2:$E$800),--($E$2:$E$800=E319))+1)/2)/COUNT($E$2:$E$800)</f>
        <v/>
      </c>
      <c r="I319">
        <f>(SUMPRODUCT(--ISNUMBER($G$2:$G$800),--($G$2:$G$800&lt;G319))+(SUMPRODUCT(--ISNUMBER($G$2:$G$800),--($G$2:$G$800=G319))+1)/2)/COUNT($G$2:$G$800)</f>
        <v/>
      </c>
      <c r="J319" t="n">
        <v>15.56819664135134</v>
      </c>
      <c r="K319" t="n">
        <v>23.00235017626322</v>
      </c>
      <c r="L319" t="n">
        <v>0.3525264394829662</v>
      </c>
      <c r="M319">
        <f>IF(OR(B319="NW",COUNT(Risk_Rank_Keys!B319)=0),0.5,(SUMPRODUCT(--ISNUMBER(Risk_Rank_Keys!$B$2:$B$800),--(Risk_Rank_Keys!$B$2:$B$800&lt;Risk_Rank_Keys!B319))+(SUMPRODUCT(--ISNUMBER(Risk_Rank_Keys!$B$2:$B$800),--(Risk_Rank_Keys!$B$2:$B$800=Risk_Rank_Keys!B319))+1)/2)/COUNT(Risk_Rank_Keys!$B$2:$B$800))</f>
        <v/>
      </c>
      <c r="N319">
        <f>IF(OR(B319="NW",COUNT(Risk_Rank_Keys!C319)=0),0.5,(SUMPRODUCT(--ISNUMBER(Risk_Rank_Keys!$C$2:$C$800),--(Risk_Rank_Keys!$C$2:$C$800&lt;Risk_Rank_Keys!C319))+(SUMPRODUCT(--ISNUMBER(Risk_Rank_Keys!$C$2:$C$800),--(Risk_Rank_Keys!$C$2:$C$800=Risk_Rank_Keys!C319))+1)/2)/COUNT(Risk_Rank_Keys!$C$2:$C$800))</f>
        <v/>
      </c>
      <c r="O319">
        <f>IF(OR(B319="NW",COUNT(Risk_Rank_Keys!D319)=0),0.5,(SUMPRODUCT(--ISNUMBER(Risk_Rank_Keys!$D$2:$D$800),--(Risk_Rank_Keys!$D$2:$D$800&lt;Risk_Rank_Keys!D319))+(SUMPRODUCT(--ISNUMBER(Risk_Rank_Keys!$D$2:$D$800),--(Risk_Rank_Keys!$D$2:$D$800=Risk_Rank_Keys!D319))+1)/2)/COUNT(Risk_Rank_Keys!$D$2:$D$800))</f>
        <v/>
      </c>
      <c r="P319">
        <f>AVERAGE(M319:O319)</f>
        <v/>
      </c>
      <c r="Q319">
        <f>0.4*H319+0.4*I319+0.2*P319</f>
        <v/>
      </c>
      <c r="R319">
        <f>PERCENTILE($Q$2:$Q$800,0.75)</f>
        <v/>
      </c>
      <c r="S319">
        <f>OR(Q319&gt;=R319,AND(B319="CW",COUNT(J319:L319)&lt;3))</f>
        <v/>
      </c>
      <c r="T319" t="n">
        <v>0.1872925959603818</v>
      </c>
      <c r="U319" t="n">
        <v>6.135673374765155</v>
      </c>
      <c r="V319" t="n">
        <v>0.3143478394948591</v>
      </c>
      <c r="W319">
        <f>Q319-V319</f>
        <v/>
      </c>
    </row>
    <row r="320">
      <c r="A320" t="inlineStr">
        <is>
          <t>2022-09-26</t>
        </is>
      </c>
      <c r="B320" t="inlineStr">
        <is>
          <t>CW</t>
        </is>
      </c>
      <c r="C320" t="n">
        <v>35.41075133761148</v>
      </c>
      <c r="D320">
        <f>SUMPRODUCT(Risk_Inputs!B320:AJ320,Risk_Coefs!$B$2:$AJ$2)</f>
        <v/>
      </c>
      <c r="E320">
        <f>1/(1+EXP(-MAX(-25,MIN(25,D320))))</f>
        <v/>
      </c>
      <c r="F320">
        <f>SUMPRODUCT(Risk_Inputs!B320:AJ320,Risk_Coefs!$B$3:$AJ$3)</f>
        <v/>
      </c>
      <c r="G320">
        <f>MAX(0,F320)</f>
        <v/>
      </c>
      <c r="H320">
        <f>(SUMPRODUCT(--ISNUMBER($E$2:$E$800),--($E$2:$E$800&lt;E320))+(SUMPRODUCT(--ISNUMBER($E$2:$E$800),--($E$2:$E$800=E320))+1)/2)/COUNT($E$2:$E$800)</f>
        <v/>
      </c>
      <c r="I320">
        <f>(SUMPRODUCT(--ISNUMBER($G$2:$G$800),--($G$2:$G$800&lt;G320))+(SUMPRODUCT(--ISNUMBER($G$2:$G$800),--($G$2:$G$800=G320))+1)/2)/COUNT($G$2:$G$800)</f>
        <v/>
      </c>
      <c r="J320" t="n">
        <v>9.661892154603647</v>
      </c>
      <c r="K320" t="n">
        <v>1.569835680751164</v>
      </c>
      <c r="L320" t="n">
        <v>0.1467136150234741</v>
      </c>
      <c r="M320">
        <f>IF(OR(B320="NW",COUNT(Risk_Rank_Keys!B320)=0),0.5,(SUMPRODUCT(--ISNUMBER(Risk_Rank_Keys!$B$2:$B$800),--(Risk_Rank_Keys!$B$2:$B$800&lt;Risk_Rank_Keys!B320))+(SUMPRODUCT(--ISNUMBER(Risk_Rank_Keys!$B$2:$B$800),--(Risk_Rank_Keys!$B$2:$B$800=Risk_Rank_Keys!B320))+1)/2)/COUNT(Risk_Rank_Keys!$B$2:$B$800))</f>
        <v/>
      </c>
      <c r="N320">
        <f>IF(OR(B320="NW",COUNT(Risk_Rank_Keys!C320)=0),0.5,(SUMPRODUCT(--ISNUMBER(Risk_Rank_Keys!$C$2:$C$800),--(Risk_Rank_Keys!$C$2:$C$800&lt;Risk_Rank_Keys!C320))+(SUMPRODUCT(--ISNUMBER(Risk_Rank_Keys!$C$2:$C$800),--(Risk_Rank_Keys!$C$2:$C$800=Risk_Rank_Keys!C320))+1)/2)/COUNT(Risk_Rank_Keys!$C$2:$C$800))</f>
        <v/>
      </c>
      <c r="O320">
        <f>IF(OR(B320="NW",COUNT(Risk_Rank_Keys!D320)=0),0.5,(SUMPRODUCT(--ISNUMBER(Risk_Rank_Keys!$D$2:$D$800),--(Risk_Rank_Keys!$D$2:$D$800&lt;Risk_Rank_Keys!D320))+(SUMPRODUCT(--ISNUMBER(Risk_Rank_Keys!$D$2:$D$800),--(Risk_Rank_Keys!$D$2:$D$800=Risk_Rank_Keys!D320))+1)/2)/COUNT(Risk_Rank_Keys!$D$2:$D$800))</f>
        <v/>
      </c>
      <c r="P320">
        <f>AVERAGE(M320:O320)</f>
        <v/>
      </c>
      <c r="Q320">
        <f>0.4*H320+0.4*I320+0.2*P320</f>
        <v/>
      </c>
      <c r="R320">
        <f>PERCENTILE($Q$2:$Q$800,0.75)</f>
        <v/>
      </c>
      <c r="S320">
        <f>OR(Q320&gt;=R320,AND(B320="CW",COUNT(J320:L320)&lt;3))</f>
        <v/>
      </c>
      <c r="T320" t="n">
        <v>0.3818068002752627</v>
      </c>
      <c r="U320" t="n">
        <v>7.990514989043751</v>
      </c>
      <c r="V320" t="n">
        <v>0.6282244949375935</v>
      </c>
      <c r="W320">
        <f>Q320-V320</f>
        <v/>
      </c>
    </row>
    <row r="321">
      <c r="A321" t="inlineStr">
        <is>
          <t>2022-09-27</t>
        </is>
      </c>
      <c r="B321" t="inlineStr">
        <is>
          <t>CW</t>
        </is>
      </c>
      <c r="C321" t="n">
        <v>15.93949845675118</v>
      </c>
      <c r="D321">
        <f>SUMPRODUCT(Risk_Inputs!B321:AJ321,Risk_Coefs!$B$2:$AJ$2)</f>
        <v/>
      </c>
      <c r="E321">
        <f>1/(1+EXP(-MAX(-25,MIN(25,D321))))</f>
        <v/>
      </c>
      <c r="F321">
        <f>SUMPRODUCT(Risk_Inputs!B321:AJ321,Risk_Coefs!$B$3:$AJ$3)</f>
        <v/>
      </c>
      <c r="G321">
        <f>MAX(0,F321)</f>
        <v/>
      </c>
      <c r="H321">
        <f>(SUMPRODUCT(--ISNUMBER($E$2:$E$800),--($E$2:$E$800&lt;E321))+(SUMPRODUCT(--ISNUMBER($E$2:$E$800),--($E$2:$E$800=E321))+1)/2)/COUNT($E$2:$E$800)</f>
        <v/>
      </c>
      <c r="I321">
        <f>(SUMPRODUCT(--ISNUMBER($G$2:$G$800),--($G$2:$G$800&lt;G321))+(SUMPRODUCT(--ISNUMBER($G$2:$G$800),--($G$2:$G$800=G321))+1)/2)/COUNT($G$2:$G$800)</f>
        <v/>
      </c>
      <c r="J321" t="n">
        <v>3.295174041090928</v>
      </c>
      <c r="K321" t="n">
        <v>1.060405226282905</v>
      </c>
      <c r="L321" t="n">
        <v>0.2082938837341455</v>
      </c>
      <c r="M321">
        <f>IF(OR(B321="NW",COUNT(Risk_Rank_Keys!B321)=0),0.5,(SUMPRODUCT(--ISNUMBER(Risk_Rank_Keys!$B$2:$B$800),--(Risk_Rank_Keys!$B$2:$B$800&lt;Risk_Rank_Keys!B321))+(SUMPRODUCT(--ISNUMBER(Risk_Rank_Keys!$B$2:$B$800),--(Risk_Rank_Keys!$B$2:$B$800=Risk_Rank_Keys!B321))+1)/2)/COUNT(Risk_Rank_Keys!$B$2:$B$800))</f>
        <v/>
      </c>
      <c r="N321">
        <f>IF(OR(B321="NW",COUNT(Risk_Rank_Keys!C321)=0),0.5,(SUMPRODUCT(--ISNUMBER(Risk_Rank_Keys!$C$2:$C$800),--(Risk_Rank_Keys!$C$2:$C$800&lt;Risk_Rank_Keys!C321))+(SUMPRODUCT(--ISNUMBER(Risk_Rank_Keys!$C$2:$C$800),--(Risk_Rank_Keys!$C$2:$C$800=Risk_Rank_Keys!C321))+1)/2)/COUNT(Risk_Rank_Keys!$C$2:$C$800))</f>
        <v/>
      </c>
      <c r="O321">
        <f>IF(OR(B321="NW",COUNT(Risk_Rank_Keys!D321)=0),0.5,(SUMPRODUCT(--ISNUMBER(Risk_Rank_Keys!$D$2:$D$800),--(Risk_Rank_Keys!$D$2:$D$800&lt;Risk_Rank_Keys!D321))+(SUMPRODUCT(--ISNUMBER(Risk_Rank_Keys!$D$2:$D$800),--(Risk_Rank_Keys!$D$2:$D$800=Risk_Rank_Keys!D321))+1)/2)/COUNT(Risk_Rank_Keys!$D$2:$D$800))</f>
        <v/>
      </c>
      <c r="P321">
        <f>AVERAGE(M321:O321)</f>
        <v/>
      </c>
      <c r="Q321">
        <f>0.4*H321+0.4*I321+0.2*P321</f>
        <v/>
      </c>
      <c r="R321">
        <f>PERCENTILE($Q$2:$Q$800,0.75)</f>
        <v/>
      </c>
      <c r="S321">
        <f>OR(Q321&gt;=R321,AND(B321="CW",COUNT(J321:L321)&lt;3))</f>
        <v/>
      </c>
      <c r="T321" t="n">
        <v>0.3635893460355419</v>
      </c>
      <c r="U321" t="n">
        <v>9.839590066804334</v>
      </c>
      <c r="V321" t="n">
        <v>0.6793226540148688</v>
      </c>
      <c r="W321">
        <f>Q321-V321</f>
        <v/>
      </c>
    </row>
    <row r="322">
      <c r="A322" t="inlineStr">
        <is>
          <t>2022-09-28</t>
        </is>
      </c>
      <c r="B322" t="inlineStr">
        <is>
          <t>CW</t>
        </is>
      </c>
      <c r="C322" t="n">
        <v>54.29476032877156</v>
      </c>
      <c r="D322">
        <f>SUMPRODUCT(Risk_Inputs!B322:AJ322,Risk_Coefs!$B$2:$AJ$2)</f>
        <v/>
      </c>
      <c r="E322">
        <f>1/(1+EXP(-MAX(-25,MIN(25,D322))))</f>
        <v/>
      </c>
      <c r="F322">
        <f>SUMPRODUCT(Risk_Inputs!B322:AJ322,Risk_Coefs!$B$3:$AJ$3)</f>
        <v/>
      </c>
      <c r="G322">
        <f>MAX(0,F322)</f>
        <v/>
      </c>
      <c r="H322">
        <f>(SUMPRODUCT(--ISNUMBER($E$2:$E$800),--($E$2:$E$800&lt;E322))+(SUMPRODUCT(--ISNUMBER($E$2:$E$800),--($E$2:$E$800=E322))+1)/2)/COUNT($E$2:$E$800)</f>
        <v/>
      </c>
      <c r="I322">
        <f>(SUMPRODUCT(--ISNUMBER($G$2:$G$800),--($G$2:$G$800&lt;G322))+(SUMPRODUCT(--ISNUMBER($G$2:$G$800),--($G$2:$G$800=G322))+1)/2)/COUNT($G$2:$G$800)</f>
        <v/>
      </c>
      <c r="J322" t="n">
        <v>35.09738413420529</v>
      </c>
      <c r="K322" t="n">
        <v>7.024504084014008</v>
      </c>
      <c r="L322" t="n">
        <v>0.2800466744457383</v>
      </c>
      <c r="M322">
        <f>IF(OR(B322="NW",COUNT(Risk_Rank_Keys!B322)=0),0.5,(SUMPRODUCT(--ISNUMBER(Risk_Rank_Keys!$B$2:$B$800),--(Risk_Rank_Keys!$B$2:$B$800&lt;Risk_Rank_Keys!B322))+(SUMPRODUCT(--ISNUMBER(Risk_Rank_Keys!$B$2:$B$800),--(Risk_Rank_Keys!$B$2:$B$800=Risk_Rank_Keys!B322))+1)/2)/COUNT(Risk_Rank_Keys!$B$2:$B$800))</f>
        <v/>
      </c>
      <c r="N322">
        <f>IF(OR(B322="NW",COUNT(Risk_Rank_Keys!C322)=0),0.5,(SUMPRODUCT(--ISNUMBER(Risk_Rank_Keys!$C$2:$C$800),--(Risk_Rank_Keys!$C$2:$C$800&lt;Risk_Rank_Keys!C322))+(SUMPRODUCT(--ISNUMBER(Risk_Rank_Keys!$C$2:$C$800),--(Risk_Rank_Keys!$C$2:$C$800=Risk_Rank_Keys!C322))+1)/2)/COUNT(Risk_Rank_Keys!$C$2:$C$800))</f>
        <v/>
      </c>
      <c r="O322">
        <f>IF(OR(B322="NW",COUNT(Risk_Rank_Keys!D322)=0),0.5,(SUMPRODUCT(--ISNUMBER(Risk_Rank_Keys!$D$2:$D$800),--(Risk_Rank_Keys!$D$2:$D$800&lt;Risk_Rank_Keys!D322))+(SUMPRODUCT(--ISNUMBER(Risk_Rank_Keys!$D$2:$D$800),--(Risk_Rank_Keys!$D$2:$D$800=Risk_Rank_Keys!D322))+1)/2)/COUNT(Risk_Rank_Keys!$D$2:$D$800))</f>
        <v/>
      </c>
      <c r="P322">
        <f>AVERAGE(M322:O322)</f>
        <v/>
      </c>
      <c r="Q322">
        <f>0.4*H322+0.4*I322+0.2*P322</f>
        <v/>
      </c>
      <c r="R322">
        <f>PERCENTILE($Q$2:$Q$800,0.75)</f>
        <v/>
      </c>
      <c r="S322">
        <f>OR(Q322&gt;=R322,AND(B322="CW",COUNT(J322:L322)&lt;3))</f>
        <v/>
      </c>
      <c r="T322" t="n">
        <v>0.2377161170595182</v>
      </c>
      <c r="U322" t="n">
        <v>6.006398560365537</v>
      </c>
      <c r="V322" t="n">
        <v>0.3525021106694852</v>
      </c>
      <c r="W322">
        <f>Q322-V322</f>
        <v/>
      </c>
    </row>
    <row r="323">
      <c r="A323" t="inlineStr">
        <is>
          <t>2022-09-29</t>
        </is>
      </c>
      <c r="B323" t="inlineStr">
        <is>
          <t>CW</t>
        </is>
      </c>
      <c r="C323" t="n">
        <v>-19.09803336204484</v>
      </c>
      <c r="D323">
        <f>SUMPRODUCT(Risk_Inputs!B323:AJ323,Risk_Coefs!$B$2:$AJ$2)</f>
        <v/>
      </c>
      <c r="E323">
        <f>1/(1+EXP(-MAX(-25,MIN(25,D323))))</f>
        <v/>
      </c>
      <c r="F323">
        <f>SUMPRODUCT(Risk_Inputs!B323:AJ323,Risk_Coefs!$B$3:$AJ$3)</f>
        <v/>
      </c>
      <c r="G323">
        <f>MAX(0,F323)</f>
        <v/>
      </c>
      <c r="H323">
        <f>(SUMPRODUCT(--ISNUMBER($E$2:$E$800),--($E$2:$E$800&lt;E323))+(SUMPRODUCT(--ISNUMBER($E$2:$E$800),--($E$2:$E$800=E323))+1)/2)/COUNT($E$2:$E$800)</f>
        <v/>
      </c>
      <c r="I323">
        <f>(SUMPRODUCT(--ISNUMBER($G$2:$G$800),--($G$2:$G$800&lt;G323))+(SUMPRODUCT(--ISNUMBER($G$2:$G$800),--($G$2:$G$800=G323))+1)/2)/COUNT($G$2:$G$800)</f>
        <v/>
      </c>
      <c r="J323" t="n">
        <v>7.058034690240501</v>
      </c>
      <c r="K323" t="n">
        <v>6.594948550046784</v>
      </c>
      <c r="L323" t="n">
        <v>0.2806361085126326</v>
      </c>
      <c r="M323">
        <f>IF(OR(B323="NW",COUNT(Risk_Rank_Keys!B323)=0),0.5,(SUMPRODUCT(--ISNUMBER(Risk_Rank_Keys!$B$2:$B$800),--(Risk_Rank_Keys!$B$2:$B$800&lt;Risk_Rank_Keys!B323))+(SUMPRODUCT(--ISNUMBER(Risk_Rank_Keys!$B$2:$B$800),--(Risk_Rank_Keys!$B$2:$B$800=Risk_Rank_Keys!B323))+1)/2)/COUNT(Risk_Rank_Keys!$B$2:$B$800))</f>
        <v/>
      </c>
      <c r="N323">
        <f>IF(OR(B323="NW",COUNT(Risk_Rank_Keys!C323)=0),0.5,(SUMPRODUCT(--ISNUMBER(Risk_Rank_Keys!$C$2:$C$800),--(Risk_Rank_Keys!$C$2:$C$800&lt;Risk_Rank_Keys!C323))+(SUMPRODUCT(--ISNUMBER(Risk_Rank_Keys!$C$2:$C$800),--(Risk_Rank_Keys!$C$2:$C$800=Risk_Rank_Keys!C323))+1)/2)/COUNT(Risk_Rank_Keys!$C$2:$C$800))</f>
        <v/>
      </c>
      <c r="O323">
        <f>IF(OR(B323="NW",COUNT(Risk_Rank_Keys!D323)=0),0.5,(SUMPRODUCT(--ISNUMBER(Risk_Rank_Keys!$D$2:$D$800),--(Risk_Rank_Keys!$D$2:$D$800&lt;Risk_Rank_Keys!D323))+(SUMPRODUCT(--ISNUMBER(Risk_Rank_Keys!$D$2:$D$800),--(Risk_Rank_Keys!$D$2:$D$800=Risk_Rank_Keys!D323))+1)/2)/COUNT(Risk_Rank_Keys!$D$2:$D$800))</f>
        <v/>
      </c>
      <c r="P323">
        <f>AVERAGE(M323:O323)</f>
        <v/>
      </c>
      <c r="Q323">
        <f>0.4*H323+0.4*I323+0.2*P323</f>
        <v/>
      </c>
      <c r="R323">
        <f>PERCENTILE($Q$2:$Q$800,0.75)</f>
        <v/>
      </c>
      <c r="S323">
        <f>OR(Q323&gt;=R323,AND(B323="CW",COUNT(J323:L323)&lt;3))</f>
        <v/>
      </c>
      <c r="T323" t="n">
        <v>0.2576349619396139</v>
      </c>
      <c r="U323" t="n">
        <v>8.886639755387831</v>
      </c>
      <c r="V323" t="n">
        <v>0.5107827136314629</v>
      </c>
      <c r="W323">
        <f>Q323-V323</f>
        <v/>
      </c>
    </row>
    <row r="324">
      <c r="A324" t="inlineStr">
        <is>
          <t>2022-09-30</t>
        </is>
      </c>
      <c r="B324" t="inlineStr">
        <is>
          <t>CW</t>
        </is>
      </c>
      <c r="C324" t="n">
        <v>42.92791049175777</v>
      </c>
      <c r="D324">
        <f>SUMPRODUCT(Risk_Inputs!B324:AJ324,Risk_Coefs!$B$2:$AJ$2)</f>
        <v/>
      </c>
      <c r="E324">
        <f>1/(1+EXP(-MAX(-25,MIN(25,D324))))</f>
        <v/>
      </c>
      <c r="F324">
        <f>SUMPRODUCT(Risk_Inputs!B324:AJ324,Risk_Coefs!$B$3:$AJ$3)</f>
        <v/>
      </c>
      <c r="G324">
        <f>MAX(0,F324)</f>
        <v/>
      </c>
      <c r="H324">
        <f>(SUMPRODUCT(--ISNUMBER($E$2:$E$800),--($E$2:$E$800&lt;E324))+(SUMPRODUCT(--ISNUMBER($E$2:$E$800),--($E$2:$E$800=E324))+1)/2)/COUNT($E$2:$E$800)</f>
        <v/>
      </c>
      <c r="I324">
        <f>(SUMPRODUCT(--ISNUMBER($G$2:$G$800),--($G$2:$G$800&lt;G324))+(SUMPRODUCT(--ISNUMBER($G$2:$G$800),--($G$2:$G$800=G324))+1)/2)/COUNT($G$2:$G$800)</f>
        <v/>
      </c>
      <c r="J324" t="n">
        <v>25.06496947253335</v>
      </c>
      <c r="K324" t="n">
        <v>7.582260371959935</v>
      </c>
      <c r="L324" t="n">
        <v>0.1820782936662735</v>
      </c>
      <c r="M324">
        <f>IF(OR(B324="NW",COUNT(Risk_Rank_Keys!B324)=0),0.5,(SUMPRODUCT(--ISNUMBER(Risk_Rank_Keys!$B$2:$B$800),--(Risk_Rank_Keys!$B$2:$B$800&lt;Risk_Rank_Keys!B324))+(SUMPRODUCT(--ISNUMBER(Risk_Rank_Keys!$B$2:$B$800),--(Risk_Rank_Keys!$B$2:$B$800=Risk_Rank_Keys!B324))+1)/2)/COUNT(Risk_Rank_Keys!$B$2:$B$800))</f>
        <v/>
      </c>
      <c r="N324">
        <f>IF(OR(B324="NW",COUNT(Risk_Rank_Keys!C324)=0),0.5,(SUMPRODUCT(--ISNUMBER(Risk_Rank_Keys!$C$2:$C$800),--(Risk_Rank_Keys!$C$2:$C$800&lt;Risk_Rank_Keys!C324))+(SUMPRODUCT(--ISNUMBER(Risk_Rank_Keys!$C$2:$C$800),--(Risk_Rank_Keys!$C$2:$C$800=Risk_Rank_Keys!C324))+1)/2)/COUNT(Risk_Rank_Keys!$C$2:$C$800))</f>
        <v/>
      </c>
      <c r="O324">
        <f>IF(OR(B324="NW",COUNT(Risk_Rank_Keys!D324)=0),0.5,(SUMPRODUCT(--ISNUMBER(Risk_Rank_Keys!$D$2:$D$800),--(Risk_Rank_Keys!$D$2:$D$800&lt;Risk_Rank_Keys!D324))+(SUMPRODUCT(--ISNUMBER(Risk_Rank_Keys!$D$2:$D$800),--(Risk_Rank_Keys!$D$2:$D$800=Risk_Rank_Keys!D324))+1)/2)/COUNT(Risk_Rank_Keys!$D$2:$D$800))</f>
        <v/>
      </c>
      <c r="P324">
        <f>AVERAGE(M324:O324)</f>
        <v/>
      </c>
      <c r="Q324">
        <f>0.4*H324+0.4*I324+0.2*P324</f>
        <v/>
      </c>
      <c r="R324">
        <f>PERCENTILE($Q$2:$Q$800,0.75)</f>
        <v/>
      </c>
      <c r="S324">
        <f>OR(Q324&gt;=R324,AND(B324="CW",COUNT(J324:L324)&lt;3))</f>
        <v/>
      </c>
      <c r="T324" t="n">
        <v>0.2337734862230153</v>
      </c>
      <c r="U324" t="n">
        <v>8.216021474379842</v>
      </c>
      <c r="V324" t="n">
        <v>0.4297747824017586</v>
      </c>
      <c r="W324">
        <f>Q324-V324</f>
        <v/>
      </c>
    </row>
    <row r="325">
      <c r="A325" t="inlineStr">
        <is>
          <t>2022-10-03</t>
        </is>
      </c>
      <c r="B325" t="inlineStr">
        <is>
          <t>CW</t>
        </is>
      </c>
      <c r="C325" t="n">
        <v>31.62727654179957</v>
      </c>
      <c r="D325">
        <f>SUMPRODUCT(Risk_Inputs!B325:AJ325,Risk_Coefs!$B$2:$AJ$2)</f>
        <v/>
      </c>
      <c r="E325">
        <f>1/(1+EXP(-MAX(-25,MIN(25,D325))))</f>
        <v/>
      </c>
      <c r="F325">
        <f>SUMPRODUCT(Risk_Inputs!B325:AJ325,Risk_Coefs!$B$3:$AJ$3)</f>
        <v/>
      </c>
      <c r="G325">
        <f>MAX(0,F325)</f>
        <v/>
      </c>
      <c r="H325">
        <f>(SUMPRODUCT(--ISNUMBER($E$2:$E$800),--($E$2:$E$800&lt;E325))+(SUMPRODUCT(--ISNUMBER($E$2:$E$800),--($E$2:$E$800=E325))+1)/2)/COUNT($E$2:$E$800)</f>
        <v/>
      </c>
      <c r="I325">
        <f>(SUMPRODUCT(--ISNUMBER($G$2:$G$800),--($G$2:$G$800&lt;G325))+(SUMPRODUCT(--ISNUMBER($G$2:$G$800),--($G$2:$G$800=G325))+1)/2)/COUNT($G$2:$G$800)</f>
        <v/>
      </c>
      <c r="J325" t="n">
        <v>42.41088438564217</v>
      </c>
      <c r="K325" t="n">
        <v>30.13407455853498</v>
      </c>
      <c r="L325" t="n">
        <v>0.2616088947024236</v>
      </c>
      <c r="M325">
        <f>IF(OR(B325="NW",COUNT(Risk_Rank_Keys!B325)=0),0.5,(SUMPRODUCT(--ISNUMBER(Risk_Rank_Keys!$B$2:$B$800),--(Risk_Rank_Keys!$B$2:$B$800&lt;Risk_Rank_Keys!B325))+(SUMPRODUCT(--ISNUMBER(Risk_Rank_Keys!$B$2:$B$800),--(Risk_Rank_Keys!$B$2:$B$800=Risk_Rank_Keys!B325))+1)/2)/COUNT(Risk_Rank_Keys!$B$2:$B$800))</f>
        <v/>
      </c>
      <c r="N325">
        <f>IF(OR(B325="NW",COUNT(Risk_Rank_Keys!C325)=0),0.5,(SUMPRODUCT(--ISNUMBER(Risk_Rank_Keys!$C$2:$C$800),--(Risk_Rank_Keys!$C$2:$C$800&lt;Risk_Rank_Keys!C325))+(SUMPRODUCT(--ISNUMBER(Risk_Rank_Keys!$C$2:$C$800),--(Risk_Rank_Keys!$C$2:$C$800=Risk_Rank_Keys!C325))+1)/2)/COUNT(Risk_Rank_Keys!$C$2:$C$800))</f>
        <v/>
      </c>
      <c r="O325">
        <f>IF(OR(B325="NW",COUNT(Risk_Rank_Keys!D325)=0),0.5,(SUMPRODUCT(--ISNUMBER(Risk_Rank_Keys!$D$2:$D$800),--(Risk_Rank_Keys!$D$2:$D$800&lt;Risk_Rank_Keys!D325))+(SUMPRODUCT(--ISNUMBER(Risk_Rank_Keys!$D$2:$D$800),--(Risk_Rank_Keys!$D$2:$D$800=Risk_Rank_Keys!D325))+1)/2)/COUNT(Risk_Rank_Keys!$D$2:$D$800))</f>
        <v/>
      </c>
      <c r="P325">
        <f>AVERAGE(M325:O325)</f>
        <v/>
      </c>
      <c r="Q325">
        <f>0.4*H325+0.4*I325+0.2*P325</f>
        <v/>
      </c>
      <c r="R325">
        <f>PERCENTILE($Q$2:$Q$800,0.75)</f>
        <v/>
      </c>
      <c r="S325">
        <f>OR(Q325&gt;=R325,AND(B325="CW",COUNT(J325:L325)&lt;3))</f>
        <v/>
      </c>
      <c r="T325" t="n">
        <v>0.1536109801598861</v>
      </c>
      <c r="U325" t="n">
        <v>3.01322035006767</v>
      </c>
      <c r="V325" t="n">
        <v>0.1937831401292527</v>
      </c>
      <c r="W325">
        <f>Q325-V325</f>
        <v/>
      </c>
    </row>
    <row r="326">
      <c r="A326" t="inlineStr">
        <is>
          <t>2022-10-06</t>
        </is>
      </c>
      <c r="B326" t="inlineStr">
        <is>
          <t>CW</t>
        </is>
      </c>
      <c r="C326" t="n">
        <v>44.94165530626252</v>
      </c>
      <c r="D326">
        <f>SUMPRODUCT(Risk_Inputs!B326:AJ326,Risk_Coefs!$B$2:$AJ$2)</f>
        <v/>
      </c>
      <c r="E326">
        <f>1/(1+EXP(-MAX(-25,MIN(25,D326))))</f>
        <v/>
      </c>
      <c r="F326">
        <f>SUMPRODUCT(Risk_Inputs!B326:AJ326,Risk_Coefs!$B$3:$AJ$3)</f>
        <v/>
      </c>
      <c r="G326">
        <f>MAX(0,F326)</f>
        <v/>
      </c>
      <c r="H326">
        <f>(SUMPRODUCT(--ISNUMBER($E$2:$E$800),--($E$2:$E$800&lt;E326))+(SUMPRODUCT(--ISNUMBER($E$2:$E$800),--($E$2:$E$800=E326))+1)/2)/COUNT($E$2:$E$800)</f>
        <v/>
      </c>
      <c r="I326">
        <f>(SUMPRODUCT(--ISNUMBER($G$2:$G$800),--($G$2:$G$800&lt;G326))+(SUMPRODUCT(--ISNUMBER($G$2:$G$800),--($G$2:$G$800=G326))+1)/2)/COUNT($G$2:$G$800)</f>
        <v/>
      </c>
      <c r="J326" t="n">
        <v>10.81006486038665</v>
      </c>
      <c r="K326" t="n">
        <v>5.614035087719303</v>
      </c>
      <c r="L326" t="n">
        <v>0.219298245614035</v>
      </c>
      <c r="M326">
        <f>IF(OR(B326="NW",COUNT(Risk_Rank_Keys!B326)=0),0.5,(SUMPRODUCT(--ISNUMBER(Risk_Rank_Keys!$B$2:$B$800),--(Risk_Rank_Keys!$B$2:$B$800&lt;Risk_Rank_Keys!B326))+(SUMPRODUCT(--ISNUMBER(Risk_Rank_Keys!$B$2:$B$800),--(Risk_Rank_Keys!$B$2:$B$800=Risk_Rank_Keys!B326))+1)/2)/COUNT(Risk_Rank_Keys!$B$2:$B$800))</f>
        <v/>
      </c>
      <c r="N326">
        <f>IF(OR(B326="NW",COUNT(Risk_Rank_Keys!C326)=0),0.5,(SUMPRODUCT(--ISNUMBER(Risk_Rank_Keys!$C$2:$C$800),--(Risk_Rank_Keys!$C$2:$C$800&lt;Risk_Rank_Keys!C326))+(SUMPRODUCT(--ISNUMBER(Risk_Rank_Keys!$C$2:$C$800),--(Risk_Rank_Keys!$C$2:$C$800=Risk_Rank_Keys!C326))+1)/2)/COUNT(Risk_Rank_Keys!$C$2:$C$800))</f>
        <v/>
      </c>
      <c r="O326">
        <f>IF(OR(B326="NW",COUNT(Risk_Rank_Keys!D326)=0),0.5,(SUMPRODUCT(--ISNUMBER(Risk_Rank_Keys!$D$2:$D$800),--(Risk_Rank_Keys!$D$2:$D$800&lt;Risk_Rank_Keys!D326))+(SUMPRODUCT(--ISNUMBER(Risk_Rank_Keys!$D$2:$D$800),--(Risk_Rank_Keys!$D$2:$D$800=Risk_Rank_Keys!D326))+1)/2)/COUNT(Risk_Rank_Keys!$D$2:$D$800))</f>
        <v/>
      </c>
      <c r="P326">
        <f>AVERAGE(M326:O326)</f>
        <v/>
      </c>
      <c r="Q326">
        <f>0.4*H326+0.4*I326+0.2*P326</f>
        <v/>
      </c>
      <c r="R326">
        <f>PERCENTILE($Q$2:$Q$800,0.75)</f>
        <v/>
      </c>
      <c r="S326">
        <f>OR(Q326&gt;=R326,AND(B326="CW",COUNT(J326:L326)&lt;3))</f>
        <v/>
      </c>
      <c r="T326" t="n">
        <v>0.3077885675326755</v>
      </c>
      <c r="U326" t="n">
        <v>7.641283968206587</v>
      </c>
      <c r="V326" t="n">
        <v>0.5558958228236248</v>
      </c>
      <c r="W326">
        <f>Q326-V326</f>
        <v/>
      </c>
    </row>
    <row r="327">
      <c r="A327" t="inlineStr">
        <is>
          <t>2022-10-10</t>
        </is>
      </c>
      <c r="B327" t="inlineStr">
        <is>
          <t>CW</t>
        </is>
      </c>
      <c r="C327" t="n">
        <v>-21.60989269485659</v>
      </c>
      <c r="D327">
        <f>SUMPRODUCT(Risk_Inputs!B327:AJ327,Risk_Coefs!$B$2:$AJ$2)</f>
        <v/>
      </c>
      <c r="E327">
        <f>1/(1+EXP(-MAX(-25,MIN(25,D327))))</f>
        <v/>
      </c>
      <c r="F327">
        <f>SUMPRODUCT(Risk_Inputs!B327:AJ327,Risk_Coefs!$B$3:$AJ$3)</f>
        <v/>
      </c>
      <c r="G327">
        <f>MAX(0,F327)</f>
        <v/>
      </c>
      <c r="H327">
        <f>(SUMPRODUCT(--ISNUMBER($E$2:$E$800),--($E$2:$E$800&lt;E327))+(SUMPRODUCT(--ISNUMBER($E$2:$E$800),--($E$2:$E$800=E327))+1)/2)/COUNT($E$2:$E$800)</f>
        <v/>
      </c>
      <c r="I327">
        <f>(SUMPRODUCT(--ISNUMBER($G$2:$G$800),--($G$2:$G$800&lt;G327))+(SUMPRODUCT(--ISNUMBER($G$2:$G$800),--($G$2:$G$800=G327))+1)/2)/COUNT($G$2:$G$800)</f>
        <v/>
      </c>
      <c r="J327" t="n">
        <v>12.051223550196</v>
      </c>
      <c r="K327" t="n">
        <v>1.850813236118918</v>
      </c>
      <c r="L327" t="n">
        <v>0.1308655823518499</v>
      </c>
      <c r="M327">
        <f>IF(OR(B327="NW",COUNT(Risk_Rank_Keys!B327)=0),0.5,(SUMPRODUCT(--ISNUMBER(Risk_Rank_Keys!$B$2:$B$800),--(Risk_Rank_Keys!$B$2:$B$800&lt;Risk_Rank_Keys!B327))+(SUMPRODUCT(--ISNUMBER(Risk_Rank_Keys!$B$2:$B$800),--(Risk_Rank_Keys!$B$2:$B$800=Risk_Rank_Keys!B327))+1)/2)/COUNT(Risk_Rank_Keys!$B$2:$B$800))</f>
        <v/>
      </c>
      <c r="N327">
        <f>IF(OR(B327="NW",COUNT(Risk_Rank_Keys!C327)=0),0.5,(SUMPRODUCT(--ISNUMBER(Risk_Rank_Keys!$C$2:$C$800),--(Risk_Rank_Keys!$C$2:$C$800&lt;Risk_Rank_Keys!C327))+(SUMPRODUCT(--ISNUMBER(Risk_Rank_Keys!$C$2:$C$800),--(Risk_Rank_Keys!$C$2:$C$800=Risk_Rank_Keys!C327))+1)/2)/COUNT(Risk_Rank_Keys!$C$2:$C$800))</f>
        <v/>
      </c>
      <c r="O327">
        <f>IF(OR(B327="NW",COUNT(Risk_Rank_Keys!D327)=0),0.5,(SUMPRODUCT(--ISNUMBER(Risk_Rank_Keys!$D$2:$D$800),--(Risk_Rank_Keys!$D$2:$D$800&lt;Risk_Rank_Keys!D327))+(SUMPRODUCT(--ISNUMBER(Risk_Rank_Keys!$D$2:$D$800),--(Risk_Rank_Keys!$D$2:$D$800=Risk_Rank_Keys!D327))+1)/2)/COUNT(Risk_Rank_Keys!$D$2:$D$800))</f>
        <v/>
      </c>
      <c r="P327">
        <f>AVERAGE(M327:O327)</f>
        <v/>
      </c>
      <c r="Q327">
        <f>0.4*H327+0.4*I327+0.2*P327</f>
        <v/>
      </c>
      <c r="R327">
        <f>PERCENTILE($Q$2:$Q$800,0.75)</f>
        <v/>
      </c>
      <c r="S327">
        <f>OR(Q327&gt;=R327,AND(B327="CW",COUNT(J327:L327)&lt;3))</f>
        <v/>
      </c>
      <c r="T327" t="n">
        <v>0.3739971298808351</v>
      </c>
      <c r="U327" t="n">
        <v>6.555009232248169</v>
      </c>
      <c r="V327" t="n">
        <v>0.5551839846297878</v>
      </c>
      <c r="W327">
        <f>Q327-V327</f>
        <v/>
      </c>
    </row>
    <row r="328">
      <c r="A328" t="inlineStr">
        <is>
          <t>2022-10-11</t>
        </is>
      </c>
      <c r="B328" t="inlineStr">
        <is>
          <t>CW</t>
        </is>
      </c>
      <c r="C328" t="n">
        <v>-26.99846770194163</v>
      </c>
      <c r="D328">
        <f>SUMPRODUCT(Risk_Inputs!B328:AJ328,Risk_Coefs!$B$2:$AJ$2)</f>
        <v/>
      </c>
      <c r="E328">
        <f>1/(1+EXP(-MAX(-25,MIN(25,D328))))</f>
        <v/>
      </c>
      <c r="F328">
        <f>SUMPRODUCT(Risk_Inputs!B328:AJ328,Risk_Coefs!$B$3:$AJ$3)</f>
        <v/>
      </c>
      <c r="G328">
        <f>MAX(0,F328)</f>
        <v/>
      </c>
      <c r="H328">
        <f>(SUMPRODUCT(--ISNUMBER($E$2:$E$800),--($E$2:$E$800&lt;E328))+(SUMPRODUCT(--ISNUMBER($E$2:$E$800),--($E$2:$E$800=E328))+1)/2)/COUNT($E$2:$E$800)</f>
        <v/>
      </c>
      <c r="I328">
        <f>(SUMPRODUCT(--ISNUMBER($G$2:$G$800),--($G$2:$G$800&lt;G328))+(SUMPRODUCT(--ISNUMBER($G$2:$G$800),--($G$2:$G$800=G328))+1)/2)/COUNT($G$2:$G$800)</f>
        <v/>
      </c>
      <c r="J328" t="n">
        <v>3.88481097327744</v>
      </c>
      <c r="K328" t="n">
        <v>1.391035548686247</v>
      </c>
      <c r="L328" t="n">
        <v>0.1545595054095802</v>
      </c>
      <c r="M328">
        <f>IF(OR(B328="NW",COUNT(Risk_Rank_Keys!B328)=0),0.5,(SUMPRODUCT(--ISNUMBER(Risk_Rank_Keys!$B$2:$B$800),--(Risk_Rank_Keys!$B$2:$B$800&lt;Risk_Rank_Keys!B328))+(SUMPRODUCT(--ISNUMBER(Risk_Rank_Keys!$B$2:$B$800),--(Risk_Rank_Keys!$B$2:$B$800=Risk_Rank_Keys!B328))+1)/2)/COUNT(Risk_Rank_Keys!$B$2:$B$800))</f>
        <v/>
      </c>
      <c r="N328">
        <f>IF(OR(B328="NW",COUNT(Risk_Rank_Keys!C328)=0),0.5,(SUMPRODUCT(--ISNUMBER(Risk_Rank_Keys!$C$2:$C$800),--(Risk_Rank_Keys!$C$2:$C$800&lt;Risk_Rank_Keys!C328))+(SUMPRODUCT(--ISNUMBER(Risk_Rank_Keys!$C$2:$C$800),--(Risk_Rank_Keys!$C$2:$C$800=Risk_Rank_Keys!C328))+1)/2)/COUNT(Risk_Rank_Keys!$C$2:$C$800))</f>
        <v/>
      </c>
      <c r="O328">
        <f>IF(OR(B328="NW",COUNT(Risk_Rank_Keys!D328)=0),0.5,(SUMPRODUCT(--ISNUMBER(Risk_Rank_Keys!$D$2:$D$800),--(Risk_Rank_Keys!$D$2:$D$800&lt;Risk_Rank_Keys!D328))+(SUMPRODUCT(--ISNUMBER(Risk_Rank_Keys!$D$2:$D$800),--(Risk_Rank_Keys!$D$2:$D$800=Risk_Rank_Keys!D328))+1)/2)/COUNT(Risk_Rank_Keys!$D$2:$D$800))</f>
        <v/>
      </c>
      <c r="P328">
        <f>AVERAGE(M328:O328)</f>
        <v/>
      </c>
      <c r="Q328">
        <f>0.4*H328+0.4*I328+0.2*P328</f>
        <v/>
      </c>
      <c r="R328">
        <f>PERCENTILE($Q$2:$Q$800,0.75)</f>
        <v/>
      </c>
      <c r="S328">
        <f>OR(Q328&gt;=R328,AND(B328="CW",COUNT(J328:L328)&lt;3))</f>
        <v/>
      </c>
      <c r="T328" t="n">
        <v>0.3591540274668865</v>
      </c>
      <c r="U328" t="n">
        <v>9.432565591655528</v>
      </c>
      <c r="V328" t="n">
        <v>0.6459016355288368</v>
      </c>
      <c r="W328">
        <f>Q328-V328</f>
        <v/>
      </c>
    </row>
    <row r="329">
      <c r="A329" t="inlineStr">
        <is>
          <t>2022-10-12</t>
        </is>
      </c>
      <c r="B329" t="inlineStr">
        <is>
          <t>CW</t>
        </is>
      </c>
      <c r="C329" t="n">
        <v>26.23136531032429</v>
      </c>
      <c r="D329">
        <f>SUMPRODUCT(Risk_Inputs!B329:AJ329,Risk_Coefs!$B$2:$AJ$2)</f>
        <v/>
      </c>
      <c r="E329">
        <f>1/(1+EXP(-MAX(-25,MIN(25,D329))))</f>
        <v/>
      </c>
      <c r="F329">
        <f>SUMPRODUCT(Risk_Inputs!B329:AJ329,Risk_Coefs!$B$3:$AJ$3)</f>
        <v/>
      </c>
      <c r="G329">
        <f>MAX(0,F329)</f>
        <v/>
      </c>
      <c r="H329">
        <f>(SUMPRODUCT(--ISNUMBER($E$2:$E$800),--($E$2:$E$800&lt;E329))+(SUMPRODUCT(--ISNUMBER($E$2:$E$800),--($E$2:$E$800=E329))+1)/2)/COUNT($E$2:$E$800)</f>
        <v/>
      </c>
      <c r="I329">
        <f>(SUMPRODUCT(--ISNUMBER($G$2:$G$800),--($G$2:$G$800&lt;G329))+(SUMPRODUCT(--ISNUMBER($G$2:$G$800),--($G$2:$G$800=G329))+1)/2)/COUNT($G$2:$G$800)</f>
        <v/>
      </c>
      <c r="J329" t="n">
        <v>11.20094076142835</v>
      </c>
      <c r="K329" t="n">
        <v>2.502406159769003</v>
      </c>
      <c r="L329" t="n">
        <v>0.2165543792107809</v>
      </c>
      <c r="M329">
        <f>IF(OR(B329="NW",COUNT(Risk_Rank_Keys!B329)=0),0.5,(SUMPRODUCT(--ISNUMBER(Risk_Rank_Keys!$B$2:$B$800),--(Risk_Rank_Keys!$B$2:$B$800&lt;Risk_Rank_Keys!B329))+(SUMPRODUCT(--ISNUMBER(Risk_Rank_Keys!$B$2:$B$800),--(Risk_Rank_Keys!$B$2:$B$800=Risk_Rank_Keys!B329))+1)/2)/COUNT(Risk_Rank_Keys!$B$2:$B$800))</f>
        <v/>
      </c>
      <c r="N329">
        <f>IF(OR(B329="NW",COUNT(Risk_Rank_Keys!C329)=0),0.5,(SUMPRODUCT(--ISNUMBER(Risk_Rank_Keys!$C$2:$C$800),--(Risk_Rank_Keys!$C$2:$C$800&lt;Risk_Rank_Keys!C329))+(SUMPRODUCT(--ISNUMBER(Risk_Rank_Keys!$C$2:$C$800),--(Risk_Rank_Keys!$C$2:$C$800=Risk_Rank_Keys!C329))+1)/2)/COUNT(Risk_Rank_Keys!$C$2:$C$800))</f>
        <v/>
      </c>
      <c r="O329">
        <f>IF(OR(B329="NW",COUNT(Risk_Rank_Keys!D329)=0),0.5,(SUMPRODUCT(--ISNUMBER(Risk_Rank_Keys!$D$2:$D$800),--(Risk_Rank_Keys!$D$2:$D$800&lt;Risk_Rank_Keys!D329))+(SUMPRODUCT(--ISNUMBER(Risk_Rank_Keys!$D$2:$D$800),--(Risk_Rank_Keys!$D$2:$D$800=Risk_Rank_Keys!D329))+1)/2)/COUNT(Risk_Rank_Keys!$D$2:$D$800))</f>
        <v/>
      </c>
      <c r="P329">
        <f>AVERAGE(M329:O329)</f>
        <v/>
      </c>
      <c r="Q329">
        <f>0.4*H329+0.4*I329+0.2*P329</f>
        <v/>
      </c>
      <c r="R329">
        <f>PERCENTILE($Q$2:$Q$800,0.75)</f>
        <v/>
      </c>
      <c r="S329">
        <f>OR(Q329&gt;=R329,AND(B329="CW",COUNT(J329:L329)&lt;3))</f>
        <v/>
      </c>
      <c r="T329" t="n">
        <v>0.328747609761384</v>
      </c>
      <c r="U329" t="n">
        <v>10.85053855424366</v>
      </c>
      <c r="V329" t="n">
        <v>0.7299189072346942</v>
      </c>
      <c r="W329">
        <f>Q329-V329</f>
        <v/>
      </c>
    </row>
    <row r="330">
      <c r="A330" t="inlineStr">
        <is>
          <t>2022-10-13</t>
        </is>
      </c>
      <c r="B330" t="inlineStr">
        <is>
          <t>CW</t>
        </is>
      </c>
      <c r="C330" t="n">
        <v>69.40512177503246</v>
      </c>
      <c r="D330">
        <f>SUMPRODUCT(Risk_Inputs!B330:AJ330,Risk_Coefs!$B$2:$AJ$2)</f>
        <v/>
      </c>
      <c r="E330">
        <f>1/(1+EXP(-MAX(-25,MIN(25,D330))))</f>
        <v/>
      </c>
      <c r="F330">
        <f>SUMPRODUCT(Risk_Inputs!B330:AJ330,Risk_Coefs!$B$3:$AJ$3)</f>
        <v/>
      </c>
      <c r="G330">
        <f>MAX(0,F330)</f>
        <v/>
      </c>
      <c r="H330">
        <f>(SUMPRODUCT(--ISNUMBER($E$2:$E$800),--($E$2:$E$800&lt;E330))+(SUMPRODUCT(--ISNUMBER($E$2:$E$800),--($E$2:$E$800=E330))+1)/2)/COUNT($E$2:$E$800)</f>
        <v/>
      </c>
      <c r="I330">
        <f>(SUMPRODUCT(--ISNUMBER($G$2:$G$800),--($G$2:$G$800&lt;G330))+(SUMPRODUCT(--ISNUMBER($G$2:$G$800),--($G$2:$G$800=G330))+1)/2)/COUNT($G$2:$G$800)</f>
        <v/>
      </c>
      <c r="J330" t="n">
        <v>8.71678917948188</v>
      </c>
      <c r="K330" t="n">
        <v>3.800675675675676</v>
      </c>
      <c r="L330" t="n">
        <v>0.2956081081081093</v>
      </c>
      <c r="M330">
        <f>IF(OR(B330="NW",COUNT(Risk_Rank_Keys!B330)=0),0.5,(SUMPRODUCT(--ISNUMBER(Risk_Rank_Keys!$B$2:$B$800),--(Risk_Rank_Keys!$B$2:$B$800&lt;Risk_Rank_Keys!B330))+(SUMPRODUCT(--ISNUMBER(Risk_Rank_Keys!$B$2:$B$800),--(Risk_Rank_Keys!$B$2:$B$800=Risk_Rank_Keys!B330))+1)/2)/COUNT(Risk_Rank_Keys!$B$2:$B$800))</f>
        <v/>
      </c>
      <c r="N330">
        <f>IF(OR(B330="NW",COUNT(Risk_Rank_Keys!C330)=0),0.5,(SUMPRODUCT(--ISNUMBER(Risk_Rank_Keys!$C$2:$C$800),--(Risk_Rank_Keys!$C$2:$C$800&lt;Risk_Rank_Keys!C330))+(SUMPRODUCT(--ISNUMBER(Risk_Rank_Keys!$C$2:$C$800),--(Risk_Rank_Keys!$C$2:$C$800=Risk_Rank_Keys!C330))+1)/2)/COUNT(Risk_Rank_Keys!$C$2:$C$800))</f>
        <v/>
      </c>
      <c r="O330">
        <f>IF(OR(B330="NW",COUNT(Risk_Rank_Keys!D330)=0),0.5,(SUMPRODUCT(--ISNUMBER(Risk_Rank_Keys!$D$2:$D$800),--(Risk_Rank_Keys!$D$2:$D$800&lt;Risk_Rank_Keys!D330))+(SUMPRODUCT(--ISNUMBER(Risk_Rank_Keys!$D$2:$D$800),--(Risk_Rank_Keys!$D$2:$D$800=Risk_Rank_Keys!D330))+1)/2)/COUNT(Risk_Rank_Keys!$D$2:$D$800))</f>
        <v/>
      </c>
      <c r="P330">
        <f>AVERAGE(M330:O330)</f>
        <v/>
      </c>
      <c r="Q330">
        <f>0.4*H330+0.4*I330+0.2*P330</f>
        <v/>
      </c>
      <c r="R330">
        <f>PERCENTILE($Q$2:$Q$800,0.75)</f>
        <v/>
      </c>
      <c r="S330">
        <f>OR(Q330&gt;=R330,AND(B330="CW",COUNT(J330:L330)&lt;3))</f>
        <v/>
      </c>
      <c r="T330" t="n">
        <v>0.2767666265945161</v>
      </c>
      <c r="U330" t="n">
        <v>8.731717614032759</v>
      </c>
      <c r="V330" t="n">
        <v>0.5476714558935536</v>
      </c>
      <c r="W330">
        <f>Q330-V330</f>
        <v/>
      </c>
    </row>
    <row r="331">
      <c r="A331" t="inlineStr">
        <is>
          <t>2022-10-18</t>
        </is>
      </c>
      <c r="B331" t="inlineStr">
        <is>
          <t>CW</t>
        </is>
      </c>
      <c r="C331" t="n">
        <v>22.53165645005005</v>
      </c>
      <c r="D331">
        <f>SUMPRODUCT(Risk_Inputs!B331:AJ331,Risk_Coefs!$B$2:$AJ$2)</f>
        <v/>
      </c>
      <c r="E331">
        <f>1/(1+EXP(-MAX(-25,MIN(25,D331))))</f>
        <v/>
      </c>
      <c r="F331">
        <f>SUMPRODUCT(Risk_Inputs!B331:AJ331,Risk_Coefs!$B$3:$AJ$3)</f>
        <v/>
      </c>
      <c r="G331">
        <f>MAX(0,F331)</f>
        <v/>
      </c>
      <c r="H331">
        <f>(SUMPRODUCT(--ISNUMBER($E$2:$E$800),--($E$2:$E$800&lt;E331))+(SUMPRODUCT(--ISNUMBER($E$2:$E$800),--($E$2:$E$800=E331))+1)/2)/COUNT($E$2:$E$800)</f>
        <v/>
      </c>
      <c r="I331">
        <f>(SUMPRODUCT(--ISNUMBER($G$2:$G$800),--($G$2:$G$800&lt;G331))+(SUMPRODUCT(--ISNUMBER($G$2:$G$800),--($G$2:$G$800=G331))+1)/2)/COUNT($G$2:$G$800)</f>
        <v/>
      </c>
      <c r="J331" t="n">
        <v>5.555714653911676</v>
      </c>
      <c r="K331" t="n">
        <v>3.851851851851858</v>
      </c>
      <c r="L331" t="n">
        <v>0.0740740740740698</v>
      </c>
      <c r="M331">
        <f>IF(OR(B331="NW",COUNT(Risk_Rank_Keys!B331)=0),0.5,(SUMPRODUCT(--ISNUMBER(Risk_Rank_Keys!$B$2:$B$800),--(Risk_Rank_Keys!$B$2:$B$800&lt;Risk_Rank_Keys!B331))+(SUMPRODUCT(--ISNUMBER(Risk_Rank_Keys!$B$2:$B$800),--(Risk_Rank_Keys!$B$2:$B$800=Risk_Rank_Keys!B331))+1)/2)/COUNT(Risk_Rank_Keys!$B$2:$B$800))</f>
        <v/>
      </c>
      <c r="N331">
        <f>IF(OR(B331="NW",COUNT(Risk_Rank_Keys!C331)=0),0.5,(SUMPRODUCT(--ISNUMBER(Risk_Rank_Keys!$C$2:$C$800),--(Risk_Rank_Keys!$C$2:$C$800&lt;Risk_Rank_Keys!C331))+(SUMPRODUCT(--ISNUMBER(Risk_Rank_Keys!$C$2:$C$800),--(Risk_Rank_Keys!$C$2:$C$800=Risk_Rank_Keys!C331))+1)/2)/COUNT(Risk_Rank_Keys!$C$2:$C$800))</f>
        <v/>
      </c>
      <c r="O331">
        <f>IF(OR(B331="NW",COUNT(Risk_Rank_Keys!D331)=0),0.5,(SUMPRODUCT(--ISNUMBER(Risk_Rank_Keys!$D$2:$D$800),--(Risk_Rank_Keys!$D$2:$D$800&lt;Risk_Rank_Keys!D331))+(SUMPRODUCT(--ISNUMBER(Risk_Rank_Keys!$D$2:$D$800),--(Risk_Rank_Keys!$D$2:$D$800=Risk_Rank_Keys!D331))+1)/2)/COUNT(Risk_Rank_Keys!$D$2:$D$800))</f>
        <v/>
      </c>
      <c r="P331">
        <f>AVERAGE(M331:O331)</f>
        <v/>
      </c>
      <c r="Q331">
        <f>0.4*H331+0.4*I331+0.2*P331</f>
        <v/>
      </c>
      <c r="R331">
        <f>PERCENTILE($Q$2:$Q$800,0.75)</f>
        <v/>
      </c>
      <c r="S331">
        <f>OR(Q331&gt;=R331,AND(B331="CW",COUNT(J331:L331)&lt;3))</f>
        <v/>
      </c>
      <c r="T331" t="n">
        <v>0.2758025009805558</v>
      </c>
      <c r="U331" t="n">
        <v>7.464726412983716</v>
      </c>
      <c r="V331" t="n">
        <v>0.4148507345013439</v>
      </c>
      <c r="W331">
        <f>Q331-V331</f>
        <v/>
      </c>
    </row>
    <row r="332">
      <c r="A332" t="inlineStr">
        <is>
          <t>2022-10-19</t>
        </is>
      </c>
      <c r="B332" t="inlineStr">
        <is>
          <t>NW</t>
        </is>
      </c>
      <c r="C332" t="n">
        <v>6.444511933745417</v>
      </c>
      <c r="D332">
        <f>SUMPRODUCT(Risk_Inputs!B332:AJ332,Risk_Coefs!$B$2:$AJ$2)</f>
        <v/>
      </c>
      <c r="E332">
        <f>1/(1+EXP(-MAX(-25,MIN(25,D332))))</f>
        <v/>
      </c>
      <c r="F332">
        <f>SUMPRODUCT(Risk_Inputs!B332:AJ332,Risk_Coefs!$B$3:$AJ$3)</f>
        <v/>
      </c>
      <c r="G332">
        <f>MAX(0,F332)</f>
        <v/>
      </c>
      <c r="H332">
        <f>(SUMPRODUCT(--ISNUMBER($E$2:$E$800),--($E$2:$E$800&lt;E332))+(SUMPRODUCT(--ISNUMBER($E$2:$E$800),--($E$2:$E$800=E332))+1)/2)/COUNT($E$2:$E$800)</f>
        <v/>
      </c>
      <c r="I332">
        <f>(SUMPRODUCT(--ISNUMBER($G$2:$G$800),--($G$2:$G$800&lt;G332))+(SUMPRODUCT(--ISNUMBER($G$2:$G$800),--($G$2:$G$800=G332))+1)/2)/COUNT($G$2:$G$800)</f>
        <v/>
      </c>
      <c r="M332">
        <f>IF(OR(B332="NW",COUNT(Risk_Rank_Keys!B332)=0),0.5,(SUMPRODUCT(--ISNUMBER(Risk_Rank_Keys!$B$2:$B$800),--(Risk_Rank_Keys!$B$2:$B$800&lt;Risk_Rank_Keys!B332))+(SUMPRODUCT(--ISNUMBER(Risk_Rank_Keys!$B$2:$B$800),--(Risk_Rank_Keys!$B$2:$B$800=Risk_Rank_Keys!B332))+1)/2)/COUNT(Risk_Rank_Keys!$B$2:$B$800))</f>
        <v/>
      </c>
      <c r="N332">
        <f>IF(OR(B332="NW",COUNT(Risk_Rank_Keys!C332)=0),0.5,(SUMPRODUCT(--ISNUMBER(Risk_Rank_Keys!$C$2:$C$800),--(Risk_Rank_Keys!$C$2:$C$800&lt;Risk_Rank_Keys!C332))+(SUMPRODUCT(--ISNUMBER(Risk_Rank_Keys!$C$2:$C$800),--(Risk_Rank_Keys!$C$2:$C$800=Risk_Rank_Keys!C332))+1)/2)/COUNT(Risk_Rank_Keys!$C$2:$C$800))</f>
        <v/>
      </c>
      <c r="O332">
        <f>IF(OR(B332="NW",COUNT(Risk_Rank_Keys!D332)=0),0.5,(SUMPRODUCT(--ISNUMBER(Risk_Rank_Keys!$D$2:$D$800),--(Risk_Rank_Keys!$D$2:$D$800&lt;Risk_Rank_Keys!D332))+(SUMPRODUCT(--ISNUMBER(Risk_Rank_Keys!$D$2:$D$800),--(Risk_Rank_Keys!$D$2:$D$800=Risk_Rank_Keys!D332))+1)/2)/COUNT(Risk_Rank_Keys!$D$2:$D$800))</f>
        <v/>
      </c>
      <c r="P332">
        <f>AVERAGE(M332:O332)</f>
        <v/>
      </c>
      <c r="Q332">
        <f>0.4*H332+0.4*I332+0.2*P332</f>
        <v/>
      </c>
      <c r="R332">
        <f>PERCENTILE($Q$2:$Q$800,0.75)</f>
        <v/>
      </c>
      <c r="S332">
        <f>OR(Q332&gt;=R332,AND(B332="CW",COUNT(J332:L332)&lt;3))</f>
        <v/>
      </c>
      <c r="T332" t="n">
        <v>0.352396199570543</v>
      </c>
      <c r="U332" t="n">
        <v>10.42787253994329</v>
      </c>
      <c r="V332" t="n">
        <v>0.762828535669587</v>
      </c>
      <c r="W332">
        <f>Q332-V332</f>
        <v/>
      </c>
    </row>
    <row r="333">
      <c r="A333" t="inlineStr">
        <is>
          <t>2022-10-20</t>
        </is>
      </c>
      <c r="B333" t="inlineStr">
        <is>
          <t>CW</t>
        </is>
      </c>
      <c r="C333" t="n">
        <v>16.35101904885953</v>
      </c>
      <c r="D333">
        <f>SUMPRODUCT(Risk_Inputs!B333:AJ333,Risk_Coefs!$B$2:$AJ$2)</f>
        <v/>
      </c>
      <c r="E333">
        <f>1/(1+EXP(-MAX(-25,MIN(25,D333))))</f>
        <v/>
      </c>
      <c r="F333">
        <f>SUMPRODUCT(Risk_Inputs!B333:AJ333,Risk_Coefs!$B$3:$AJ$3)</f>
        <v/>
      </c>
      <c r="G333">
        <f>MAX(0,F333)</f>
        <v/>
      </c>
      <c r="H333">
        <f>(SUMPRODUCT(--ISNUMBER($E$2:$E$800),--($E$2:$E$800&lt;E333))+(SUMPRODUCT(--ISNUMBER($E$2:$E$800),--($E$2:$E$800=E333))+1)/2)/COUNT($E$2:$E$800)</f>
        <v/>
      </c>
      <c r="I333">
        <f>(SUMPRODUCT(--ISNUMBER($G$2:$G$800),--($G$2:$G$800&lt;G333))+(SUMPRODUCT(--ISNUMBER($G$2:$G$800),--($G$2:$G$800=G333))+1)/2)/COUNT($G$2:$G$800)</f>
        <v/>
      </c>
      <c r="J333" t="n">
        <v>12.77168531715186</v>
      </c>
      <c r="K333" t="n">
        <v>32.37896928682979</v>
      </c>
      <c r="L333" t="n">
        <v>0.4164497657470052</v>
      </c>
      <c r="M333">
        <f>IF(OR(B333="NW",COUNT(Risk_Rank_Keys!B333)=0),0.5,(SUMPRODUCT(--ISNUMBER(Risk_Rank_Keys!$B$2:$B$800),--(Risk_Rank_Keys!$B$2:$B$800&lt;Risk_Rank_Keys!B333))+(SUMPRODUCT(--ISNUMBER(Risk_Rank_Keys!$B$2:$B$800),--(Risk_Rank_Keys!$B$2:$B$800=Risk_Rank_Keys!B333))+1)/2)/COUNT(Risk_Rank_Keys!$B$2:$B$800))</f>
        <v/>
      </c>
      <c r="N333">
        <f>IF(OR(B333="NW",COUNT(Risk_Rank_Keys!C333)=0),0.5,(SUMPRODUCT(--ISNUMBER(Risk_Rank_Keys!$C$2:$C$800),--(Risk_Rank_Keys!$C$2:$C$800&lt;Risk_Rank_Keys!C333))+(SUMPRODUCT(--ISNUMBER(Risk_Rank_Keys!$C$2:$C$800),--(Risk_Rank_Keys!$C$2:$C$800=Risk_Rank_Keys!C333))+1)/2)/COUNT(Risk_Rank_Keys!$C$2:$C$800))</f>
        <v/>
      </c>
      <c r="O333">
        <f>IF(OR(B333="NW",COUNT(Risk_Rank_Keys!D333)=0),0.5,(SUMPRODUCT(--ISNUMBER(Risk_Rank_Keys!$D$2:$D$800),--(Risk_Rank_Keys!$D$2:$D$800&lt;Risk_Rank_Keys!D333))+(SUMPRODUCT(--ISNUMBER(Risk_Rank_Keys!$D$2:$D$800),--(Risk_Rank_Keys!$D$2:$D$800=Risk_Rank_Keys!D333))+1)/2)/COUNT(Risk_Rank_Keys!$D$2:$D$800))</f>
        <v/>
      </c>
      <c r="P333">
        <f>AVERAGE(M333:O333)</f>
        <v/>
      </c>
      <c r="Q333">
        <f>0.4*H333+0.4*I333+0.2*P333</f>
        <v/>
      </c>
      <c r="R333">
        <f>PERCENTILE($Q$2:$Q$800,0.75)</f>
        <v/>
      </c>
      <c r="S333">
        <f>OR(Q333&gt;=R333,AND(B333="CW",COUNT(J333:L333)&lt;3))</f>
        <v/>
      </c>
      <c r="T333" t="n">
        <v>0.1585381016448763</v>
      </c>
      <c r="U333" t="n">
        <v>2.464527382494117</v>
      </c>
      <c r="V333" t="n">
        <v>0.1867597164982495</v>
      </c>
      <c r="W333">
        <f>Q333-V333</f>
        <v/>
      </c>
    </row>
    <row r="334">
      <c r="A334" t="inlineStr">
        <is>
          <t>2022-10-27</t>
        </is>
      </c>
      <c r="B334" t="inlineStr">
        <is>
          <t>CW</t>
        </is>
      </c>
      <c r="C334" t="n">
        <v>46.43373099496223</v>
      </c>
      <c r="D334">
        <f>SUMPRODUCT(Risk_Inputs!B334:AJ334,Risk_Coefs!$B$2:$AJ$2)</f>
        <v/>
      </c>
      <c r="E334">
        <f>1/(1+EXP(-MAX(-25,MIN(25,D334))))</f>
        <v/>
      </c>
      <c r="F334">
        <f>SUMPRODUCT(Risk_Inputs!B334:AJ334,Risk_Coefs!$B$3:$AJ$3)</f>
        <v/>
      </c>
      <c r="G334">
        <f>MAX(0,F334)</f>
        <v/>
      </c>
      <c r="H334">
        <f>(SUMPRODUCT(--ISNUMBER($E$2:$E$800),--($E$2:$E$800&lt;E334))+(SUMPRODUCT(--ISNUMBER($E$2:$E$800),--($E$2:$E$800=E334))+1)/2)/COUNT($E$2:$E$800)</f>
        <v/>
      </c>
      <c r="I334">
        <f>(SUMPRODUCT(--ISNUMBER($G$2:$G$800),--($G$2:$G$800&lt;G334))+(SUMPRODUCT(--ISNUMBER($G$2:$G$800),--($G$2:$G$800=G334))+1)/2)/COUNT($G$2:$G$800)</f>
        <v/>
      </c>
      <c r="J334" t="n">
        <v>26.34534354496822</v>
      </c>
      <c r="K334" t="n">
        <v>15.26677231907024</v>
      </c>
      <c r="L334" t="n">
        <v>0.5282620179609161</v>
      </c>
      <c r="M334">
        <f>IF(OR(B334="NW",COUNT(Risk_Rank_Keys!B334)=0),0.5,(SUMPRODUCT(--ISNUMBER(Risk_Rank_Keys!$B$2:$B$800),--(Risk_Rank_Keys!$B$2:$B$800&lt;Risk_Rank_Keys!B334))+(SUMPRODUCT(--ISNUMBER(Risk_Rank_Keys!$B$2:$B$800),--(Risk_Rank_Keys!$B$2:$B$800=Risk_Rank_Keys!B334))+1)/2)/COUNT(Risk_Rank_Keys!$B$2:$B$800))</f>
        <v/>
      </c>
      <c r="N334">
        <f>IF(OR(B334="NW",COUNT(Risk_Rank_Keys!C334)=0),0.5,(SUMPRODUCT(--ISNUMBER(Risk_Rank_Keys!$C$2:$C$800),--(Risk_Rank_Keys!$C$2:$C$800&lt;Risk_Rank_Keys!C334))+(SUMPRODUCT(--ISNUMBER(Risk_Rank_Keys!$C$2:$C$800),--(Risk_Rank_Keys!$C$2:$C$800=Risk_Rank_Keys!C334))+1)/2)/COUNT(Risk_Rank_Keys!$C$2:$C$800))</f>
        <v/>
      </c>
      <c r="O334">
        <f>IF(OR(B334="NW",COUNT(Risk_Rank_Keys!D334)=0),0.5,(SUMPRODUCT(--ISNUMBER(Risk_Rank_Keys!$D$2:$D$800),--(Risk_Rank_Keys!$D$2:$D$800&lt;Risk_Rank_Keys!D334))+(SUMPRODUCT(--ISNUMBER(Risk_Rank_Keys!$D$2:$D$800),--(Risk_Rank_Keys!$D$2:$D$800=Risk_Rank_Keys!D334))+1)/2)/COUNT(Risk_Rank_Keys!$D$2:$D$800))</f>
        <v/>
      </c>
      <c r="P334">
        <f>AVERAGE(M334:O334)</f>
        <v/>
      </c>
      <c r="Q334">
        <f>0.4*H334+0.4*I334+0.2*P334</f>
        <v/>
      </c>
      <c r="R334">
        <f>PERCENTILE($Q$2:$Q$800,0.75)</f>
        <v/>
      </c>
      <c r="S334">
        <f>OR(Q334&gt;=R334,AND(B334="CW",COUNT(J334:L334)&lt;3))</f>
        <v/>
      </c>
      <c r="T334" t="n">
        <v>0.155461411998625</v>
      </c>
      <c r="U334" t="n">
        <v>5.34124410095931</v>
      </c>
      <c r="V334" t="n">
        <v>0.2691710756530274</v>
      </c>
      <c r="W334">
        <f>Q334-V334</f>
        <v/>
      </c>
    </row>
    <row r="335">
      <c r="A335" t="inlineStr">
        <is>
          <t>2022-11-01</t>
        </is>
      </c>
      <c r="B335" t="inlineStr">
        <is>
          <t>CW</t>
        </is>
      </c>
      <c r="C335" t="n">
        <v>2.976329830620914</v>
      </c>
      <c r="D335">
        <f>SUMPRODUCT(Risk_Inputs!B335:AJ335,Risk_Coefs!$B$2:$AJ$2)</f>
        <v/>
      </c>
      <c r="E335">
        <f>1/(1+EXP(-MAX(-25,MIN(25,D335))))</f>
        <v/>
      </c>
      <c r="F335">
        <f>SUMPRODUCT(Risk_Inputs!B335:AJ335,Risk_Coefs!$B$3:$AJ$3)</f>
        <v/>
      </c>
      <c r="G335">
        <f>MAX(0,F335)</f>
        <v/>
      </c>
      <c r="H335">
        <f>(SUMPRODUCT(--ISNUMBER($E$2:$E$800),--($E$2:$E$800&lt;E335))+(SUMPRODUCT(--ISNUMBER($E$2:$E$800),--($E$2:$E$800=E335))+1)/2)/COUNT($E$2:$E$800)</f>
        <v/>
      </c>
      <c r="I335">
        <f>(SUMPRODUCT(--ISNUMBER($G$2:$G$800),--($G$2:$G$800&lt;G335))+(SUMPRODUCT(--ISNUMBER($G$2:$G$800),--($G$2:$G$800=G335))+1)/2)/COUNT($G$2:$G$800)</f>
        <v/>
      </c>
      <c r="J335" t="n">
        <v>3.034541356662688</v>
      </c>
      <c r="K335" t="n">
        <v>0.5742625946228258</v>
      </c>
      <c r="L335" t="n">
        <v>0.1827199164708997</v>
      </c>
      <c r="M335">
        <f>IF(OR(B335="NW",COUNT(Risk_Rank_Keys!B335)=0),0.5,(SUMPRODUCT(--ISNUMBER(Risk_Rank_Keys!$B$2:$B$800),--(Risk_Rank_Keys!$B$2:$B$800&lt;Risk_Rank_Keys!B335))+(SUMPRODUCT(--ISNUMBER(Risk_Rank_Keys!$B$2:$B$800),--(Risk_Rank_Keys!$B$2:$B$800=Risk_Rank_Keys!B335))+1)/2)/COUNT(Risk_Rank_Keys!$B$2:$B$800))</f>
        <v/>
      </c>
      <c r="N335">
        <f>IF(OR(B335="NW",COUNT(Risk_Rank_Keys!C335)=0),0.5,(SUMPRODUCT(--ISNUMBER(Risk_Rank_Keys!$C$2:$C$800),--(Risk_Rank_Keys!$C$2:$C$800&lt;Risk_Rank_Keys!C335))+(SUMPRODUCT(--ISNUMBER(Risk_Rank_Keys!$C$2:$C$800),--(Risk_Rank_Keys!$C$2:$C$800=Risk_Rank_Keys!C335))+1)/2)/COUNT(Risk_Rank_Keys!$C$2:$C$800))</f>
        <v/>
      </c>
      <c r="O335">
        <f>IF(OR(B335="NW",COUNT(Risk_Rank_Keys!D335)=0),0.5,(SUMPRODUCT(--ISNUMBER(Risk_Rank_Keys!$D$2:$D$800),--(Risk_Rank_Keys!$D$2:$D$800&lt;Risk_Rank_Keys!D335))+(SUMPRODUCT(--ISNUMBER(Risk_Rank_Keys!$D$2:$D$800),--(Risk_Rank_Keys!$D$2:$D$800=Risk_Rank_Keys!D335))+1)/2)/COUNT(Risk_Rank_Keys!$D$2:$D$800))</f>
        <v/>
      </c>
      <c r="P335">
        <f>AVERAGE(M335:O335)</f>
        <v/>
      </c>
      <c r="Q335">
        <f>0.4*H335+0.4*I335+0.2*P335</f>
        <v/>
      </c>
      <c r="R335">
        <f>PERCENTILE($Q$2:$Q$800,0.75)</f>
        <v/>
      </c>
      <c r="S335">
        <f>OR(Q335&gt;=R335,AND(B335="CW",COUNT(J335:L335)&lt;3))</f>
        <v/>
      </c>
      <c r="T335" t="n">
        <v>0.3760042575259256</v>
      </c>
      <c r="U335" t="n">
        <v>10.92348757751573</v>
      </c>
      <c r="V335" t="n">
        <v>0.721710483059659</v>
      </c>
      <c r="W335">
        <f>Q335-V335</f>
        <v/>
      </c>
    </row>
    <row r="336">
      <c r="A336" t="inlineStr">
        <is>
          <t>2022-11-02</t>
        </is>
      </c>
      <c r="B336" t="inlineStr">
        <is>
          <t>CW</t>
        </is>
      </c>
      <c r="C336" t="n">
        <v>-5.026039777745571</v>
      </c>
      <c r="D336">
        <f>SUMPRODUCT(Risk_Inputs!B336:AJ336,Risk_Coefs!$B$2:$AJ$2)</f>
        <v/>
      </c>
      <c r="E336">
        <f>1/(1+EXP(-MAX(-25,MIN(25,D336))))</f>
        <v/>
      </c>
      <c r="F336">
        <f>SUMPRODUCT(Risk_Inputs!B336:AJ336,Risk_Coefs!$B$3:$AJ$3)</f>
        <v/>
      </c>
      <c r="G336">
        <f>MAX(0,F336)</f>
        <v/>
      </c>
      <c r="H336">
        <f>(SUMPRODUCT(--ISNUMBER($E$2:$E$800),--($E$2:$E$800&lt;E336))+(SUMPRODUCT(--ISNUMBER($E$2:$E$800),--($E$2:$E$800=E336))+1)/2)/COUNT($E$2:$E$800)</f>
        <v/>
      </c>
      <c r="I336">
        <f>(SUMPRODUCT(--ISNUMBER($G$2:$G$800),--($G$2:$G$800&lt;G336))+(SUMPRODUCT(--ISNUMBER($G$2:$G$800),--($G$2:$G$800=G336))+1)/2)/COUNT($G$2:$G$800)</f>
        <v/>
      </c>
      <c r="J336" t="n">
        <v>6.420873073392408</v>
      </c>
      <c r="K336" t="n">
        <v>2.285714285714293</v>
      </c>
      <c r="L336" t="n">
        <v>0.2105263157894702</v>
      </c>
      <c r="M336">
        <f>IF(OR(B336="NW",COUNT(Risk_Rank_Keys!B336)=0),0.5,(SUMPRODUCT(--ISNUMBER(Risk_Rank_Keys!$B$2:$B$800),--(Risk_Rank_Keys!$B$2:$B$800&lt;Risk_Rank_Keys!B336))+(SUMPRODUCT(--ISNUMBER(Risk_Rank_Keys!$B$2:$B$800),--(Risk_Rank_Keys!$B$2:$B$800=Risk_Rank_Keys!B336))+1)/2)/COUNT(Risk_Rank_Keys!$B$2:$B$800))</f>
        <v/>
      </c>
      <c r="N336">
        <f>IF(OR(B336="NW",COUNT(Risk_Rank_Keys!C336)=0),0.5,(SUMPRODUCT(--ISNUMBER(Risk_Rank_Keys!$C$2:$C$800),--(Risk_Rank_Keys!$C$2:$C$800&lt;Risk_Rank_Keys!C336))+(SUMPRODUCT(--ISNUMBER(Risk_Rank_Keys!$C$2:$C$800),--(Risk_Rank_Keys!$C$2:$C$800=Risk_Rank_Keys!C336))+1)/2)/COUNT(Risk_Rank_Keys!$C$2:$C$800))</f>
        <v/>
      </c>
      <c r="O336">
        <f>IF(OR(B336="NW",COUNT(Risk_Rank_Keys!D336)=0),0.5,(SUMPRODUCT(--ISNUMBER(Risk_Rank_Keys!$D$2:$D$800),--(Risk_Rank_Keys!$D$2:$D$800&lt;Risk_Rank_Keys!D336))+(SUMPRODUCT(--ISNUMBER(Risk_Rank_Keys!$D$2:$D$800),--(Risk_Rank_Keys!$D$2:$D$800=Risk_Rank_Keys!D336))+1)/2)/COUNT(Risk_Rank_Keys!$D$2:$D$800))</f>
        <v/>
      </c>
      <c r="P336">
        <f>AVERAGE(M336:O336)</f>
        <v/>
      </c>
      <c r="Q336">
        <f>0.4*H336+0.4*I336+0.2*P336</f>
        <v/>
      </c>
      <c r="R336">
        <f>PERCENTILE($Q$2:$Q$800,0.75)</f>
        <v/>
      </c>
      <c r="S336">
        <f>OR(Q336&gt;=R336,AND(B336="CW",COUNT(J336:L336)&lt;3))</f>
        <v/>
      </c>
      <c r="T336" t="n">
        <v>0.3281413301682783</v>
      </c>
      <c r="U336" t="n">
        <v>9.29894859820063</v>
      </c>
      <c r="V336" t="n">
        <v>0.6400476187982537</v>
      </c>
      <c r="W336">
        <f>Q336-V336</f>
        <v/>
      </c>
    </row>
    <row r="337">
      <c r="A337" t="inlineStr">
        <is>
          <t>2022-11-03</t>
        </is>
      </c>
      <c r="B337" t="inlineStr">
        <is>
          <t>CW</t>
        </is>
      </c>
      <c r="C337" t="n">
        <v>32.44367707567508</v>
      </c>
      <c r="D337">
        <f>SUMPRODUCT(Risk_Inputs!B337:AJ337,Risk_Coefs!$B$2:$AJ$2)</f>
        <v/>
      </c>
      <c r="E337">
        <f>1/(1+EXP(-MAX(-25,MIN(25,D337))))</f>
        <v/>
      </c>
      <c r="F337">
        <f>SUMPRODUCT(Risk_Inputs!B337:AJ337,Risk_Coefs!$B$3:$AJ$3)</f>
        <v/>
      </c>
      <c r="G337">
        <f>MAX(0,F337)</f>
        <v/>
      </c>
      <c r="H337">
        <f>(SUMPRODUCT(--ISNUMBER($E$2:$E$800),--($E$2:$E$800&lt;E337))+(SUMPRODUCT(--ISNUMBER($E$2:$E$800),--($E$2:$E$800=E337))+1)/2)/COUNT($E$2:$E$800)</f>
        <v/>
      </c>
      <c r="I337">
        <f>(SUMPRODUCT(--ISNUMBER($G$2:$G$800),--($G$2:$G$800&lt;G337))+(SUMPRODUCT(--ISNUMBER($G$2:$G$800),--($G$2:$G$800=G337))+1)/2)/COUNT($G$2:$G$800)</f>
        <v/>
      </c>
      <c r="J337" t="n">
        <v>8.385814090388273</v>
      </c>
      <c r="K337" t="n">
        <v>6.794751640112466</v>
      </c>
      <c r="L337" t="n">
        <v>0.3280224929709479</v>
      </c>
      <c r="M337">
        <f>IF(OR(B337="NW",COUNT(Risk_Rank_Keys!B337)=0),0.5,(SUMPRODUCT(--ISNUMBER(Risk_Rank_Keys!$B$2:$B$800),--(Risk_Rank_Keys!$B$2:$B$800&lt;Risk_Rank_Keys!B337))+(SUMPRODUCT(--ISNUMBER(Risk_Rank_Keys!$B$2:$B$800),--(Risk_Rank_Keys!$B$2:$B$800=Risk_Rank_Keys!B337))+1)/2)/COUNT(Risk_Rank_Keys!$B$2:$B$800))</f>
        <v/>
      </c>
      <c r="N337">
        <f>IF(OR(B337="NW",COUNT(Risk_Rank_Keys!C337)=0),0.5,(SUMPRODUCT(--ISNUMBER(Risk_Rank_Keys!$C$2:$C$800),--(Risk_Rank_Keys!$C$2:$C$800&lt;Risk_Rank_Keys!C337))+(SUMPRODUCT(--ISNUMBER(Risk_Rank_Keys!$C$2:$C$800),--(Risk_Rank_Keys!$C$2:$C$800=Risk_Rank_Keys!C337))+1)/2)/COUNT(Risk_Rank_Keys!$C$2:$C$800))</f>
        <v/>
      </c>
      <c r="O337">
        <f>IF(OR(B337="NW",COUNT(Risk_Rank_Keys!D337)=0),0.5,(SUMPRODUCT(--ISNUMBER(Risk_Rank_Keys!$D$2:$D$800),--(Risk_Rank_Keys!$D$2:$D$800&lt;Risk_Rank_Keys!D337))+(SUMPRODUCT(--ISNUMBER(Risk_Rank_Keys!$D$2:$D$800),--(Risk_Rank_Keys!$D$2:$D$800=Risk_Rank_Keys!D337))+1)/2)/COUNT(Risk_Rank_Keys!$D$2:$D$800))</f>
        <v/>
      </c>
      <c r="P337">
        <f>AVERAGE(M337:O337)</f>
        <v/>
      </c>
      <c r="Q337">
        <f>0.4*H337+0.4*I337+0.2*P337</f>
        <v/>
      </c>
      <c r="R337">
        <f>PERCENTILE($Q$2:$Q$800,0.75)</f>
        <v/>
      </c>
      <c r="S337">
        <f>OR(Q337&gt;=R337,AND(B337="CW",COUNT(J337:L337)&lt;3))</f>
        <v/>
      </c>
      <c r="T337" t="n">
        <v>0.2759315962364407</v>
      </c>
      <c r="U337" t="n">
        <v>9.500154610983225</v>
      </c>
      <c r="V337" t="n">
        <v>0.5968340248648794</v>
      </c>
      <c r="W337">
        <f>Q337-V337</f>
        <v/>
      </c>
    </row>
    <row r="338">
      <c r="A338" t="inlineStr">
        <is>
          <t>2022-11-10</t>
        </is>
      </c>
      <c r="B338" t="inlineStr">
        <is>
          <t>NW</t>
        </is>
      </c>
      <c r="C338" t="n">
        <v>28.1862199249569</v>
      </c>
      <c r="D338">
        <f>SUMPRODUCT(Risk_Inputs!B338:AJ338,Risk_Coefs!$B$2:$AJ$2)</f>
        <v/>
      </c>
      <c r="E338">
        <f>1/(1+EXP(-MAX(-25,MIN(25,D338))))</f>
        <v/>
      </c>
      <c r="F338">
        <f>SUMPRODUCT(Risk_Inputs!B338:AJ338,Risk_Coefs!$B$3:$AJ$3)</f>
        <v/>
      </c>
      <c r="G338">
        <f>MAX(0,F338)</f>
        <v/>
      </c>
      <c r="H338">
        <f>(SUMPRODUCT(--ISNUMBER($E$2:$E$800),--($E$2:$E$800&lt;E338))+(SUMPRODUCT(--ISNUMBER($E$2:$E$800),--($E$2:$E$800=E338))+1)/2)/COUNT($E$2:$E$800)</f>
        <v/>
      </c>
      <c r="I338">
        <f>(SUMPRODUCT(--ISNUMBER($G$2:$G$800),--($G$2:$G$800&lt;G338))+(SUMPRODUCT(--ISNUMBER($G$2:$G$800),--($G$2:$G$800=G338))+1)/2)/COUNT($G$2:$G$800)</f>
        <v/>
      </c>
      <c r="M338">
        <f>IF(OR(B338="NW",COUNT(Risk_Rank_Keys!B338)=0),0.5,(SUMPRODUCT(--ISNUMBER(Risk_Rank_Keys!$B$2:$B$800),--(Risk_Rank_Keys!$B$2:$B$800&lt;Risk_Rank_Keys!B338))+(SUMPRODUCT(--ISNUMBER(Risk_Rank_Keys!$B$2:$B$800),--(Risk_Rank_Keys!$B$2:$B$800=Risk_Rank_Keys!B338))+1)/2)/COUNT(Risk_Rank_Keys!$B$2:$B$800))</f>
        <v/>
      </c>
      <c r="N338">
        <f>IF(OR(B338="NW",COUNT(Risk_Rank_Keys!C338)=0),0.5,(SUMPRODUCT(--ISNUMBER(Risk_Rank_Keys!$C$2:$C$800),--(Risk_Rank_Keys!$C$2:$C$800&lt;Risk_Rank_Keys!C338))+(SUMPRODUCT(--ISNUMBER(Risk_Rank_Keys!$C$2:$C$800),--(Risk_Rank_Keys!$C$2:$C$800=Risk_Rank_Keys!C338))+1)/2)/COUNT(Risk_Rank_Keys!$C$2:$C$800))</f>
        <v/>
      </c>
      <c r="O338">
        <f>IF(OR(B338="NW",COUNT(Risk_Rank_Keys!D338)=0),0.5,(SUMPRODUCT(--ISNUMBER(Risk_Rank_Keys!$D$2:$D$800),--(Risk_Rank_Keys!$D$2:$D$800&lt;Risk_Rank_Keys!D338))+(SUMPRODUCT(--ISNUMBER(Risk_Rank_Keys!$D$2:$D$800),--(Risk_Rank_Keys!$D$2:$D$800=Risk_Rank_Keys!D338))+1)/2)/COUNT(Risk_Rank_Keys!$D$2:$D$800))</f>
        <v/>
      </c>
      <c r="P338">
        <f>AVERAGE(M338:O338)</f>
        <v/>
      </c>
      <c r="Q338">
        <f>0.4*H338+0.4*I338+0.2*P338</f>
        <v/>
      </c>
      <c r="R338">
        <f>PERCENTILE($Q$2:$Q$800,0.75)</f>
        <v/>
      </c>
      <c r="S338">
        <f>OR(Q338&gt;=R338,AND(B338="CW",COUNT(J338:L338)&lt;3))</f>
        <v/>
      </c>
      <c r="T338" t="n">
        <v>0.3637393592643734</v>
      </c>
      <c r="U338" t="n">
        <v>11.30363998952397</v>
      </c>
      <c r="V338" t="n">
        <v>0.8018773466833542</v>
      </c>
      <c r="W338">
        <f>Q338-V338</f>
        <v/>
      </c>
    </row>
    <row r="339">
      <c r="A339" t="inlineStr">
        <is>
          <t>2022-11-15</t>
        </is>
      </c>
      <c r="B339" t="inlineStr">
        <is>
          <t>CW</t>
        </is>
      </c>
      <c r="C339" t="n">
        <v>0.706541075170567</v>
      </c>
      <c r="D339">
        <f>SUMPRODUCT(Risk_Inputs!B339:AJ339,Risk_Coefs!$B$2:$AJ$2)</f>
        <v/>
      </c>
      <c r="E339">
        <f>1/(1+EXP(-MAX(-25,MIN(25,D339))))</f>
        <v/>
      </c>
      <c r="F339">
        <f>SUMPRODUCT(Risk_Inputs!B339:AJ339,Risk_Coefs!$B$3:$AJ$3)</f>
        <v/>
      </c>
      <c r="G339">
        <f>MAX(0,F339)</f>
        <v/>
      </c>
      <c r="H339">
        <f>(SUMPRODUCT(--ISNUMBER($E$2:$E$800),--($E$2:$E$800&lt;E339))+(SUMPRODUCT(--ISNUMBER($E$2:$E$800),--($E$2:$E$800=E339))+1)/2)/COUNT($E$2:$E$800)</f>
        <v/>
      </c>
      <c r="I339">
        <f>(SUMPRODUCT(--ISNUMBER($G$2:$G$800),--($G$2:$G$800&lt;G339))+(SUMPRODUCT(--ISNUMBER($G$2:$G$800),--($G$2:$G$800=G339))+1)/2)/COUNT($G$2:$G$800)</f>
        <v/>
      </c>
      <c r="J339" t="n">
        <v>13.12207339649273</v>
      </c>
      <c r="K339" t="n">
        <v>1.798107255520501</v>
      </c>
      <c r="L339" t="n">
        <v>0.2208201892744533</v>
      </c>
      <c r="M339">
        <f>IF(OR(B339="NW",COUNT(Risk_Rank_Keys!B339)=0),0.5,(SUMPRODUCT(--ISNUMBER(Risk_Rank_Keys!$B$2:$B$800),--(Risk_Rank_Keys!$B$2:$B$800&lt;Risk_Rank_Keys!B339))+(SUMPRODUCT(--ISNUMBER(Risk_Rank_Keys!$B$2:$B$800),--(Risk_Rank_Keys!$B$2:$B$800=Risk_Rank_Keys!B339))+1)/2)/COUNT(Risk_Rank_Keys!$B$2:$B$800))</f>
        <v/>
      </c>
      <c r="N339">
        <f>IF(OR(B339="NW",COUNT(Risk_Rank_Keys!C339)=0),0.5,(SUMPRODUCT(--ISNUMBER(Risk_Rank_Keys!$C$2:$C$800),--(Risk_Rank_Keys!$C$2:$C$800&lt;Risk_Rank_Keys!C339))+(SUMPRODUCT(--ISNUMBER(Risk_Rank_Keys!$C$2:$C$800),--(Risk_Rank_Keys!$C$2:$C$800=Risk_Rank_Keys!C339))+1)/2)/COUNT(Risk_Rank_Keys!$C$2:$C$800))</f>
        <v/>
      </c>
      <c r="O339">
        <f>IF(OR(B339="NW",COUNT(Risk_Rank_Keys!D339)=0),0.5,(SUMPRODUCT(--ISNUMBER(Risk_Rank_Keys!$D$2:$D$800),--(Risk_Rank_Keys!$D$2:$D$800&lt;Risk_Rank_Keys!D339))+(SUMPRODUCT(--ISNUMBER(Risk_Rank_Keys!$D$2:$D$800),--(Risk_Rank_Keys!$D$2:$D$800=Risk_Rank_Keys!D339))+1)/2)/COUNT(Risk_Rank_Keys!$D$2:$D$800))</f>
        <v/>
      </c>
      <c r="P339">
        <f>AVERAGE(M339:O339)</f>
        <v/>
      </c>
      <c r="Q339">
        <f>0.4*H339+0.4*I339+0.2*P339</f>
        <v/>
      </c>
      <c r="R339">
        <f>PERCENTILE($Q$2:$Q$800,0.75)</f>
        <v/>
      </c>
      <c r="S339">
        <f>OR(Q339&gt;=R339,AND(B339="CW",COUNT(J339:L339)&lt;3))</f>
        <v/>
      </c>
      <c r="T339" t="n">
        <v>0.2529691025030031</v>
      </c>
      <c r="U339" t="n">
        <v>6.254323741952834</v>
      </c>
      <c r="V339" t="n">
        <v>0.3226380721136195</v>
      </c>
      <c r="W339">
        <f>Q339-V339</f>
        <v/>
      </c>
    </row>
    <row r="340">
      <c r="A340" t="inlineStr">
        <is>
          <t>2022-11-16</t>
        </is>
      </c>
      <c r="B340" t="inlineStr">
        <is>
          <t>CW</t>
        </is>
      </c>
      <c r="C340" t="n">
        <v>22.07891981374598</v>
      </c>
      <c r="D340">
        <f>SUMPRODUCT(Risk_Inputs!B340:AJ340,Risk_Coefs!$B$2:$AJ$2)</f>
        <v/>
      </c>
      <c r="E340">
        <f>1/(1+EXP(-MAX(-25,MIN(25,D340))))</f>
        <v/>
      </c>
      <c r="F340">
        <f>SUMPRODUCT(Risk_Inputs!B340:AJ340,Risk_Coefs!$B$3:$AJ$3)</f>
        <v/>
      </c>
      <c r="G340">
        <f>MAX(0,F340)</f>
        <v/>
      </c>
      <c r="H340">
        <f>(SUMPRODUCT(--ISNUMBER($E$2:$E$800),--($E$2:$E$800&lt;E340))+(SUMPRODUCT(--ISNUMBER($E$2:$E$800),--($E$2:$E$800=E340))+1)/2)/COUNT($E$2:$E$800)</f>
        <v/>
      </c>
      <c r="I340">
        <f>(SUMPRODUCT(--ISNUMBER($G$2:$G$800),--($G$2:$G$800&lt;G340))+(SUMPRODUCT(--ISNUMBER($G$2:$G$800),--($G$2:$G$800=G340))+1)/2)/COUNT($G$2:$G$800)</f>
        <v/>
      </c>
      <c r="J340" t="n">
        <v>5.568095086769194</v>
      </c>
      <c r="K340" t="n">
        <v>3.479236812570129</v>
      </c>
      <c r="L340" t="n">
        <v>0.224466891133561</v>
      </c>
      <c r="M340">
        <f>IF(OR(B340="NW",COUNT(Risk_Rank_Keys!B340)=0),0.5,(SUMPRODUCT(--ISNUMBER(Risk_Rank_Keys!$B$2:$B$800),--(Risk_Rank_Keys!$B$2:$B$800&lt;Risk_Rank_Keys!B340))+(SUMPRODUCT(--ISNUMBER(Risk_Rank_Keys!$B$2:$B$800),--(Risk_Rank_Keys!$B$2:$B$800=Risk_Rank_Keys!B340))+1)/2)/COUNT(Risk_Rank_Keys!$B$2:$B$800))</f>
        <v/>
      </c>
      <c r="N340">
        <f>IF(OR(B340="NW",COUNT(Risk_Rank_Keys!C340)=0),0.5,(SUMPRODUCT(--ISNUMBER(Risk_Rank_Keys!$C$2:$C$800),--(Risk_Rank_Keys!$C$2:$C$800&lt;Risk_Rank_Keys!C340))+(SUMPRODUCT(--ISNUMBER(Risk_Rank_Keys!$C$2:$C$800),--(Risk_Rank_Keys!$C$2:$C$800=Risk_Rank_Keys!C340))+1)/2)/COUNT(Risk_Rank_Keys!$C$2:$C$800))</f>
        <v/>
      </c>
      <c r="O340">
        <f>IF(OR(B340="NW",COUNT(Risk_Rank_Keys!D340)=0),0.5,(SUMPRODUCT(--ISNUMBER(Risk_Rank_Keys!$D$2:$D$800),--(Risk_Rank_Keys!$D$2:$D$800&lt;Risk_Rank_Keys!D340))+(SUMPRODUCT(--ISNUMBER(Risk_Rank_Keys!$D$2:$D$800),--(Risk_Rank_Keys!$D$2:$D$800=Risk_Rank_Keys!D340))+1)/2)/COUNT(Risk_Rank_Keys!$D$2:$D$800))</f>
        <v/>
      </c>
      <c r="P340">
        <f>AVERAGE(M340:O340)</f>
        <v/>
      </c>
      <c r="Q340">
        <f>0.4*H340+0.4*I340+0.2*P340</f>
        <v/>
      </c>
      <c r="R340">
        <f>PERCENTILE($Q$2:$Q$800,0.75)</f>
        <v/>
      </c>
      <c r="S340">
        <f>OR(Q340&gt;=R340,AND(B340="CW",COUNT(J340:L340)&lt;3))</f>
        <v/>
      </c>
      <c r="T340" t="n">
        <v>0.3843641785227385</v>
      </c>
      <c r="U340" t="n">
        <v>11.23707595804158</v>
      </c>
      <c r="V340" t="n">
        <v>0.8011355430922779</v>
      </c>
      <c r="W340">
        <f>Q340-V340</f>
        <v/>
      </c>
    </row>
    <row r="341">
      <c r="A341" t="inlineStr">
        <is>
          <t>2022-11-17</t>
        </is>
      </c>
      <c r="B341" t="inlineStr">
        <is>
          <t>NW</t>
        </is>
      </c>
      <c r="C341" t="n">
        <v>22.14520579737587</v>
      </c>
      <c r="D341">
        <f>SUMPRODUCT(Risk_Inputs!B341:AJ341,Risk_Coefs!$B$2:$AJ$2)</f>
        <v/>
      </c>
      <c r="E341">
        <f>1/(1+EXP(-MAX(-25,MIN(25,D341))))</f>
        <v/>
      </c>
      <c r="F341">
        <f>SUMPRODUCT(Risk_Inputs!B341:AJ341,Risk_Coefs!$B$3:$AJ$3)</f>
        <v/>
      </c>
      <c r="G341">
        <f>MAX(0,F341)</f>
        <v/>
      </c>
      <c r="H341">
        <f>(SUMPRODUCT(--ISNUMBER($E$2:$E$800),--($E$2:$E$800&lt;E341))+(SUMPRODUCT(--ISNUMBER($E$2:$E$800),--($E$2:$E$800=E341))+1)/2)/COUNT($E$2:$E$800)</f>
        <v/>
      </c>
      <c r="I341">
        <f>(SUMPRODUCT(--ISNUMBER($G$2:$G$800),--($G$2:$G$800&lt;G341))+(SUMPRODUCT(--ISNUMBER($G$2:$G$800),--($G$2:$G$800=G341))+1)/2)/COUNT($G$2:$G$800)</f>
        <v/>
      </c>
      <c r="M341">
        <f>IF(OR(B341="NW",COUNT(Risk_Rank_Keys!B341)=0),0.5,(SUMPRODUCT(--ISNUMBER(Risk_Rank_Keys!$B$2:$B$800),--(Risk_Rank_Keys!$B$2:$B$800&lt;Risk_Rank_Keys!B341))+(SUMPRODUCT(--ISNUMBER(Risk_Rank_Keys!$B$2:$B$800),--(Risk_Rank_Keys!$B$2:$B$800=Risk_Rank_Keys!B341))+1)/2)/COUNT(Risk_Rank_Keys!$B$2:$B$800))</f>
        <v/>
      </c>
      <c r="N341">
        <f>IF(OR(B341="NW",COUNT(Risk_Rank_Keys!C341)=0),0.5,(SUMPRODUCT(--ISNUMBER(Risk_Rank_Keys!$C$2:$C$800),--(Risk_Rank_Keys!$C$2:$C$800&lt;Risk_Rank_Keys!C341))+(SUMPRODUCT(--ISNUMBER(Risk_Rank_Keys!$C$2:$C$800),--(Risk_Rank_Keys!$C$2:$C$800=Risk_Rank_Keys!C341))+1)/2)/COUNT(Risk_Rank_Keys!$C$2:$C$800))</f>
        <v/>
      </c>
      <c r="O341">
        <f>IF(OR(B341="NW",COUNT(Risk_Rank_Keys!D341)=0),0.5,(SUMPRODUCT(--ISNUMBER(Risk_Rank_Keys!$D$2:$D$800),--(Risk_Rank_Keys!$D$2:$D$800&lt;Risk_Rank_Keys!D341))+(SUMPRODUCT(--ISNUMBER(Risk_Rank_Keys!$D$2:$D$800),--(Risk_Rank_Keys!$D$2:$D$800=Risk_Rank_Keys!D341))+1)/2)/COUNT(Risk_Rank_Keys!$D$2:$D$800))</f>
        <v/>
      </c>
      <c r="P341">
        <f>AVERAGE(M341:O341)</f>
        <v/>
      </c>
      <c r="Q341">
        <f>0.4*H341+0.4*I341+0.2*P341</f>
        <v/>
      </c>
      <c r="R341">
        <f>PERCENTILE($Q$2:$Q$800,0.75)</f>
        <v/>
      </c>
      <c r="S341">
        <f>OR(Q341&gt;=R341,AND(B341="CW",COUNT(J341:L341)&lt;3))</f>
        <v/>
      </c>
      <c r="T341" t="n">
        <v>0.3736944213170413</v>
      </c>
      <c r="U341" t="n">
        <v>10.90890289476564</v>
      </c>
      <c r="V341" t="n">
        <v>0.8018773466833543</v>
      </c>
      <c r="W341">
        <f>Q341-V341</f>
        <v/>
      </c>
    </row>
    <row r="342">
      <c r="A342" t="inlineStr">
        <is>
          <t>2022-11-22</t>
        </is>
      </c>
      <c r="B342" t="inlineStr">
        <is>
          <t>CW</t>
        </is>
      </c>
      <c r="C342" t="n">
        <v>19.29829790198558</v>
      </c>
      <c r="D342">
        <f>SUMPRODUCT(Risk_Inputs!B342:AJ342,Risk_Coefs!$B$2:$AJ$2)</f>
        <v/>
      </c>
      <c r="E342">
        <f>1/(1+EXP(-MAX(-25,MIN(25,D342))))</f>
        <v/>
      </c>
      <c r="F342">
        <f>SUMPRODUCT(Risk_Inputs!B342:AJ342,Risk_Coefs!$B$3:$AJ$3)</f>
        <v/>
      </c>
      <c r="G342">
        <f>MAX(0,F342)</f>
        <v/>
      </c>
      <c r="H342">
        <f>(SUMPRODUCT(--ISNUMBER($E$2:$E$800),--($E$2:$E$800&lt;E342))+(SUMPRODUCT(--ISNUMBER($E$2:$E$800),--($E$2:$E$800=E342))+1)/2)/COUNT($E$2:$E$800)</f>
        <v/>
      </c>
      <c r="I342">
        <f>(SUMPRODUCT(--ISNUMBER($G$2:$G$800),--($G$2:$G$800&lt;G342))+(SUMPRODUCT(--ISNUMBER($G$2:$G$800),--($G$2:$G$800=G342))+1)/2)/COUNT($G$2:$G$800)</f>
        <v/>
      </c>
      <c r="J342" t="n">
        <v>6.320973539855111</v>
      </c>
      <c r="K342" t="n">
        <v>1.737704918032809</v>
      </c>
      <c r="L342" t="n">
        <v>0.1311475409836084</v>
      </c>
      <c r="M342">
        <f>IF(OR(B342="NW",COUNT(Risk_Rank_Keys!B342)=0),0.5,(SUMPRODUCT(--ISNUMBER(Risk_Rank_Keys!$B$2:$B$800),--(Risk_Rank_Keys!$B$2:$B$800&lt;Risk_Rank_Keys!B342))+(SUMPRODUCT(--ISNUMBER(Risk_Rank_Keys!$B$2:$B$800),--(Risk_Rank_Keys!$B$2:$B$800=Risk_Rank_Keys!B342))+1)/2)/COUNT(Risk_Rank_Keys!$B$2:$B$800))</f>
        <v/>
      </c>
      <c r="N342">
        <f>IF(OR(B342="NW",COUNT(Risk_Rank_Keys!C342)=0),0.5,(SUMPRODUCT(--ISNUMBER(Risk_Rank_Keys!$C$2:$C$800),--(Risk_Rank_Keys!$C$2:$C$800&lt;Risk_Rank_Keys!C342))+(SUMPRODUCT(--ISNUMBER(Risk_Rank_Keys!$C$2:$C$800),--(Risk_Rank_Keys!$C$2:$C$800=Risk_Rank_Keys!C342))+1)/2)/COUNT(Risk_Rank_Keys!$C$2:$C$800))</f>
        <v/>
      </c>
      <c r="O342">
        <f>IF(OR(B342="NW",COUNT(Risk_Rank_Keys!D342)=0),0.5,(SUMPRODUCT(--ISNUMBER(Risk_Rank_Keys!$D$2:$D$800),--(Risk_Rank_Keys!$D$2:$D$800&lt;Risk_Rank_Keys!D342))+(SUMPRODUCT(--ISNUMBER(Risk_Rank_Keys!$D$2:$D$800),--(Risk_Rank_Keys!$D$2:$D$800=Risk_Rank_Keys!D342))+1)/2)/COUNT(Risk_Rank_Keys!$D$2:$D$800))</f>
        <v/>
      </c>
      <c r="P342">
        <f>AVERAGE(M342:O342)</f>
        <v/>
      </c>
      <c r="Q342">
        <f>0.4*H342+0.4*I342+0.2*P342</f>
        <v/>
      </c>
      <c r="R342">
        <f>PERCENTILE($Q$2:$Q$800,0.75)</f>
        <v/>
      </c>
      <c r="S342">
        <f>OR(Q342&gt;=R342,AND(B342="CW",COUNT(J342:L342)&lt;3))</f>
        <v/>
      </c>
      <c r="T342" t="n">
        <v>0.2632271861071351</v>
      </c>
      <c r="U342" t="n">
        <v>4.137571401086442</v>
      </c>
      <c r="V342" t="n">
        <v>0.2022982005051642</v>
      </c>
      <c r="W342">
        <f>Q342-V342</f>
        <v/>
      </c>
    </row>
    <row r="343">
      <c r="A343" t="inlineStr">
        <is>
          <t>2022-11-25</t>
        </is>
      </c>
      <c r="B343" t="inlineStr">
        <is>
          <t>CW</t>
        </is>
      </c>
      <c r="C343" t="n">
        <v>16.73945354940996</v>
      </c>
      <c r="D343">
        <f>SUMPRODUCT(Risk_Inputs!B343:AJ343,Risk_Coefs!$B$2:$AJ$2)</f>
        <v/>
      </c>
      <c r="E343">
        <f>1/(1+EXP(-MAX(-25,MIN(25,D343))))</f>
        <v/>
      </c>
      <c r="F343">
        <f>SUMPRODUCT(Risk_Inputs!B343:AJ343,Risk_Coefs!$B$3:$AJ$3)</f>
        <v/>
      </c>
      <c r="G343">
        <f>MAX(0,F343)</f>
        <v/>
      </c>
      <c r="H343">
        <f>(SUMPRODUCT(--ISNUMBER($E$2:$E$800),--($E$2:$E$800&lt;E343))+(SUMPRODUCT(--ISNUMBER($E$2:$E$800),--($E$2:$E$800=E343))+1)/2)/COUNT($E$2:$E$800)</f>
        <v/>
      </c>
      <c r="I343">
        <f>(SUMPRODUCT(--ISNUMBER($G$2:$G$800),--($G$2:$G$800&lt;G343))+(SUMPRODUCT(--ISNUMBER($G$2:$G$800),--($G$2:$G$800=G343))+1)/2)/COUNT($G$2:$G$800)</f>
        <v/>
      </c>
      <c r="J343" t="n">
        <v>6.618562772340352</v>
      </c>
      <c r="K343" t="n">
        <v>2.740396378761925</v>
      </c>
      <c r="L343" t="n">
        <v>0.1468069488622377</v>
      </c>
      <c r="M343">
        <f>IF(OR(B343="NW",COUNT(Risk_Rank_Keys!B343)=0),0.5,(SUMPRODUCT(--ISNUMBER(Risk_Rank_Keys!$B$2:$B$800),--(Risk_Rank_Keys!$B$2:$B$800&lt;Risk_Rank_Keys!B343))+(SUMPRODUCT(--ISNUMBER(Risk_Rank_Keys!$B$2:$B$800),--(Risk_Rank_Keys!$B$2:$B$800=Risk_Rank_Keys!B343))+1)/2)/COUNT(Risk_Rank_Keys!$B$2:$B$800))</f>
        <v/>
      </c>
      <c r="N343">
        <f>IF(OR(B343="NW",COUNT(Risk_Rank_Keys!C343)=0),0.5,(SUMPRODUCT(--ISNUMBER(Risk_Rank_Keys!$C$2:$C$800),--(Risk_Rank_Keys!$C$2:$C$800&lt;Risk_Rank_Keys!C343))+(SUMPRODUCT(--ISNUMBER(Risk_Rank_Keys!$C$2:$C$800),--(Risk_Rank_Keys!$C$2:$C$800=Risk_Rank_Keys!C343))+1)/2)/COUNT(Risk_Rank_Keys!$C$2:$C$800))</f>
        <v/>
      </c>
      <c r="O343">
        <f>IF(OR(B343="NW",COUNT(Risk_Rank_Keys!D343)=0),0.5,(SUMPRODUCT(--ISNUMBER(Risk_Rank_Keys!$D$2:$D$800),--(Risk_Rank_Keys!$D$2:$D$800&lt;Risk_Rank_Keys!D343))+(SUMPRODUCT(--ISNUMBER(Risk_Rank_Keys!$D$2:$D$800),--(Risk_Rank_Keys!$D$2:$D$800=Risk_Rank_Keys!D343))+1)/2)/COUNT(Risk_Rank_Keys!$D$2:$D$800))</f>
        <v/>
      </c>
      <c r="P343">
        <f>AVERAGE(M343:O343)</f>
        <v/>
      </c>
      <c r="Q343">
        <f>0.4*H343+0.4*I343+0.2*P343</f>
        <v/>
      </c>
      <c r="R343">
        <f>PERCENTILE($Q$2:$Q$800,0.75)</f>
        <v/>
      </c>
      <c r="S343">
        <f>OR(Q343&gt;=R343,AND(B343="CW",COUNT(J343:L343)&lt;3))</f>
        <v/>
      </c>
      <c r="T343" t="n">
        <v>0.2402701925455675</v>
      </c>
      <c r="U343" t="n">
        <v>6.165619243908616</v>
      </c>
      <c r="V343" t="n">
        <v>0.258055018796741</v>
      </c>
      <c r="W343">
        <f>Q343-V343</f>
        <v/>
      </c>
    </row>
    <row r="344">
      <c r="A344" t="inlineStr">
        <is>
          <t>2022-11-28</t>
        </is>
      </c>
      <c r="B344" t="inlineStr">
        <is>
          <t>CW</t>
        </is>
      </c>
      <c r="C344" t="n">
        <v>-0.7420877249032478</v>
      </c>
      <c r="D344">
        <f>SUMPRODUCT(Risk_Inputs!B344:AJ344,Risk_Coefs!$B$2:$AJ$2)</f>
        <v/>
      </c>
      <c r="E344">
        <f>1/(1+EXP(-MAX(-25,MIN(25,D344))))</f>
        <v/>
      </c>
      <c r="F344">
        <f>SUMPRODUCT(Risk_Inputs!B344:AJ344,Risk_Coefs!$B$3:$AJ$3)</f>
        <v/>
      </c>
      <c r="G344">
        <f>MAX(0,F344)</f>
        <v/>
      </c>
      <c r="H344">
        <f>(SUMPRODUCT(--ISNUMBER($E$2:$E$800),--($E$2:$E$800&lt;E344))+(SUMPRODUCT(--ISNUMBER($E$2:$E$800),--($E$2:$E$800=E344))+1)/2)/COUNT($E$2:$E$800)</f>
        <v/>
      </c>
      <c r="I344">
        <f>(SUMPRODUCT(--ISNUMBER($G$2:$G$800),--($G$2:$G$800&lt;G344))+(SUMPRODUCT(--ISNUMBER($G$2:$G$800),--($G$2:$G$800=G344))+1)/2)/COUNT($G$2:$G$800)</f>
        <v/>
      </c>
      <c r="J344" t="n">
        <v>6.295799917856194</v>
      </c>
      <c r="K344" t="n">
        <v>2.937754508435144</v>
      </c>
      <c r="L344" t="n">
        <v>0.2326934264107071</v>
      </c>
      <c r="M344">
        <f>IF(OR(B344="NW",COUNT(Risk_Rank_Keys!B344)=0),0.5,(SUMPRODUCT(--ISNUMBER(Risk_Rank_Keys!$B$2:$B$800),--(Risk_Rank_Keys!$B$2:$B$800&lt;Risk_Rank_Keys!B344))+(SUMPRODUCT(--ISNUMBER(Risk_Rank_Keys!$B$2:$B$800),--(Risk_Rank_Keys!$B$2:$B$800=Risk_Rank_Keys!B344))+1)/2)/COUNT(Risk_Rank_Keys!$B$2:$B$800))</f>
        <v/>
      </c>
      <c r="N344">
        <f>IF(OR(B344="NW",COUNT(Risk_Rank_Keys!C344)=0),0.5,(SUMPRODUCT(--ISNUMBER(Risk_Rank_Keys!$C$2:$C$800),--(Risk_Rank_Keys!$C$2:$C$800&lt;Risk_Rank_Keys!C344))+(SUMPRODUCT(--ISNUMBER(Risk_Rank_Keys!$C$2:$C$800),--(Risk_Rank_Keys!$C$2:$C$800=Risk_Rank_Keys!C344))+1)/2)/COUNT(Risk_Rank_Keys!$C$2:$C$800))</f>
        <v/>
      </c>
      <c r="O344">
        <f>IF(OR(B344="NW",COUNT(Risk_Rank_Keys!D344)=0),0.5,(SUMPRODUCT(--ISNUMBER(Risk_Rank_Keys!$D$2:$D$800),--(Risk_Rank_Keys!$D$2:$D$800&lt;Risk_Rank_Keys!D344))+(SUMPRODUCT(--ISNUMBER(Risk_Rank_Keys!$D$2:$D$800),--(Risk_Rank_Keys!$D$2:$D$800=Risk_Rank_Keys!D344))+1)/2)/COUNT(Risk_Rank_Keys!$D$2:$D$800))</f>
        <v/>
      </c>
      <c r="P344">
        <f>AVERAGE(M344:O344)</f>
        <v/>
      </c>
      <c r="Q344">
        <f>0.4*H344+0.4*I344+0.2*P344</f>
        <v/>
      </c>
      <c r="R344">
        <f>PERCENTILE($Q$2:$Q$800,0.75)</f>
        <v/>
      </c>
      <c r="S344">
        <f>OR(Q344&gt;=R344,AND(B344="CW",COUNT(J344:L344)&lt;3))</f>
        <v/>
      </c>
      <c r="T344" t="n">
        <v>0.3071407926958039</v>
      </c>
      <c r="U344" t="n">
        <v>4.827556374014819</v>
      </c>
      <c r="V344" t="n">
        <v>0.3690421371670423</v>
      </c>
      <c r="W344">
        <f>Q344-V344</f>
        <v/>
      </c>
    </row>
    <row r="345">
      <c r="A345" t="inlineStr">
        <is>
          <t>2022-11-29</t>
        </is>
      </c>
      <c r="B345" t="inlineStr">
        <is>
          <t>CW</t>
        </is>
      </c>
      <c r="C345" t="n">
        <v>30.94654260888343</v>
      </c>
      <c r="D345">
        <f>SUMPRODUCT(Risk_Inputs!B345:AJ345,Risk_Coefs!$B$2:$AJ$2)</f>
        <v/>
      </c>
      <c r="E345">
        <f>1/(1+EXP(-MAX(-25,MIN(25,D345))))</f>
        <v/>
      </c>
      <c r="F345">
        <f>SUMPRODUCT(Risk_Inputs!B345:AJ345,Risk_Coefs!$B$3:$AJ$3)</f>
        <v/>
      </c>
      <c r="G345">
        <f>MAX(0,F345)</f>
        <v/>
      </c>
      <c r="H345">
        <f>(SUMPRODUCT(--ISNUMBER($E$2:$E$800),--($E$2:$E$800&lt;E345))+(SUMPRODUCT(--ISNUMBER($E$2:$E$800),--($E$2:$E$800=E345))+1)/2)/COUNT($E$2:$E$800)</f>
        <v/>
      </c>
      <c r="I345">
        <f>(SUMPRODUCT(--ISNUMBER($G$2:$G$800),--($G$2:$G$800&lt;G345))+(SUMPRODUCT(--ISNUMBER($G$2:$G$800),--($G$2:$G$800=G345))+1)/2)/COUNT($G$2:$G$800)</f>
        <v/>
      </c>
      <c r="J345" t="n">
        <v>7.336244541485498</v>
      </c>
      <c r="K345" t="n">
        <v>3.425340871300304</v>
      </c>
      <c r="L345" t="n">
        <v>0.1330229464582659</v>
      </c>
      <c r="M345">
        <f>IF(OR(B345="NW",COUNT(Risk_Rank_Keys!B345)=0),0.5,(SUMPRODUCT(--ISNUMBER(Risk_Rank_Keys!$B$2:$B$800),--(Risk_Rank_Keys!$B$2:$B$800&lt;Risk_Rank_Keys!B345))+(SUMPRODUCT(--ISNUMBER(Risk_Rank_Keys!$B$2:$B$800),--(Risk_Rank_Keys!$B$2:$B$800=Risk_Rank_Keys!B345))+1)/2)/COUNT(Risk_Rank_Keys!$B$2:$B$800))</f>
        <v/>
      </c>
      <c r="N345">
        <f>IF(OR(B345="NW",COUNT(Risk_Rank_Keys!C345)=0),0.5,(SUMPRODUCT(--ISNUMBER(Risk_Rank_Keys!$C$2:$C$800),--(Risk_Rank_Keys!$C$2:$C$800&lt;Risk_Rank_Keys!C345))+(SUMPRODUCT(--ISNUMBER(Risk_Rank_Keys!$C$2:$C$800),--(Risk_Rank_Keys!$C$2:$C$800=Risk_Rank_Keys!C345))+1)/2)/COUNT(Risk_Rank_Keys!$C$2:$C$800))</f>
        <v/>
      </c>
      <c r="O345">
        <f>IF(OR(B345="NW",COUNT(Risk_Rank_Keys!D345)=0),0.5,(SUMPRODUCT(--ISNUMBER(Risk_Rank_Keys!$D$2:$D$800),--(Risk_Rank_Keys!$D$2:$D$800&lt;Risk_Rank_Keys!D345))+(SUMPRODUCT(--ISNUMBER(Risk_Rank_Keys!$D$2:$D$800),--(Risk_Rank_Keys!$D$2:$D$800=Risk_Rank_Keys!D345))+1)/2)/COUNT(Risk_Rank_Keys!$D$2:$D$800))</f>
        <v/>
      </c>
      <c r="P345">
        <f>AVERAGE(M345:O345)</f>
        <v/>
      </c>
      <c r="Q345">
        <f>0.4*H345+0.4*I345+0.2*P345</f>
        <v/>
      </c>
      <c r="R345">
        <f>PERCENTILE($Q$2:$Q$800,0.75)</f>
        <v/>
      </c>
      <c r="S345">
        <f>OR(Q345&gt;=R345,AND(B345="CW",COUNT(J345:L345)&lt;3))</f>
        <v/>
      </c>
      <c r="T345" t="n">
        <v>0.2381109894032793</v>
      </c>
      <c r="U345" t="n">
        <v>5.188078388562802</v>
      </c>
      <c r="V345" t="n">
        <v>0.2117047750878743</v>
      </c>
      <c r="W345">
        <f>Q345-V345</f>
        <v/>
      </c>
    </row>
    <row r="346">
      <c r="A346" t="inlineStr">
        <is>
          <t>2022-12-02</t>
        </is>
      </c>
      <c r="B346" t="inlineStr">
        <is>
          <t>CW</t>
        </is>
      </c>
      <c r="C346" t="n">
        <v>15.57789026390641</v>
      </c>
      <c r="D346">
        <f>SUMPRODUCT(Risk_Inputs!B346:AJ346,Risk_Coefs!$B$2:$AJ$2)</f>
        <v/>
      </c>
      <c r="E346">
        <f>1/(1+EXP(-MAX(-25,MIN(25,D346))))</f>
        <v/>
      </c>
      <c r="F346">
        <f>SUMPRODUCT(Risk_Inputs!B346:AJ346,Risk_Coefs!$B$3:$AJ$3)</f>
        <v/>
      </c>
      <c r="G346">
        <f>MAX(0,F346)</f>
        <v/>
      </c>
      <c r="H346">
        <f>(SUMPRODUCT(--ISNUMBER($E$2:$E$800),--($E$2:$E$800&lt;E346))+(SUMPRODUCT(--ISNUMBER($E$2:$E$800),--($E$2:$E$800=E346))+1)/2)/COUNT($E$2:$E$800)</f>
        <v/>
      </c>
      <c r="I346">
        <f>(SUMPRODUCT(--ISNUMBER($G$2:$G$800),--($G$2:$G$800&lt;G346))+(SUMPRODUCT(--ISNUMBER($G$2:$G$800),--($G$2:$G$800=G346))+1)/2)/COUNT($G$2:$G$800)</f>
        <v/>
      </c>
      <c r="J346" t="n">
        <v>7.132193069531674</v>
      </c>
      <c r="K346" t="n">
        <v>2.227722772277235</v>
      </c>
      <c r="L346" t="n">
        <v>0.2475247524752462</v>
      </c>
      <c r="M346">
        <f>IF(OR(B346="NW",COUNT(Risk_Rank_Keys!B346)=0),0.5,(SUMPRODUCT(--ISNUMBER(Risk_Rank_Keys!$B$2:$B$800),--(Risk_Rank_Keys!$B$2:$B$800&lt;Risk_Rank_Keys!B346))+(SUMPRODUCT(--ISNUMBER(Risk_Rank_Keys!$B$2:$B$800),--(Risk_Rank_Keys!$B$2:$B$800=Risk_Rank_Keys!B346))+1)/2)/COUNT(Risk_Rank_Keys!$B$2:$B$800))</f>
        <v/>
      </c>
      <c r="N346">
        <f>IF(OR(B346="NW",COUNT(Risk_Rank_Keys!C346)=0),0.5,(SUMPRODUCT(--ISNUMBER(Risk_Rank_Keys!$C$2:$C$800),--(Risk_Rank_Keys!$C$2:$C$800&lt;Risk_Rank_Keys!C346))+(SUMPRODUCT(--ISNUMBER(Risk_Rank_Keys!$C$2:$C$800),--(Risk_Rank_Keys!$C$2:$C$800=Risk_Rank_Keys!C346))+1)/2)/COUNT(Risk_Rank_Keys!$C$2:$C$800))</f>
        <v/>
      </c>
      <c r="O346">
        <f>IF(OR(B346="NW",COUNT(Risk_Rank_Keys!D346)=0),0.5,(SUMPRODUCT(--ISNUMBER(Risk_Rank_Keys!$D$2:$D$800),--(Risk_Rank_Keys!$D$2:$D$800&lt;Risk_Rank_Keys!D346))+(SUMPRODUCT(--ISNUMBER(Risk_Rank_Keys!$D$2:$D$800),--(Risk_Rank_Keys!$D$2:$D$800=Risk_Rank_Keys!D346))+1)/2)/COUNT(Risk_Rank_Keys!$D$2:$D$800))</f>
        <v/>
      </c>
      <c r="P346">
        <f>AVERAGE(M346:O346)</f>
        <v/>
      </c>
      <c r="Q346">
        <f>0.4*H346+0.4*I346+0.2*P346</f>
        <v/>
      </c>
      <c r="R346">
        <f>PERCENTILE($Q$2:$Q$800,0.75)</f>
        <v/>
      </c>
      <c r="S346">
        <f>OR(Q346&gt;=R346,AND(B346="CW",COUNT(J346:L346)&lt;3))</f>
        <v/>
      </c>
      <c r="T346" t="n">
        <v>0.2217559180966164</v>
      </c>
      <c r="U346" t="n">
        <v>4.37086068002053</v>
      </c>
      <c r="V346" t="n">
        <v>0.1729720262834354</v>
      </c>
      <c r="W346">
        <f>Q346-V346</f>
        <v/>
      </c>
    </row>
    <row r="347">
      <c r="A347" t="inlineStr">
        <is>
          <t>2022-12-05</t>
        </is>
      </c>
      <c r="B347" t="inlineStr">
        <is>
          <t>CW</t>
        </is>
      </c>
      <c r="C347" t="n">
        <v>-21.5046773701132</v>
      </c>
      <c r="D347">
        <f>SUMPRODUCT(Risk_Inputs!B347:AJ347,Risk_Coefs!$B$2:$AJ$2)</f>
        <v/>
      </c>
      <c r="E347">
        <f>1/(1+EXP(-MAX(-25,MIN(25,D347))))</f>
        <v/>
      </c>
      <c r="F347">
        <f>SUMPRODUCT(Risk_Inputs!B347:AJ347,Risk_Coefs!$B$3:$AJ$3)</f>
        <v/>
      </c>
      <c r="G347">
        <f>MAX(0,F347)</f>
        <v/>
      </c>
      <c r="H347">
        <f>(SUMPRODUCT(--ISNUMBER($E$2:$E$800),--($E$2:$E$800&lt;E347))+(SUMPRODUCT(--ISNUMBER($E$2:$E$800),--($E$2:$E$800=E347))+1)/2)/COUNT($E$2:$E$800)</f>
        <v/>
      </c>
      <c r="I347">
        <f>(SUMPRODUCT(--ISNUMBER($G$2:$G$800),--($G$2:$G$800&lt;G347))+(SUMPRODUCT(--ISNUMBER($G$2:$G$800),--($G$2:$G$800=G347))+1)/2)/COUNT($G$2:$G$800)</f>
        <v/>
      </c>
      <c r="J347" t="n">
        <v>5.663815167268783</v>
      </c>
      <c r="K347" t="n">
        <v>1.52691511387163</v>
      </c>
      <c r="L347" t="n">
        <v>0.129399585921325</v>
      </c>
      <c r="M347">
        <f>IF(OR(B347="NW",COUNT(Risk_Rank_Keys!B347)=0),0.5,(SUMPRODUCT(--ISNUMBER(Risk_Rank_Keys!$B$2:$B$800),--(Risk_Rank_Keys!$B$2:$B$800&lt;Risk_Rank_Keys!B347))+(SUMPRODUCT(--ISNUMBER(Risk_Rank_Keys!$B$2:$B$800),--(Risk_Rank_Keys!$B$2:$B$800=Risk_Rank_Keys!B347))+1)/2)/COUNT(Risk_Rank_Keys!$B$2:$B$800))</f>
        <v/>
      </c>
      <c r="N347">
        <f>IF(OR(B347="NW",COUNT(Risk_Rank_Keys!C347)=0),0.5,(SUMPRODUCT(--ISNUMBER(Risk_Rank_Keys!$C$2:$C$800),--(Risk_Rank_Keys!$C$2:$C$800&lt;Risk_Rank_Keys!C347))+(SUMPRODUCT(--ISNUMBER(Risk_Rank_Keys!$C$2:$C$800),--(Risk_Rank_Keys!$C$2:$C$800=Risk_Rank_Keys!C347))+1)/2)/COUNT(Risk_Rank_Keys!$C$2:$C$800))</f>
        <v/>
      </c>
      <c r="O347">
        <f>IF(OR(B347="NW",COUNT(Risk_Rank_Keys!D347)=0),0.5,(SUMPRODUCT(--ISNUMBER(Risk_Rank_Keys!$D$2:$D$800),--(Risk_Rank_Keys!$D$2:$D$800&lt;Risk_Rank_Keys!D347))+(SUMPRODUCT(--ISNUMBER(Risk_Rank_Keys!$D$2:$D$800),--(Risk_Rank_Keys!$D$2:$D$800=Risk_Rank_Keys!D347))+1)/2)/COUNT(Risk_Rank_Keys!$D$2:$D$800))</f>
        <v/>
      </c>
      <c r="P347">
        <f>AVERAGE(M347:O347)</f>
        <v/>
      </c>
      <c r="Q347">
        <f>0.4*H347+0.4*I347+0.2*P347</f>
        <v/>
      </c>
      <c r="R347">
        <f>PERCENTILE($Q$2:$Q$800,0.75)</f>
        <v/>
      </c>
      <c r="S347">
        <f>OR(Q347&gt;=R347,AND(B347="CW",COUNT(J347:L347)&lt;3))</f>
        <v/>
      </c>
      <c r="T347" t="n">
        <v>0.3102936900156776</v>
      </c>
      <c r="U347" t="n">
        <v>7.698142061900057</v>
      </c>
      <c r="V347" t="n">
        <v>0.4794154012832172</v>
      </c>
      <c r="W347">
        <f>Q347-V347</f>
        <v/>
      </c>
    </row>
    <row r="348">
      <c r="A348" t="inlineStr">
        <is>
          <t>2022-12-06</t>
        </is>
      </c>
      <c r="B348" t="inlineStr">
        <is>
          <t>CW</t>
        </is>
      </c>
      <c r="C348" t="n">
        <v>6.923294311671619</v>
      </c>
      <c r="D348">
        <f>SUMPRODUCT(Risk_Inputs!B348:AJ348,Risk_Coefs!$B$2:$AJ$2)</f>
        <v/>
      </c>
      <c r="E348">
        <f>1/(1+EXP(-MAX(-25,MIN(25,D348))))</f>
        <v/>
      </c>
      <c r="F348">
        <f>SUMPRODUCT(Risk_Inputs!B348:AJ348,Risk_Coefs!$B$3:$AJ$3)</f>
        <v/>
      </c>
      <c r="G348">
        <f>MAX(0,F348)</f>
        <v/>
      </c>
      <c r="H348">
        <f>(SUMPRODUCT(--ISNUMBER($E$2:$E$800),--($E$2:$E$800&lt;E348))+(SUMPRODUCT(--ISNUMBER($E$2:$E$800),--($E$2:$E$800=E348))+1)/2)/COUNT($E$2:$E$800)</f>
        <v/>
      </c>
      <c r="I348">
        <f>(SUMPRODUCT(--ISNUMBER($G$2:$G$800),--($G$2:$G$800&lt;G348))+(SUMPRODUCT(--ISNUMBER($G$2:$G$800),--($G$2:$G$800=G348))+1)/2)/COUNT($G$2:$G$800)</f>
        <v/>
      </c>
      <c r="J348" t="n">
        <v>12.33329937207224</v>
      </c>
      <c r="K348" t="n">
        <v>2.371998842927407</v>
      </c>
      <c r="L348" t="n">
        <v>0.2603413364188537</v>
      </c>
      <c r="M348">
        <f>IF(OR(B348="NW",COUNT(Risk_Rank_Keys!B348)=0),0.5,(SUMPRODUCT(--ISNUMBER(Risk_Rank_Keys!$B$2:$B$800),--(Risk_Rank_Keys!$B$2:$B$800&lt;Risk_Rank_Keys!B348))+(SUMPRODUCT(--ISNUMBER(Risk_Rank_Keys!$B$2:$B$800),--(Risk_Rank_Keys!$B$2:$B$800=Risk_Rank_Keys!B348))+1)/2)/COUNT(Risk_Rank_Keys!$B$2:$B$800))</f>
        <v/>
      </c>
      <c r="N348">
        <f>IF(OR(B348="NW",COUNT(Risk_Rank_Keys!C348)=0),0.5,(SUMPRODUCT(--ISNUMBER(Risk_Rank_Keys!$C$2:$C$800),--(Risk_Rank_Keys!$C$2:$C$800&lt;Risk_Rank_Keys!C348))+(SUMPRODUCT(--ISNUMBER(Risk_Rank_Keys!$C$2:$C$800),--(Risk_Rank_Keys!$C$2:$C$800=Risk_Rank_Keys!C348))+1)/2)/COUNT(Risk_Rank_Keys!$C$2:$C$800))</f>
        <v/>
      </c>
      <c r="O348">
        <f>IF(OR(B348="NW",COUNT(Risk_Rank_Keys!D348)=0),0.5,(SUMPRODUCT(--ISNUMBER(Risk_Rank_Keys!$D$2:$D$800),--(Risk_Rank_Keys!$D$2:$D$800&lt;Risk_Rank_Keys!D348))+(SUMPRODUCT(--ISNUMBER(Risk_Rank_Keys!$D$2:$D$800),--(Risk_Rank_Keys!$D$2:$D$800=Risk_Rank_Keys!D348))+1)/2)/COUNT(Risk_Rank_Keys!$D$2:$D$800))</f>
        <v/>
      </c>
      <c r="P348">
        <f>AVERAGE(M348:O348)</f>
        <v/>
      </c>
      <c r="Q348">
        <f>0.4*H348+0.4*I348+0.2*P348</f>
        <v/>
      </c>
      <c r="R348">
        <f>PERCENTILE($Q$2:$Q$800,0.75)</f>
        <v/>
      </c>
      <c r="S348">
        <f>OR(Q348&gt;=R348,AND(B348="CW",COUNT(J348:L348)&lt;3))</f>
        <v/>
      </c>
      <c r="T348" t="n">
        <v>0.2424307631222741</v>
      </c>
      <c r="U348" t="n">
        <v>5.053652790759677</v>
      </c>
      <c r="V348" t="n">
        <v>0.2573007053796325</v>
      </c>
      <c r="W348">
        <f>Q348-V348</f>
        <v/>
      </c>
    </row>
    <row r="349">
      <c r="A349" t="inlineStr">
        <is>
          <t>2022-12-07</t>
        </is>
      </c>
      <c r="B349" t="inlineStr">
        <is>
          <t>CW</t>
        </is>
      </c>
      <c r="C349" t="n">
        <v>37.04043763301979</v>
      </c>
      <c r="D349">
        <f>SUMPRODUCT(Risk_Inputs!B349:AJ349,Risk_Coefs!$B$2:$AJ$2)</f>
        <v/>
      </c>
      <c r="E349">
        <f>1/(1+EXP(-MAX(-25,MIN(25,D349))))</f>
        <v/>
      </c>
      <c r="F349">
        <f>SUMPRODUCT(Risk_Inputs!B349:AJ349,Risk_Coefs!$B$3:$AJ$3)</f>
        <v/>
      </c>
      <c r="G349">
        <f>MAX(0,F349)</f>
        <v/>
      </c>
      <c r="H349">
        <f>(SUMPRODUCT(--ISNUMBER($E$2:$E$800),--($E$2:$E$800&lt;E349))+(SUMPRODUCT(--ISNUMBER($E$2:$E$800),--($E$2:$E$800=E349))+1)/2)/COUNT($E$2:$E$800)</f>
        <v/>
      </c>
      <c r="I349">
        <f>(SUMPRODUCT(--ISNUMBER($G$2:$G$800),--($G$2:$G$800&lt;G349))+(SUMPRODUCT(--ISNUMBER($G$2:$G$800),--($G$2:$G$800=G349))+1)/2)/COUNT($G$2:$G$800)</f>
        <v/>
      </c>
      <c r="J349" t="n">
        <v>7.32158661195669</v>
      </c>
      <c r="K349" t="n">
        <v>1.435246995994644</v>
      </c>
      <c r="L349" t="n">
        <v>0.1668891855807743</v>
      </c>
      <c r="M349">
        <f>IF(OR(B349="NW",COUNT(Risk_Rank_Keys!B349)=0),0.5,(SUMPRODUCT(--ISNUMBER(Risk_Rank_Keys!$B$2:$B$800),--(Risk_Rank_Keys!$B$2:$B$800&lt;Risk_Rank_Keys!B349))+(SUMPRODUCT(--ISNUMBER(Risk_Rank_Keys!$B$2:$B$800),--(Risk_Rank_Keys!$B$2:$B$800=Risk_Rank_Keys!B349))+1)/2)/COUNT(Risk_Rank_Keys!$B$2:$B$800))</f>
        <v/>
      </c>
      <c r="N349">
        <f>IF(OR(B349="NW",COUNT(Risk_Rank_Keys!C349)=0),0.5,(SUMPRODUCT(--ISNUMBER(Risk_Rank_Keys!$C$2:$C$800),--(Risk_Rank_Keys!$C$2:$C$800&lt;Risk_Rank_Keys!C349))+(SUMPRODUCT(--ISNUMBER(Risk_Rank_Keys!$C$2:$C$800),--(Risk_Rank_Keys!$C$2:$C$800=Risk_Rank_Keys!C349))+1)/2)/COUNT(Risk_Rank_Keys!$C$2:$C$800))</f>
        <v/>
      </c>
      <c r="O349">
        <f>IF(OR(B349="NW",COUNT(Risk_Rank_Keys!D349)=0),0.5,(SUMPRODUCT(--ISNUMBER(Risk_Rank_Keys!$D$2:$D$800),--(Risk_Rank_Keys!$D$2:$D$800&lt;Risk_Rank_Keys!D349))+(SUMPRODUCT(--ISNUMBER(Risk_Rank_Keys!$D$2:$D$800),--(Risk_Rank_Keys!$D$2:$D$800=Risk_Rank_Keys!D349))+1)/2)/COUNT(Risk_Rank_Keys!$D$2:$D$800))</f>
        <v/>
      </c>
      <c r="P349">
        <f>AVERAGE(M349:O349)</f>
        <v/>
      </c>
      <c r="Q349">
        <f>0.4*H349+0.4*I349+0.2*P349</f>
        <v/>
      </c>
      <c r="R349">
        <f>PERCENTILE($Q$2:$Q$800,0.75)</f>
        <v/>
      </c>
      <c r="S349">
        <f>OR(Q349&gt;=R349,AND(B349="CW",COUNT(J349:L349)&lt;3))</f>
        <v/>
      </c>
      <c r="T349" t="n">
        <v>0.359812271497463</v>
      </c>
      <c r="U349" t="n">
        <v>8.910091879642897</v>
      </c>
      <c r="V349" t="n">
        <v>0.6458888347766181</v>
      </c>
      <c r="W349">
        <f>Q349-V349</f>
        <v/>
      </c>
    </row>
    <row r="350">
      <c r="A350" t="inlineStr">
        <is>
          <t>2022-12-08</t>
        </is>
      </c>
      <c r="B350" t="inlineStr">
        <is>
          <t>NW</t>
        </is>
      </c>
      <c r="C350" t="n">
        <v>47.75614687643827</v>
      </c>
      <c r="D350">
        <f>SUMPRODUCT(Risk_Inputs!B350:AJ350,Risk_Coefs!$B$2:$AJ$2)</f>
        <v/>
      </c>
      <c r="E350">
        <f>1/(1+EXP(-MAX(-25,MIN(25,D350))))</f>
        <v/>
      </c>
      <c r="F350">
        <f>SUMPRODUCT(Risk_Inputs!B350:AJ350,Risk_Coefs!$B$3:$AJ$3)</f>
        <v/>
      </c>
      <c r="G350">
        <f>MAX(0,F350)</f>
        <v/>
      </c>
      <c r="H350">
        <f>(SUMPRODUCT(--ISNUMBER($E$2:$E$800),--($E$2:$E$800&lt;E350))+(SUMPRODUCT(--ISNUMBER($E$2:$E$800),--($E$2:$E$800=E350))+1)/2)/COUNT($E$2:$E$800)</f>
        <v/>
      </c>
      <c r="I350">
        <f>(SUMPRODUCT(--ISNUMBER($G$2:$G$800),--($G$2:$G$800&lt;G350))+(SUMPRODUCT(--ISNUMBER($G$2:$G$800),--($G$2:$G$800=G350))+1)/2)/COUNT($G$2:$G$800)</f>
        <v/>
      </c>
      <c r="M350">
        <f>IF(OR(B350="NW",COUNT(Risk_Rank_Keys!B350)=0),0.5,(SUMPRODUCT(--ISNUMBER(Risk_Rank_Keys!$B$2:$B$800),--(Risk_Rank_Keys!$B$2:$B$800&lt;Risk_Rank_Keys!B350))+(SUMPRODUCT(--ISNUMBER(Risk_Rank_Keys!$B$2:$B$800),--(Risk_Rank_Keys!$B$2:$B$800=Risk_Rank_Keys!B350))+1)/2)/COUNT(Risk_Rank_Keys!$B$2:$B$800))</f>
        <v/>
      </c>
      <c r="N350">
        <f>IF(OR(B350="NW",COUNT(Risk_Rank_Keys!C350)=0),0.5,(SUMPRODUCT(--ISNUMBER(Risk_Rank_Keys!$C$2:$C$800),--(Risk_Rank_Keys!$C$2:$C$800&lt;Risk_Rank_Keys!C350))+(SUMPRODUCT(--ISNUMBER(Risk_Rank_Keys!$C$2:$C$800),--(Risk_Rank_Keys!$C$2:$C$800=Risk_Rank_Keys!C350))+1)/2)/COUNT(Risk_Rank_Keys!$C$2:$C$800))</f>
        <v/>
      </c>
      <c r="O350">
        <f>IF(OR(B350="NW",COUNT(Risk_Rank_Keys!D350)=0),0.5,(SUMPRODUCT(--ISNUMBER(Risk_Rank_Keys!$D$2:$D$800),--(Risk_Rank_Keys!$D$2:$D$800&lt;Risk_Rank_Keys!D350))+(SUMPRODUCT(--ISNUMBER(Risk_Rank_Keys!$D$2:$D$800),--(Risk_Rank_Keys!$D$2:$D$800=Risk_Rank_Keys!D350))+1)/2)/COUNT(Risk_Rank_Keys!$D$2:$D$800))</f>
        <v/>
      </c>
      <c r="P350">
        <f>AVERAGE(M350:O350)</f>
        <v/>
      </c>
      <c r="Q350">
        <f>0.4*H350+0.4*I350+0.2*P350</f>
        <v/>
      </c>
      <c r="R350">
        <f>PERCENTILE($Q$2:$Q$800,0.75)</f>
        <v/>
      </c>
      <c r="S350">
        <f>OR(Q350&gt;=R350,AND(B350="CW",COUNT(J350:L350)&lt;3))</f>
        <v/>
      </c>
      <c r="T350" t="n">
        <v>0.3513328026302601</v>
      </c>
      <c r="U350" t="n">
        <v>10.36355628271616</v>
      </c>
      <c r="V350" t="n">
        <v>0.7583229036295369</v>
      </c>
      <c r="W350">
        <f>Q350-V350</f>
        <v/>
      </c>
    </row>
    <row r="351">
      <c r="A351" t="inlineStr">
        <is>
          <t>2022-12-12</t>
        </is>
      </c>
      <c r="B351" t="inlineStr">
        <is>
          <t>CW</t>
        </is>
      </c>
      <c r="C351" t="n">
        <v>-5.618724794368335</v>
      </c>
      <c r="D351">
        <f>SUMPRODUCT(Risk_Inputs!B351:AJ351,Risk_Coefs!$B$2:$AJ$2)</f>
        <v/>
      </c>
      <c r="E351">
        <f>1/(1+EXP(-MAX(-25,MIN(25,D351))))</f>
        <v/>
      </c>
      <c r="F351">
        <f>SUMPRODUCT(Risk_Inputs!B351:AJ351,Risk_Coefs!$B$3:$AJ$3)</f>
        <v/>
      </c>
      <c r="G351">
        <f>MAX(0,F351)</f>
        <v/>
      </c>
      <c r="H351">
        <f>(SUMPRODUCT(--ISNUMBER($E$2:$E$800),--($E$2:$E$800&lt;E351))+(SUMPRODUCT(--ISNUMBER($E$2:$E$800),--($E$2:$E$800=E351))+1)/2)/COUNT($E$2:$E$800)</f>
        <v/>
      </c>
      <c r="I351">
        <f>(SUMPRODUCT(--ISNUMBER($G$2:$G$800),--($G$2:$G$800&lt;G351))+(SUMPRODUCT(--ISNUMBER($G$2:$G$800),--($G$2:$G$800=G351))+1)/2)/COUNT($G$2:$G$800)</f>
        <v/>
      </c>
      <c r="J351" t="n">
        <v>6.678303927982512</v>
      </c>
      <c r="K351" t="n">
        <v>1.613336918526486</v>
      </c>
      <c r="L351" t="n">
        <v>0.1882226404947459</v>
      </c>
      <c r="M351">
        <f>IF(OR(B351="NW",COUNT(Risk_Rank_Keys!B351)=0),0.5,(SUMPRODUCT(--ISNUMBER(Risk_Rank_Keys!$B$2:$B$800),--(Risk_Rank_Keys!$B$2:$B$800&lt;Risk_Rank_Keys!B351))+(SUMPRODUCT(--ISNUMBER(Risk_Rank_Keys!$B$2:$B$800),--(Risk_Rank_Keys!$B$2:$B$800=Risk_Rank_Keys!B351))+1)/2)/COUNT(Risk_Rank_Keys!$B$2:$B$800))</f>
        <v/>
      </c>
      <c r="N351">
        <f>IF(OR(B351="NW",COUNT(Risk_Rank_Keys!C351)=0),0.5,(SUMPRODUCT(--ISNUMBER(Risk_Rank_Keys!$C$2:$C$800),--(Risk_Rank_Keys!$C$2:$C$800&lt;Risk_Rank_Keys!C351))+(SUMPRODUCT(--ISNUMBER(Risk_Rank_Keys!$C$2:$C$800),--(Risk_Rank_Keys!$C$2:$C$800=Risk_Rank_Keys!C351))+1)/2)/COUNT(Risk_Rank_Keys!$C$2:$C$800))</f>
        <v/>
      </c>
      <c r="O351">
        <f>IF(OR(B351="NW",COUNT(Risk_Rank_Keys!D351)=0),0.5,(SUMPRODUCT(--ISNUMBER(Risk_Rank_Keys!$D$2:$D$800),--(Risk_Rank_Keys!$D$2:$D$800&lt;Risk_Rank_Keys!D351))+(SUMPRODUCT(--ISNUMBER(Risk_Rank_Keys!$D$2:$D$800),--(Risk_Rank_Keys!$D$2:$D$800=Risk_Rank_Keys!D351))+1)/2)/COUNT(Risk_Rank_Keys!$D$2:$D$800))</f>
        <v/>
      </c>
      <c r="P351">
        <f>AVERAGE(M351:O351)</f>
        <v/>
      </c>
      <c r="Q351">
        <f>0.4*H351+0.4*I351+0.2*P351</f>
        <v/>
      </c>
      <c r="R351">
        <f>PERCENTILE($Q$2:$Q$800,0.75)</f>
        <v/>
      </c>
      <c r="S351">
        <f>OR(Q351&gt;=R351,AND(B351="CW",COUNT(J351:L351)&lt;3))</f>
        <v/>
      </c>
      <c r="T351" t="n">
        <v>0.3376070578931795</v>
      </c>
      <c r="U351" t="n">
        <v>6.289810972315906</v>
      </c>
      <c r="V351" t="n">
        <v>0.4786587604566145</v>
      </c>
      <c r="W351">
        <f>Q351-V351</f>
        <v/>
      </c>
    </row>
    <row r="352">
      <c r="A352" t="inlineStr">
        <is>
          <t>2022-12-16</t>
        </is>
      </c>
      <c r="B352" t="inlineStr">
        <is>
          <t>CW</t>
        </is>
      </c>
      <c r="C352" t="n">
        <v>-22.85526331680662</v>
      </c>
      <c r="D352">
        <f>SUMPRODUCT(Risk_Inputs!B352:AJ352,Risk_Coefs!$B$2:$AJ$2)</f>
        <v/>
      </c>
      <c r="E352">
        <f>1/(1+EXP(-MAX(-25,MIN(25,D352))))</f>
        <v/>
      </c>
      <c r="F352">
        <f>SUMPRODUCT(Risk_Inputs!B352:AJ352,Risk_Coefs!$B$3:$AJ$3)</f>
        <v/>
      </c>
      <c r="G352">
        <f>MAX(0,F352)</f>
        <v/>
      </c>
      <c r="H352">
        <f>(SUMPRODUCT(--ISNUMBER($E$2:$E$800),--($E$2:$E$800&lt;E352))+(SUMPRODUCT(--ISNUMBER($E$2:$E$800),--($E$2:$E$800=E352))+1)/2)/COUNT($E$2:$E$800)</f>
        <v/>
      </c>
      <c r="I352">
        <f>(SUMPRODUCT(--ISNUMBER($G$2:$G$800),--($G$2:$G$800&lt;G352))+(SUMPRODUCT(--ISNUMBER($G$2:$G$800),--($G$2:$G$800=G352))+1)/2)/COUNT($G$2:$G$800)</f>
        <v/>
      </c>
      <c r="J352" t="n">
        <v>12.5966218150579</v>
      </c>
      <c r="K352" t="n">
        <v>2.660406885758993</v>
      </c>
      <c r="L352" t="n">
        <v>0.1788508830762313</v>
      </c>
      <c r="M352">
        <f>IF(OR(B352="NW",COUNT(Risk_Rank_Keys!B352)=0),0.5,(SUMPRODUCT(--ISNUMBER(Risk_Rank_Keys!$B$2:$B$800),--(Risk_Rank_Keys!$B$2:$B$800&lt;Risk_Rank_Keys!B352))+(SUMPRODUCT(--ISNUMBER(Risk_Rank_Keys!$B$2:$B$800),--(Risk_Rank_Keys!$B$2:$B$800=Risk_Rank_Keys!B352))+1)/2)/COUNT(Risk_Rank_Keys!$B$2:$B$800))</f>
        <v/>
      </c>
      <c r="N352">
        <f>IF(OR(B352="NW",COUNT(Risk_Rank_Keys!C352)=0),0.5,(SUMPRODUCT(--ISNUMBER(Risk_Rank_Keys!$C$2:$C$800),--(Risk_Rank_Keys!$C$2:$C$800&lt;Risk_Rank_Keys!C352))+(SUMPRODUCT(--ISNUMBER(Risk_Rank_Keys!$C$2:$C$800),--(Risk_Rank_Keys!$C$2:$C$800=Risk_Rank_Keys!C352))+1)/2)/COUNT(Risk_Rank_Keys!$C$2:$C$800))</f>
        <v/>
      </c>
      <c r="O352">
        <f>IF(OR(B352="NW",COUNT(Risk_Rank_Keys!D352)=0),0.5,(SUMPRODUCT(--ISNUMBER(Risk_Rank_Keys!$D$2:$D$800),--(Risk_Rank_Keys!$D$2:$D$800&lt;Risk_Rank_Keys!D352))+(SUMPRODUCT(--ISNUMBER(Risk_Rank_Keys!$D$2:$D$800),--(Risk_Rank_Keys!$D$2:$D$800=Risk_Rank_Keys!D352))+1)/2)/COUNT(Risk_Rank_Keys!$D$2:$D$800))</f>
        <v/>
      </c>
      <c r="P352">
        <f>AVERAGE(M352:O352)</f>
        <v/>
      </c>
      <c r="Q352">
        <f>0.4*H352+0.4*I352+0.2*P352</f>
        <v/>
      </c>
      <c r="R352">
        <f>PERCENTILE($Q$2:$Q$800,0.75)</f>
        <v/>
      </c>
      <c r="S352">
        <f>OR(Q352&gt;=R352,AND(B352="CW",COUNT(J352:L352)&lt;3))</f>
        <v/>
      </c>
      <c r="T352" t="n">
        <v>0.2602743138990465</v>
      </c>
      <c r="U352" t="n">
        <v>5.485999101584254</v>
      </c>
      <c r="V352" t="n">
        <v>0.2952034999583976</v>
      </c>
      <c r="W352">
        <f>Q352-V352</f>
        <v/>
      </c>
    </row>
    <row r="353">
      <c r="A353" t="inlineStr">
        <is>
          <t>2022-12-21</t>
        </is>
      </c>
      <c r="B353" t="inlineStr">
        <is>
          <t>CW</t>
        </is>
      </c>
      <c r="C353" t="n">
        <v>-34.47661308652096</v>
      </c>
      <c r="D353">
        <f>SUMPRODUCT(Risk_Inputs!B353:AJ353,Risk_Coefs!$B$2:$AJ$2)</f>
        <v/>
      </c>
      <c r="E353">
        <f>1/(1+EXP(-MAX(-25,MIN(25,D353))))</f>
        <v/>
      </c>
      <c r="F353">
        <f>SUMPRODUCT(Risk_Inputs!B353:AJ353,Risk_Coefs!$B$3:$AJ$3)</f>
        <v/>
      </c>
      <c r="G353">
        <f>MAX(0,F353)</f>
        <v/>
      </c>
      <c r="H353">
        <f>(SUMPRODUCT(--ISNUMBER($E$2:$E$800),--($E$2:$E$800&lt;E353))+(SUMPRODUCT(--ISNUMBER($E$2:$E$800),--($E$2:$E$800=E353))+1)/2)/COUNT($E$2:$E$800)</f>
        <v/>
      </c>
      <c r="I353">
        <f>(SUMPRODUCT(--ISNUMBER($G$2:$G$800),--($G$2:$G$800&lt;G353))+(SUMPRODUCT(--ISNUMBER($G$2:$G$800),--($G$2:$G$800=G353))+1)/2)/COUNT($G$2:$G$800)</f>
        <v/>
      </c>
      <c r="J353" t="n">
        <v>4.710892782259515</v>
      </c>
      <c r="K353" t="n">
        <v>2.106390574794728</v>
      </c>
      <c r="L353" t="n">
        <v>0.2142092109960708</v>
      </c>
      <c r="M353">
        <f>IF(OR(B353="NW",COUNT(Risk_Rank_Keys!B353)=0),0.5,(SUMPRODUCT(--ISNUMBER(Risk_Rank_Keys!$B$2:$B$800),--(Risk_Rank_Keys!$B$2:$B$800&lt;Risk_Rank_Keys!B353))+(SUMPRODUCT(--ISNUMBER(Risk_Rank_Keys!$B$2:$B$800),--(Risk_Rank_Keys!$B$2:$B$800=Risk_Rank_Keys!B353))+1)/2)/COUNT(Risk_Rank_Keys!$B$2:$B$800))</f>
        <v/>
      </c>
      <c r="N353">
        <f>IF(OR(B353="NW",COUNT(Risk_Rank_Keys!C353)=0),0.5,(SUMPRODUCT(--ISNUMBER(Risk_Rank_Keys!$C$2:$C$800),--(Risk_Rank_Keys!$C$2:$C$800&lt;Risk_Rank_Keys!C353))+(SUMPRODUCT(--ISNUMBER(Risk_Rank_Keys!$C$2:$C$800),--(Risk_Rank_Keys!$C$2:$C$800=Risk_Rank_Keys!C353))+1)/2)/COUNT(Risk_Rank_Keys!$C$2:$C$800))</f>
        <v/>
      </c>
      <c r="O353">
        <f>IF(OR(B353="NW",COUNT(Risk_Rank_Keys!D353)=0),0.5,(SUMPRODUCT(--ISNUMBER(Risk_Rank_Keys!$D$2:$D$800),--(Risk_Rank_Keys!$D$2:$D$800&lt;Risk_Rank_Keys!D353))+(SUMPRODUCT(--ISNUMBER(Risk_Rank_Keys!$D$2:$D$800),--(Risk_Rank_Keys!$D$2:$D$800=Risk_Rank_Keys!D353))+1)/2)/COUNT(Risk_Rank_Keys!$D$2:$D$800))</f>
        <v/>
      </c>
      <c r="P353">
        <f>AVERAGE(M353:O353)</f>
        <v/>
      </c>
      <c r="Q353">
        <f>0.4*H353+0.4*I353+0.2*P353</f>
        <v/>
      </c>
      <c r="R353">
        <f>PERCENTILE($Q$2:$Q$800,0.75)</f>
        <v/>
      </c>
      <c r="S353">
        <f>OR(Q353&gt;=R353,AND(B353="CW",COUNT(J353:L353)&lt;3))</f>
        <v/>
      </c>
      <c r="T353" t="n">
        <v>0.3809864405819004</v>
      </c>
      <c r="U353" t="n">
        <v>12.99432823006424</v>
      </c>
      <c r="V353" t="n">
        <v>0.7955984031643459</v>
      </c>
      <c r="W353">
        <f>Q353-V353</f>
        <v/>
      </c>
    </row>
    <row r="354">
      <c r="A354" t="inlineStr">
        <is>
          <t>2022-12-22</t>
        </is>
      </c>
      <c r="B354" t="inlineStr">
        <is>
          <t>CW</t>
        </is>
      </c>
      <c r="C354" t="n">
        <v>-46.14640941740628</v>
      </c>
      <c r="D354">
        <f>SUMPRODUCT(Risk_Inputs!B354:AJ354,Risk_Coefs!$B$2:$AJ$2)</f>
        <v/>
      </c>
      <c r="E354">
        <f>1/(1+EXP(-MAX(-25,MIN(25,D354))))</f>
        <v/>
      </c>
      <c r="F354">
        <f>SUMPRODUCT(Risk_Inputs!B354:AJ354,Risk_Coefs!$B$3:$AJ$3)</f>
        <v/>
      </c>
      <c r="G354">
        <f>MAX(0,F354)</f>
        <v/>
      </c>
      <c r="H354">
        <f>(SUMPRODUCT(--ISNUMBER($E$2:$E$800),--($E$2:$E$800&lt;E354))+(SUMPRODUCT(--ISNUMBER($E$2:$E$800),--($E$2:$E$800=E354))+1)/2)/COUNT($E$2:$E$800)</f>
        <v/>
      </c>
      <c r="I354">
        <f>(SUMPRODUCT(--ISNUMBER($G$2:$G$800),--($G$2:$G$800&lt;G354))+(SUMPRODUCT(--ISNUMBER($G$2:$G$800),--($G$2:$G$800=G354))+1)/2)/COUNT($G$2:$G$800)</f>
        <v/>
      </c>
      <c r="J354" t="n">
        <v>12.83468704161872</v>
      </c>
      <c r="K354" t="n">
        <v>4.517271922054912</v>
      </c>
      <c r="L354" t="n">
        <v>0.1771479185119537</v>
      </c>
      <c r="M354">
        <f>IF(OR(B354="NW",COUNT(Risk_Rank_Keys!B354)=0),0.5,(SUMPRODUCT(--ISNUMBER(Risk_Rank_Keys!$B$2:$B$800),--(Risk_Rank_Keys!$B$2:$B$800&lt;Risk_Rank_Keys!B354))+(SUMPRODUCT(--ISNUMBER(Risk_Rank_Keys!$B$2:$B$800),--(Risk_Rank_Keys!$B$2:$B$800=Risk_Rank_Keys!B354))+1)/2)/COUNT(Risk_Rank_Keys!$B$2:$B$800))</f>
        <v/>
      </c>
      <c r="N354">
        <f>IF(OR(B354="NW",COUNT(Risk_Rank_Keys!C354)=0),0.5,(SUMPRODUCT(--ISNUMBER(Risk_Rank_Keys!$C$2:$C$800),--(Risk_Rank_Keys!$C$2:$C$800&lt;Risk_Rank_Keys!C354))+(SUMPRODUCT(--ISNUMBER(Risk_Rank_Keys!$C$2:$C$800),--(Risk_Rank_Keys!$C$2:$C$800=Risk_Rank_Keys!C354))+1)/2)/COUNT(Risk_Rank_Keys!$C$2:$C$800))</f>
        <v/>
      </c>
      <c r="O354">
        <f>IF(OR(B354="NW",COUNT(Risk_Rank_Keys!D354)=0),0.5,(SUMPRODUCT(--ISNUMBER(Risk_Rank_Keys!$D$2:$D$800),--(Risk_Rank_Keys!$D$2:$D$800&lt;Risk_Rank_Keys!D354))+(SUMPRODUCT(--ISNUMBER(Risk_Rank_Keys!$D$2:$D$800),--(Risk_Rank_Keys!$D$2:$D$800=Risk_Rank_Keys!D354))+1)/2)/COUNT(Risk_Rank_Keys!$D$2:$D$800))</f>
        <v/>
      </c>
      <c r="P354">
        <f>AVERAGE(M354:O354)</f>
        <v/>
      </c>
      <c r="Q354">
        <f>0.4*H354+0.4*I354+0.2*P354</f>
        <v/>
      </c>
      <c r="R354">
        <f>PERCENTILE($Q$2:$Q$800,0.75)</f>
        <v/>
      </c>
      <c r="S354">
        <f>OR(Q354&gt;=R354,AND(B354="CW",COUNT(J354:L354)&lt;3))</f>
        <v/>
      </c>
      <c r="T354" t="n">
        <v>0.3526552283975933</v>
      </c>
      <c r="U354" t="n">
        <v>12.32812286981585</v>
      </c>
      <c r="V354" t="n">
        <v>0.8020667396309543</v>
      </c>
      <c r="W354">
        <f>Q354-V354</f>
        <v/>
      </c>
    </row>
    <row r="355">
      <c r="A355" t="inlineStr">
        <is>
          <t>2022-12-23</t>
        </is>
      </c>
      <c r="B355" t="inlineStr">
        <is>
          <t>CW</t>
        </is>
      </c>
      <c r="C355" t="n">
        <v>30.35693732263272</v>
      </c>
      <c r="D355">
        <f>SUMPRODUCT(Risk_Inputs!B355:AJ355,Risk_Coefs!$B$2:$AJ$2)</f>
        <v/>
      </c>
      <c r="E355">
        <f>1/(1+EXP(-MAX(-25,MIN(25,D355))))</f>
        <v/>
      </c>
      <c r="F355">
        <f>SUMPRODUCT(Risk_Inputs!B355:AJ355,Risk_Coefs!$B$3:$AJ$3)</f>
        <v/>
      </c>
      <c r="G355">
        <f>MAX(0,F355)</f>
        <v/>
      </c>
      <c r="H355">
        <f>(SUMPRODUCT(--ISNUMBER($E$2:$E$800),--($E$2:$E$800&lt;E355))+(SUMPRODUCT(--ISNUMBER($E$2:$E$800),--($E$2:$E$800=E355))+1)/2)/COUNT($E$2:$E$800)</f>
        <v/>
      </c>
      <c r="I355">
        <f>(SUMPRODUCT(--ISNUMBER($G$2:$G$800),--($G$2:$G$800&lt;G355))+(SUMPRODUCT(--ISNUMBER($G$2:$G$800),--($G$2:$G$800=G355))+1)/2)/COUNT($G$2:$G$800)</f>
        <v/>
      </c>
      <c r="J355" t="n">
        <v>7.817463605978539</v>
      </c>
      <c r="K355" t="n">
        <v>1.834372217275148</v>
      </c>
      <c r="L355" t="n">
        <v>0.2137132680320549</v>
      </c>
      <c r="M355">
        <f>IF(OR(B355="NW",COUNT(Risk_Rank_Keys!B355)=0),0.5,(SUMPRODUCT(--ISNUMBER(Risk_Rank_Keys!$B$2:$B$800),--(Risk_Rank_Keys!$B$2:$B$800&lt;Risk_Rank_Keys!B355))+(SUMPRODUCT(--ISNUMBER(Risk_Rank_Keys!$B$2:$B$800),--(Risk_Rank_Keys!$B$2:$B$800=Risk_Rank_Keys!B355))+1)/2)/COUNT(Risk_Rank_Keys!$B$2:$B$800))</f>
        <v/>
      </c>
      <c r="N355">
        <f>IF(OR(B355="NW",COUNT(Risk_Rank_Keys!C355)=0),0.5,(SUMPRODUCT(--ISNUMBER(Risk_Rank_Keys!$C$2:$C$800),--(Risk_Rank_Keys!$C$2:$C$800&lt;Risk_Rank_Keys!C355))+(SUMPRODUCT(--ISNUMBER(Risk_Rank_Keys!$C$2:$C$800),--(Risk_Rank_Keys!$C$2:$C$800=Risk_Rank_Keys!C355))+1)/2)/COUNT(Risk_Rank_Keys!$C$2:$C$800))</f>
        <v/>
      </c>
      <c r="O355">
        <f>IF(OR(B355="NW",COUNT(Risk_Rank_Keys!D355)=0),0.5,(SUMPRODUCT(--ISNUMBER(Risk_Rank_Keys!$D$2:$D$800),--(Risk_Rank_Keys!$D$2:$D$800&lt;Risk_Rank_Keys!D355))+(SUMPRODUCT(--ISNUMBER(Risk_Rank_Keys!$D$2:$D$800),--(Risk_Rank_Keys!$D$2:$D$800=Risk_Rank_Keys!D355))+1)/2)/COUNT(Risk_Rank_Keys!$D$2:$D$800))</f>
        <v/>
      </c>
      <c r="P355">
        <f>AVERAGE(M355:O355)</f>
        <v/>
      </c>
      <c r="Q355">
        <f>0.4*H355+0.4*I355+0.2*P355</f>
        <v/>
      </c>
      <c r="R355">
        <f>PERCENTILE($Q$2:$Q$800,0.75)</f>
        <v/>
      </c>
      <c r="S355">
        <f>OR(Q355&gt;=R355,AND(B355="CW",COUNT(J355:L355)&lt;3))</f>
        <v/>
      </c>
      <c r="T355" t="n">
        <v>0.2095154789215938</v>
      </c>
      <c r="U355" t="n">
        <v>5.244676017676237</v>
      </c>
      <c r="V355" t="n">
        <v>0.1803087192323738</v>
      </c>
      <c r="W355">
        <f>Q355-V355</f>
        <v/>
      </c>
    </row>
    <row r="356">
      <c r="A356" t="inlineStr">
        <is>
          <t>2022-12-26</t>
        </is>
      </c>
      <c r="B356" t="inlineStr">
        <is>
          <t>CW</t>
        </is>
      </c>
      <c r="C356" t="n">
        <v>8.796712748049663</v>
      </c>
      <c r="D356">
        <f>SUMPRODUCT(Risk_Inputs!B356:AJ356,Risk_Coefs!$B$2:$AJ$2)</f>
        <v/>
      </c>
      <c r="E356">
        <f>1/(1+EXP(-MAX(-25,MIN(25,D356))))</f>
        <v/>
      </c>
      <c r="F356">
        <f>SUMPRODUCT(Risk_Inputs!B356:AJ356,Risk_Coefs!$B$3:$AJ$3)</f>
        <v/>
      </c>
      <c r="G356">
        <f>MAX(0,F356)</f>
        <v/>
      </c>
      <c r="H356">
        <f>(SUMPRODUCT(--ISNUMBER($E$2:$E$800),--($E$2:$E$800&lt;E356))+(SUMPRODUCT(--ISNUMBER($E$2:$E$800),--($E$2:$E$800=E356))+1)/2)/COUNT($E$2:$E$800)</f>
        <v/>
      </c>
      <c r="I356">
        <f>(SUMPRODUCT(--ISNUMBER($G$2:$G$800),--($G$2:$G$800&lt;G356))+(SUMPRODUCT(--ISNUMBER($G$2:$G$800),--($G$2:$G$800=G356))+1)/2)/COUNT($G$2:$G$800)</f>
        <v/>
      </c>
      <c r="J356" t="n">
        <v>14.75140936140592</v>
      </c>
      <c r="K356" t="n">
        <v>1.822100313479637</v>
      </c>
      <c r="L356" t="n">
        <v>0.1371473354231953</v>
      </c>
      <c r="M356">
        <f>IF(OR(B356="NW",COUNT(Risk_Rank_Keys!B356)=0),0.5,(SUMPRODUCT(--ISNUMBER(Risk_Rank_Keys!$B$2:$B$800),--(Risk_Rank_Keys!$B$2:$B$800&lt;Risk_Rank_Keys!B356))+(SUMPRODUCT(--ISNUMBER(Risk_Rank_Keys!$B$2:$B$800),--(Risk_Rank_Keys!$B$2:$B$800=Risk_Rank_Keys!B356))+1)/2)/COUNT(Risk_Rank_Keys!$B$2:$B$800))</f>
        <v/>
      </c>
      <c r="N356">
        <f>IF(OR(B356="NW",COUNT(Risk_Rank_Keys!C356)=0),0.5,(SUMPRODUCT(--ISNUMBER(Risk_Rank_Keys!$C$2:$C$800),--(Risk_Rank_Keys!$C$2:$C$800&lt;Risk_Rank_Keys!C356))+(SUMPRODUCT(--ISNUMBER(Risk_Rank_Keys!$C$2:$C$800),--(Risk_Rank_Keys!$C$2:$C$800=Risk_Rank_Keys!C356))+1)/2)/COUNT(Risk_Rank_Keys!$C$2:$C$800))</f>
        <v/>
      </c>
      <c r="O356">
        <f>IF(OR(B356="NW",COUNT(Risk_Rank_Keys!D356)=0),0.5,(SUMPRODUCT(--ISNUMBER(Risk_Rank_Keys!$D$2:$D$800),--(Risk_Rank_Keys!$D$2:$D$800&lt;Risk_Rank_Keys!D356))+(SUMPRODUCT(--ISNUMBER(Risk_Rank_Keys!$D$2:$D$800),--(Risk_Rank_Keys!$D$2:$D$800=Risk_Rank_Keys!D356))+1)/2)/COUNT(Risk_Rank_Keys!$D$2:$D$800))</f>
        <v/>
      </c>
      <c r="P356">
        <f>AVERAGE(M356:O356)</f>
        <v/>
      </c>
      <c r="Q356">
        <f>0.4*H356+0.4*I356+0.2*P356</f>
        <v/>
      </c>
      <c r="R356">
        <f>PERCENTILE($Q$2:$Q$800,0.75)</f>
        <v/>
      </c>
      <c r="S356">
        <f>OR(Q356&gt;=R356,AND(B356="CW",COUNT(J356:L356)&lt;3))</f>
        <v/>
      </c>
      <c r="T356" t="n">
        <v>0.3340467462822848</v>
      </c>
      <c r="U356" t="n">
        <v>8.05310823457463</v>
      </c>
      <c r="V356" t="n">
        <v>0.58909829755814</v>
      </c>
      <c r="W356">
        <f>Q356-V356</f>
        <v/>
      </c>
    </row>
    <row r="357">
      <c r="A357" t="inlineStr">
        <is>
          <t>2022-12-28</t>
        </is>
      </c>
      <c r="B357" t="inlineStr">
        <is>
          <t>CW</t>
        </is>
      </c>
      <c r="C357" t="n">
        <v>29.96585339976583</v>
      </c>
      <c r="D357">
        <f>SUMPRODUCT(Risk_Inputs!B357:AJ357,Risk_Coefs!$B$2:$AJ$2)</f>
        <v/>
      </c>
      <c r="E357">
        <f>1/(1+EXP(-MAX(-25,MIN(25,D357))))</f>
        <v/>
      </c>
      <c r="F357">
        <f>SUMPRODUCT(Risk_Inputs!B357:AJ357,Risk_Coefs!$B$3:$AJ$3)</f>
        <v/>
      </c>
      <c r="G357">
        <f>MAX(0,F357)</f>
        <v/>
      </c>
      <c r="H357">
        <f>(SUMPRODUCT(--ISNUMBER($E$2:$E$800),--($E$2:$E$800&lt;E357))+(SUMPRODUCT(--ISNUMBER($E$2:$E$800),--($E$2:$E$800=E357))+1)/2)/COUNT($E$2:$E$800)</f>
        <v/>
      </c>
      <c r="I357">
        <f>(SUMPRODUCT(--ISNUMBER($G$2:$G$800),--($G$2:$G$800&lt;G357))+(SUMPRODUCT(--ISNUMBER($G$2:$G$800),--($G$2:$G$800=G357))+1)/2)/COUNT($G$2:$G$800)</f>
        <v/>
      </c>
      <c r="J357" t="n">
        <v>20.67292013288236</v>
      </c>
      <c r="K357" t="n">
        <v>10.01296176279973</v>
      </c>
      <c r="L357" t="n">
        <v>0.1296176279974094</v>
      </c>
      <c r="M357">
        <f>IF(OR(B357="NW",COUNT(Risk_Rank_Keys!B357)=0),0.5,(SUMPRODUCT(--ISNUMBER(Risk_Rank_Keys!$B$2:$B$800),--(Risk_Rank_Keys!$B$2:$B$800&lt;Risk_Rank_Keys!B357))+(SUMPRODUCT(--ISNUMBER(Risk_Rank_Keys!$B$2:$B$800),--(Risk_Rank_Keys!$B$2:$B$800=Risk_Rank_Keys!B357))+1)/2)/COUNT(Risk_Rank_Keys!$B$2:$B$800))</f>
        <v/>
      </c>
      <c r="N357">
        <f>IF(OR(B357="NW",COUNT(Risk_Rank_Keys!C357)=0),0.5,(SUMPRODUCT(--ISNUMBER(Risk_Rank_Keys!$C$2:$C$800),--(Risk_Rank_Keys!$C$2:$C$800&lt;Risk_Rank_Keys!C357))+(SUMPRODUCT(--ISNUMBER(Risk_Rank_Keys!$C$2:$C$800),--(Risk_Rank_Keys!$C$2:$C$800=Risk_Rank_Keys!C357))+1)/2)/COUNT(Risk_Rank_Keys!$C$2:$C$800))</f>
        <v/>
      </c>
      <c r="O357">
        <f>IF(OR(B357="NW",COUNT(Risk_Rank_Keys!D357)=0),0.5,(SUMPRODUCT(--ISNUMBER(Risk_Rank_Keys!$D$2:$D$800),--(Risk_Rank_Keys!$D$2:$D$800&lt;Risk_Rank_Keys!D357))+(SUMPRODUCT(--ISNUMBER(Risk_Rank_Keys!$D$2:$D$800),--(Risk_Rank_Keys!$D$2:$D$800=Risk_Rank_Keys!D357))+1)/2)/COUNT(Risk_Rank_Keys!$D$2:$D$800))</f>
        <v/>
      </c>
      <c r="P357">
        <f>AVERAGE(M357:O357)</f>
        <v/>
      </c>
      <c r="Q357">
        <f>0.4*H357+0.4*I357+0.2*P357</f>
        <v/>
      </c>
      <c r="R357">
        <f>PERCENTILE($Q$2:$Q$800,0.75)</f>
        <v/>
      </c>
      <c r="S357">
        <f>OR(Q357&gt;=R357,AND(B357="CW",COUNT(J357:L357)&lt;3))</f>
        <v/>
      </c>
      <c r="T357" t="n">
        <v>0.2617122840292074</v>
      </c>
      <c r="U357" t="n">
        <v>5.691185974007929</v>
      </c>
      <c r="V357" t="n">
        <v>0.3431014709809856</v>
      </c>
      <c r="W357">
        <f>Q357-V357</f>
        <v/>
      </c>
    </row>
    <row r="358">
      <c r="A358" t="inlineStr">
        <is>
          <t>2022-12-29</t>
        </is>
      </c>
      <c r="B358" t="inlineStr">
        <is>
          <t>CW</t>
        </is>
      </c>
      <c r="C358" t="n">
        <v>2.359567197298902</v>
      </c>
      <c r="D358">
        <f>SUMPRODUCT(Risk_Inputs!B358:AJ358,Risk_Coefs!$B$2:$AJ$2)</f>
        <v/>
      </c>
      <c r="E358">
        <f>1/(1+EXP(-MAX(-25,MIN(25,D358))))</f>
        <v/>
      </c>
      <c r="F358">
        <f>SUMPRODUCT(Risk_Inputs!B358:AJ358,Risk_Coefs!$B$3:$AJ$3)</f>
        <v/>
      </c>
      <c r="G358">
        <f>MAX(0,F358)</f>
        <v/>
      </c>
      <c r="H358">
        <f>(SUMPRODUCT(--ISNUMBER($E$2:$E$800),--($E$2:$E$800&lt;E358))+(SUMPRODUCT(--ISNUMBER($E$2:$E$800),--($E$2:$E$800=E358))+1)/2)/COUNT($E$2:$E$800)</f>
        <v/>
      </c>
      <c r="I358">
        <f>(SUMPRODUCT(--ISNUMBER($G$2:$G$800),--($G$2:$G$800&lt;G358))+(SUMPRODUCT(--ISNUMBER($G$2:$G$800),--($G$2:$G$800=G358))+1)/2)/COUNT($G$2:$G$800)</f>
        <v/>
      </c>
      <c r="J358" t="n">
        <v>17.59446287014178</v>
      </c>
      <c r="K358" t="n">
        <v>16.22924477771827</v>
      </c>
      <c r="L358" t="n">
        <v>0.4284949116229229</v>
      </c>
      <c r="M358">
        <f>IF(OR(B358="NW",COUNT(Risk_Rank_Keys!B358)=0),0.5,(SUMPRODUCT(--ISNUMBER(Risk_Rank_Keys!$B$2:$B$800),--(Risk_Rank_Keys!$B$2:$B$800&lt;Risk_Rank_Keys!B358))+(SUMPRODUCT(--ISNUMBER(Risk_Rank_Keys!$B$2:$B$800),--(Risk_Rank_Keys!$B$2:$B$800=Risk_Rank_Keys!B358))+1)/2)/COUNT(Risk_Rank_Keys!$B$2:$B$800))</f>
        <v/>
      </c>
      <c r="N358">
        <f>IF(OR(B358="NW",COUNT(Risk_Rank_Keys!C358)=0),0.5,(SUMPRODUCT(--ISNUMBER(Risk_Rank_Keys!$C$2:$C$800),--(Risk_Rank_Keys!$C$2:$C$800&lt;Risk_Rank_Keys!C358))+(SUMPRODUCT(--ISNUMBER(Risk_Rank_Keys!$C$2:$C$800),--(Risk_Rank_Keys!$C$2:$C$800=Risk_Rank_Keys!C358))+1)/2)/COUNT(Risk_Rank_Keys!$C$2:$C$800))</f>
        <v/>
      </c>
      <c r="O358">
        <f>IF(OR(B358="NW",COUNT(Risk_Rank_Keys!D358)=0),0.5,(SUMPRODUCT(--ISNUMBER(Risk_Rank_Keys!$D$2:$D$800),--(Risk_Rank_Keys!$D$2:$D$800&lt;Risk_Rank_Keys!D358))+(SUMPRODUCT(--ISNUMBER(Risk_Rank_Keys!$D$2:$D$800),--(Risk_Rank_Keys!$D$2:$D$800=Risk_Rank_Keys!D358))+1)/2)/COUNT(Risk_Rank_Keys!$D$2:$D$800))</f>
        <v/>
      </c>
      <c r="P358">
        <f>AVERAGE(M358:O358)</f>
        <v/>
      </c>
      <c r="Q358">
        <f>0.4*H358+0.4*I358+0.2*P358</f>
        <v/>
      </c>
      <c r="R358">
        <f>PERCENTILE($Q$2:$Q$800,0.75)</f>
        <v/>
      </c>
      <c r="S358">
        <f>OR(Q358&gt;=R358,AND(B358="CW",COUNT(J358:L358)&lt;3))</f>
        <v/>
      </c>
      <c r="T358" t="n">
        <v>0.1898359551003585</v>
      </c>
      <c r="U358" t="n">
        <v>4.55183297217871</v>
      </c>
      <c r="V358" t="n">
        <v>0.2436812868712576</v>
      </c>
      <c r="W358">
        <f>Q358-V358</f>
        <v/>
      </c>
    </row>
    <row r="359">
      <c r="A359" t="inlineStr">
        <is>
          <t>2023-01-02</t>
        </is>
      </c>
      <c r="B359" t="inlineStr">
        <is>
          <t>CW</t>
        </is>
      </c>
      <c r="C359" t="n">
        <v>25.63995899081727</v>
      </c>
      <c r="D359">
        <f>SUMPRODUCT(Risk_Inputs!B359:AJ359,Risk_Coefs!$B$2:$AJ$2)</f>
        <v/>
      </c>
      <c r="E359">
        <f>1/(1+EXP(-MAX(-25,MIN(25,D359))))</f>
        <v/>
      </c>
      <c r="F359">
        <f>SUMPRODUCT(Risk_Inputs!B359:AJ359,Risk_Coefs!$B$3:$AJ$3)</f>
        <v/>
      </c>
      <c r="G359">
        <f>MAX(0,F359)</f>
        <v/>
      </c>
      <c r="H359">
        <f>(SUMPRODUCT(--ISNUMBER($E$2:$E$800),--($E$2:$E$800&lt;E359))+(SUMPRODUCT(--ISNUMBER($E$2:$E$800),--($E$2:$E$800=E359))+1)/2)/COUNT($E$2:$E$800)</f>
        <v/>
      </c>
      <c r="I359">
        <f>(SUMPRODUCT(--ISNUMBER($G$2:$G$800),--($G$2:$G$800&lt;G359))+(SUMPRODUCT(--ISNUMBER($G$2:$G$800),--($G$2:$G$800=G359))+1)/2)/COUNT($G$2:$G$800)</f>
        <v/>
      </c>
      <c r="J359" t="n">
        <v>9.810919332746847</v>
      </c>
      <c r="K359" t="n">
        <v>3.198294243070363</v>
      </c>
      <c r="L359" t="n">
        <v>0.2132196162046921</v>
      </c>
      <c r="M359">
        <f>IF(OR(B359="NW",COUNT(Risk_Rank_Keys!B359)=0),0.5,(SUMPRODUCT(--ISNUMBER(Risk_Rank_Keys!$B$2:$B$800),--(Risk_Rank_Keys!$B$2:$B$800&lt;Risk_Rank_Keys!B359))+(SUMPRODUCT(--ISNUMBER(Risk_Rank_Keys!$B$2:$B$800),--(Risk_Rank_Keys!$B$2:$B$800=Risk_Rank_Keys!B359))+1)/2)/COUNT(Risk_Rank_Keys!$B$2:$B$800))</f>
        <v/>
      </c>
      <c r="N359">
        <f>IF(OR(B359="NW",COUNT(Risk_Rank_Keys!C359)=0),0.5,(SUMPRODUCT(--ISNUMBER(Risk_Rank_Keys!$C$2:$C$800),--(Risk_Rank_Keys!$C$2:$C$800&lt;Risk_Rank_Keys!C359))+(SUMPRODUCT(--ISNUMBER(Risk_Rank_Keys!$C$2:$C$800),--(Risk_Rank_Keys!$C$2:$C$800=Risk_Rank_Keys!C359))+1)/2)/COUNT(Risk_Rank_Keys!$C$2:$C$800))</f>
        <v/>
      </c>
      <c r="O359">
        <f>IF(OR(B359="NW",COUNT(Risk_Rank_Keys!D359)=0),0.5,(SUMPRODUCT(--ISNUMBER(Risk_Rank_Keys!$D$2:$D$800),--(Risk_Rank_Keys!$D$2:$D$800&lt;Risk_Rank_Keys!D359))+(SUMPRODUCT(--ISNUMBER(Risk_Rank_Keys!$D$2:$D$800),--(Risk_Rank_Keys!$D$2:$D$800=Risk_Rank_Keys!D359))+1)/2)/COUNT(Risk_Rank_Keys!$D$2:$D$800))</f>
        <v/>
      </c>
      <c r="P359">
        <f>AVERAGE(M359:O359)</f>
        <v/>
      </c>
      <c r="Q359">
        <f>0.4*H359+0.4*I359+0.2*P359</f>
        <v/>
      </c>
      <c r="R359">
        <f>PERCENTILE($Q$2:$Q$800,0.75)</f>
        <v/>
      </c>
      <c r="S359">
        <f>OR(Q359&gt;=R359,AND(B359="CW",COUNT(J359:L359)&lt;3))</f>
        <v/>
      </c>
      <c r="T359" t="n">
        <v>0.2620035407729511</v>
      </c>
      <c r="U359" t="n">
        <v>6.666054510785426</v>
      </c>
      <c r="V359" t="n">
        <v>0.3792807024587336</v>
      </c>
      <c r="W359">
        <f>Q359-V359</f>
        <v/>
      </c>
    </row>
    <row r="360">
      <c r="A360" t="inlineStr">
        <is>
          <t>2023-01-03</t>
        </is>
      </c>
      <c r="B360" t="inlineStr">
        <is>
          <t>CW</t>
        </is>
      </c>
      <c r="C360" t="n">
        <v>34.80491179182602</v>
      </c>
      <c r="D360">
        <f>SUMPRODUCT(Risk_Inputs!B360:AJ360,Risk_Coefs!$B$2:$AJ$2)</f>
        <v/>
      </c>
      <c r="E360">
        <f>1/(1+EXP(-MAX(-25,MIN(25,D360))))</f>
        <v/>
      </c>
      <c r="F360">
        <f>SUMPRODUCT(Risk_Inputs!B360:AJ360,Risk_Coefs!$B$3:$AJ$3)</f>
        <v/>
      </c>
      <c r="G360">
        <f>MAX(0,F360)</f>
        <v/>
      </c>
      <c r="H360">
        <f>(SUMPRODUCT(--ISNUMBER($E$2:$E$800),--($E$2:$E$800&lt;E360))+(SUMPRODUCT(--ISNUMBER($E$2:$E$800),--($E$2:$E$800=E360))+1)/2)/COUNT($E$2:$E$800)</f>
        <v/>
      </c>
      <c r="I360">
        <f>(SUMPRODUCT(--ISNUMBER($G$2:$G$800),--($G$2:$G$800&lt;G360))+(SUMPRODUCT(--ISNUMBER($G$2:$G$800),--($G$2:$G$800=G360))+1)/2)/COUNT($G$2:$G$800)</f>
        <v/>
      </c>
      <c r="J360" t="n">
        <v>5.968786273441125</v>
      </c>
      <c r="K360" t="n">
        <v>1.684446939921393</v>
      </c>
      <c r="L360" t="n">
        <v>0.1122964626614197</v>
      </c>
      <c r="M360">
        <f>IF(OR(B360="NW",COUNT(Risk_Rank_Keys!B360)=0),0.5,(SUMPRODUCT(--ISNUMBER(Risk_Rank_Keys!$B$2:$B$800),--(Risk_Rank_Keys!$B$2:$B$800&lt;Risk_Rank_Keys!B360))+(SUMPRODUCT(--ISNUMBER(Risk_Rank_Keys!$B$2:$B$800),--(Risk_Rank_Keys!$B$2:$B$800=Risk_Rank_Keys!B360))+1)/2)/COUNT(Risk_Rank_Keys!$B$2:$B$800))</f>
        <v/>
      </c>
      <c r="N360">
        <f>IF(OR(B360="NW",COUNT(Risk_Rank_Keys!C360)=0),0.5,(SUMPRODUCT(--ISNUMBER(Risk_Rank_Keys!$C$2:$C$800),--(Risk_Rank_Keys!$C$2:$C$800&lt;Risk_Rank_Keys!C360))+(SUMPRODUCT(--ISNUMBER(Risk_Rank_Keys!$C$2:$C$800),--(Risk_Rank_Keys!$C$2:$C$800=Risk_Rank_Keys!C360))+1)/2)/COUNT(Risk_Rank_Keys!$C$2:$C$800))</f>
        <v/>
      </c>
      <c r="O360">
        <f>IF(OR(B360="NW",COUNT(Risk_Rank_Keys!D360)=0),0.5,(SUMPRODUCT(--ISNUMBER(Risk_Rank_Keys!$D$2:$D$800),--(Risk_Rank_Keys!$D$2:$D$800&lt;Risk_Rank_Keys!D360))+(SUMPRODUCT(--ISNUMBER(Risk_Rank_Keys!$D$2:$D$800),--(Risk_Rank_Keys!$D$2:$D$800=Risk_Rank_Keys!D360))+1)/2)/COUNT(Risk_Rank_Keys!$D$2:$D$800))</f>
        <v/>
      </c>
      <c r="P360">
        <f>AVERAGE(M360:O360)</f>
        <v/>
      </c>
      <c r="Q360">
        <f>0.4*H360+0.4*I360+0.2*P360</f>
        <v/>
      </c>
      <c r="R360">
        <f>PERCENTILE($Q$2:$Q$800,0.75)</f>
        <v/>
      </c>
      <c r="S360">
        <f>OR(Q360&gt;=R360,AND(B360="CW",COUNT(J360:L360)&lt;3))</f>
        <v/>
      </c>
      <c r="T360" t="n">
        <v>0.2521892758977241</v>
      </c>
      <c r="U360" t="n">
        <v>5.057255319212198</v>
      </c>
      <c r="V360" t="n">
        <v>0.1987791573497555</v>
      </c>
      <c r="W360">
        <f>Q360-V360</f>
        <v/>
      </c>
    </row>
    <row r="361">
      <c r="A361" t="inlineStr">
        <is>
          <t>2023-01-04</t>
        </is>
      </c>
      <c r="B361" t="inlineStr">
        <is>
          <t>CW</t>
        </is>
      </c>
      <c r="C361" t="n">
        <v>-40.84408035905653</v>
      </c>
      <c r="D361">
        <f>SUMPRODUCT(Risk_Inputs!B361:AJ361,Risk_Coefs!$B$2:$AJ$2)</f>
        <v/>
      </c>
      <c r="E361">
        <f>1/(1+EXP(-MAX(-25,MIN(25,D361))))</f>
        <v/>
      </c>
      <c r="F361">
        <f>SUMPRODUCT(Risk_Inputs!B361:AJ361,Risk_Coefs!$B$3:$AJ$3)</f>
        <v/>
      </c>
      <c r="G361">
        <f>MAX(0,F361)</f>
        <v/>
      </c>
      <c r="H361">
        <f>(SUMPRODUCT(--ISNUMBER($E$2:$E$800),--($E$2:$E$800&lt;E361))+(SUMPRODUCT(--ISNUMBER($E$2:$E$800),--($E$2:$E$800=E361))+1)/2)/COUNT($E$2:$E$800)</f>
        <v/>
      </c>
      <c r="I361">
        <f>(SUMPRODUCT(--ISNUMBER($G$2:$G$800),--($G$2:$G$800&lt;G361))+(SUMPRODUCT(--ISNUMBER($G$2:$G$800),--($G$2:$G$800=G361))+1)/2)/COUNT($G$2:$G$800)</f>
        <v/>
      </c>
      <c r="J361" t="n">
        <v>6.366909633792123</v>
      </c>
      <c r="K361" t="n">
        <v>1.440922190201729</v>
      </c>
      <c r="L361" t="n">
        <v>0.3242074927953911</v>
      </c>
      <c r="M361">
        <f>IF(OR(B361="NW",COUNT(Risk_Rank_Keys!B361)=0),0.5,(SUMPRODUCT(--ISNUMBER(Risk_Rank_Keys!$B$2:$B$800),--(Risk_Rank_Keys!$B$2:$B$800&lt;Risk_Rank_Keys!B361))+(SUMPRODUCT(--ISNUMBER(Risk_Rank_Keys!$B$2:$B$800),--(Risk_Rank_Keys!$B$2:$B$800=Risk_Rank_Keys!B361))+1)/2)/COUNT(Risk_Rank_Keys!$B$2:$B$800))</f>
        <v/>
      </c>
      <c r="N361">
        <f>IF(OR(B361="NW",COUNT(Risk_Rank_Keys!C361)=0),0.5,(SUMPRODUCT(--ISNUMBER(Risk_Rank_Keys!$C$2:$C$800),--(Risk_Rank_Keys!$C$2:$C$800&lt;Risk_Rank_Keys!C361))+(SUMPRODUCT(--ISNUMBER(Risk_Rank_Keys!$C$2:$C$800),--(Risk_Rank_Keys!$C$2:$C$800=Risk_Rank_Keys!C361))+1)/2)/COUNT(Risk_Rank_Keys!$C$2:$C$800))</f>
        <v/>
      </c>
      <c r="O361">
        <f>IF(OR(B361="NW",COUNT(Risk_Rank_Keys!D361)=0),0.5,(SUMPRODUCT(--ISNUMBER(Risk_Rank_Keys!$D$2:$D$800),--(Risk_Rank_Keys!$D$2:$D$800&lt;Risk_Rank_Keys!D361))+(SUMPRODUCT(--ISNUMBER(Risk_Rank_Keys!$D$2:$D$800),--(Risk_Rank_Keys!$D$2:$D$800=Risk_Rank_Keys!D361))+1)/2)/COUNT(Risk_Rank_Keys!$D$2:$D$800))</f>
        <v/>
      </c>
      <c r="P361">
        <f>AVERAGE(M361:O361)</f>
        <v/>
      </c>
      <c r="Q361">
        <f>0.4*H361+0.4*I361+0.2*P361</f>
        <v/>
      </c>
      <c r="R361">
        <f>PERCENTILE($Q$2:$Q$800,0.75)</f>
        <v/>
      </c>
      <c r="S361">
        <f>OR(Q361&gt;=R361,AND(B361="CW",COUNT(J361:L361)&lt;3))</f>
        <v/>
      </c>
      <c r="T361" t="n">
        <v>0.2583637208387172</v>
      </c>
      <c r="U361" t="n">
        <v>6.726083652050965</v>
      </c>
      <c r="V361" t="n">
        <v>0.3573021600105665</v>
      </c>
      <c r="W361">
        <f>Q361-V361</f>
        <v/>
      </c>
    </row>
    <row r="362">
      <c r="A362" t="inlineStr">
        <is>
          <t>2023-01-05</t>
        </is>
      </c>
      <c r="B362" t="inlineStr">
        <is>
          <t>CW</t>
        </is>
      </c>
      <c r="C362" t="n">
        <v>-1.043936594730908</v>
      </c>
      <c r="D362">
        <f>SUMPRODUCT(Risk_Inputs!B362:AJ362,Risk_Coefs!$B$2:$AJ$2)</f>
        <v/>
      </c>
      <c r="E362">
        <f>1/(1+EXP(-MAX(-25,MIN(25,D362))))</f>
        <v/>
      </c>
      <c r="F362">
        <f>SUMPRODUCT(Risk_Inputs!B362:AJ362,Risk_Coefs!$B$3:$AJ$3)</f>
        <v/>
      </c>
      <c r="G362">
        <f>MAX(0,F362)</f>
        <v/>
      </c>
      <c r="H362">
        <f>(SUMPRODUCT(--ISNUMBER($E$2:$E$800),--($E$2:$E$800&lt;E362))+(SUMPRODUCT(--ISNUMBER($E$2:$E$800),--($E$2:$E$800=E362))+1)/2)/COUNT($E$2:$E$800)</f>
        <v/>
      </c>
      <c r="I362">
        <f>(SUMPRODUCT(--ISNUMBER($G$2:$G$800),--($G$2:$G$800&lt;G362))+(SUMPRODUCT(--ISNUMBER($G$2:$G$800),--($G$2:$G$800=G362))+1)/2)/COUNT($G$2:$G$800)</f>
        <v/>
      </c>
      <c r="J362" t="n">
        <v>5.342457031973259</v>
      </c>
      <c r="K362" t="n">
        <v>2.276029055690095</v>
      </c>
      <c r="L362" t="n">
        <v>0.2421307506053268</v>
      </c>
      <c r="M362">
        <f>IF(OR(B362="NW",COUNT(Risk_Rank_Keys!B362)=0),0.5,(SUMPRODUCT(--ISNUMBER(Risk_Rank_Keys!$B$2:$B$800),--(Risk_Rank_Keys!$B$2:$B$800&lt;Risk_Rank_Keys!B362))+(SUMPRODUCT(--ISNUMBER(Risk_Rank_Keys!$B$2:$B$800),--(Risk_Rank_Keys!$B$2:$B$800=Risk_Rank_Keys!B362))+1)/2)/COUNT(Risk_Rank_Keys!$B$2:$B$800))</f>
        <v/>
      </c>
      <c r="N362">
        <f>IF(OR(B362="NW",COUNT(Risk_Rank_Keys!C362)=0),0.5,(SUMPRODUCT(--ISNUMBER(Risk_Rank_Keys!$C$2:$C$800),--(Risk_Rank_Keys!$C$2:$C$800&lt;Risk_Rank_Keys!C362))+(SUMPRODUCT(--ISNUMBER(Risk_Rank_Keys!$C$2:$C$800),--(Risk_Rank_Keys!$C$2:$C$800=Risk_Rank_Keys!C362))+1)/2)/COUNT(Risk_Rank_Keys!$C$2:$C$800))</f>
        <v/>
      </c>
      <c r="O362">
        <f>IF(OR(B362="NW",COUNT(Risk_Rank_Keys!D362)=0),0.5,(SUMPRODUCT(--ISNUMBER(Risk_Rank_Keys!$D$2:$D$800),--(Risk_Rank_Keys!$D$2:$D$800&lt;Risk_Rank_Keys!D362))+(SUMPRODUCT(--ISNUMBER(Risk_Rank_Keys!$D$2:$D$800),--(Risk_Rank_Keys!$D$2:$D$800=Risk_Rank_Keys!D362))+1)/2)/COUNT(Risk_Rank_Keys!$D$2:$D$800))</f>
        <v/>
      </c>
      <c r="P362">
        <f>AVERAGE(M362:O362)</f>
        <v/>
      </c>
      <c r="Q362">
        <f>0.4*H362+0.4*I362+0.2*P362</f>
        <v/>
      </c>
      <c r="R362">
        <f>PERCENTILE($Q$2:$Q$800,0.75)</f>
        <v/>
      </c>
      <c r="S362">
        <f>OR(Q362&gt;=R362,AND(B362="CW",COUNT(J362:L362)&lt;3))</f>
        <v/>
      </c>
      <c r="T362" t="n">
        <v>0.3116020136983677</v>
      </c>
      <c r="U362" t="n">
        <v>10.6215520520476</v>
      </c>
      <c r="V362" t="n">
        <v>0.6601944899743927</v>
      </c>
      <c r="W362">
        <f>Q362-V362</f>
        <v/>
      </c>
    </row>
    <row r="363">
      <c r="A363" t="inlineStr">
        <is>
          <t>2023-01-11</t>
        </is>
      </c>
      <c r="B363" t="inlineStr">
        <is>
          <t>CW</t>
        </is>
      </c>
      <c r="C363" t="n">
        <v>-32.36784277184886</v>
      </c>
      <c r="D363">
        <f>SUMPRODUCT(Risk_Inputs!B363:AJ363,Risk_Coefs!$B$2:$AJ$2)</f>
        <v/>
      </c>
      <c r="E363">
        <f>1/(1+EXP(-MAX(-25,MIN(25,D363))))</f>
        <v/>
      </c>
      <c r="F363">
        <f>SUMPRODUCT(Risk_Inputs!B363:AJ363,Risk_Coefs!$B$3:$AJ$3)</f>
        <v/>
      </c>
      <c r="G363">
        <f>MAX(0,F363)</f>
        <v/>
      </c>
      <c r="H363">
        <f>(SUMPRODUCT(--ISNUMBER($E$2:$E$800),--($E$2:$E$800&lt;E363))+(SUMPRODUCT(--ISNUMBER($E$2:$E$800),--($E$2:$E$800=E363))+1)/2)/COUNT($E$2:$E$800)</f>
        <v/>
      </c>
      <c r="I363">
        <f>(SUMPRODUCT(--ISNUMBER($G$2:$G$800),--($G$2:$G$800&lt;G363))+(SUMPRODUCT(--ISNUMBER($G$2:$G$800),--($G$2:$G$800=G363))+1)/2)/COUNT($G$2:$G$800)</f>
        <v/>
      </c>
      <c r="J363" t="n">
        <v>8.159319088057597</v>
      </c>
      <c r="K363" t="n">
        <v>2.903703703703707</v>
      </c>
      <c r="L363" t="n">
        <v>0.2074074074074124</v>
      </c>
      <c r="M363">
        <f>IF(OR(B363="NW",COUNT(Risk_Rank_Keys!B363)=0),0.5,(SUMPRODUCT(--ISNUMBER(Risk_Rank_Keys!$B$2:$B$800),--(Risk_Rank_Keys!$B$2:$B$800&lt;Risk_Rank_Keys!B363))+(SUMPRODUCT(--ISNUMBER(Risk_Rank_Keys!$B$2:$B$800),--(Risk_Rank_Keys!$B$2:$B$800=Risk_Rank_Keys!B363))+1)/2)/COUNT(Risk_Rank_Keys!$B$2:$B$800))</f>
        <v/>
      </c>
      <c r="N363">
        <f>IF(OR(B363="NW",COUNT(Risk_Rank_Keys!C363)=0),0.5,(SUMPRODUCT(--ISNUMBER(Risk_Rank_Keys!$C$2:$C$800),--(Risk_Rank_Keys!$C$2:$C$800&lt;Risk_Rank_Keys!C363))+(SUMPRODUCT(--ISNUMBER(Risk_Rank_Keys!$C$2:$C$800),--(Risk_Rank_Keys!$C$2:$C$800=Risk_Rank_Keys!C363))+1)/2)/COUNT(Risk_Rank_Keys!$C$2:$C$800))</f>
        <v/>
      </c>
      <c r="O363">
        <f>IF(OR(B363="NW",COUNT(Risk_Rank_Keys!D363)=0),0.5,(SUMPRODUCT(--ISNUMBER(Risk_Rank_Keys!$D$2:$D$800),--(Risk_Rank_Keys!$D$2:$D$800&lt;Risk_Rank_Keys!D363))+(SUMPRODUCT(--ISNUMBER(Risk_Rank_Keys!$D$2:$D$800),--(Risk_Rank_Keys!$D$2:$D$800=Risk_Rank_Keys!D363))+1)/2)/COUNT(Risk_Rank_Keys!$D$2:$D$800))</f>
        <v/>
      </c>
      <c r="P363">
        <f>AVERAGE(M363:O363)</f>
        <v/>
      </c>
      <c r="Q363">
        <f>0.4*H363+0.4*I363+0.2*P363</f>
        <v/>
      </c>
      <c r="R363">
        <f>PERCENTILE($Q$2:$Q$800,0.75)</f>
        <v/>
      </c>
      <c r="S363">
        <f>OR(Q363&gt;=R363,AND(B363="CW",COUNT(J363:L363)&lt;3))</f>
        <v/>
      </c>
      <c r="T363" t="n">
        <v>0.3522394170898192</v>
      </c>
      <c r="U363" t="n">
        <v>9.55493412689116</v>
      </c>
      <c r="V363" t="n">
        <v>0.7029844953798012</v>
      </c>
      <c r="W363">
        <f>Q363-V363</f>
        <v/>
      </c>
    </row>
    <row r="364">
      <c r="A364" t="inlineStr">
        <is>
          <t>2023-01-12</t>
        </is>
      </c>
      <c r="B364" t="inlineStr">
        <is>
          <t>CW</t>
        </is>
      </c>
      <c r="C364" t="n">
        <v>40.5879190978232</v>
      </c>
      <c r="D364">
        <f>SUMPRODUCT(Risk_Inputs!B364:AJ364,Risk_Coefs!$B$2:$AJ$2)</f>
        <v/>
      </c>
      <c r="E364">
        <f>1/(1+EXP(-MAX(-25,MIN(25,D364))))</f>
        <v/>
      </c>
      <c r="F364">
        <f>SUMPRODUCT(Risk_Inputs!B364:AJ364,Risk_Coefs!$B$3:$AJ$3)</f>
        <v/>
      </c>
      <c r="G364">
        <f>MAX(0,F364)</f>
        <v/>
      </c>
      <c r="H364">
        <f>(SUMPRODUCT(--ISNUMBER($E$2:$E$800),--($E$2:$E$800&lt;E364))+(SUMPRODUCT(--ISNUMBER($E$2:$E$800),--($E$2:$E$800=E364))+1)/2)/COUNT($E$2:$E$800)</f>
        <v/>
      </c>
      <c r="I364">
        <f>(SUMPRODUCT(--ISNUMBER($G$2:$G$800),--($G$2:$G$800&lt;G364))+(SUMPRODUCT(--ISNUMBER($G$2:$G$800),--($G$2:$G$800=G364))+1)/2)/COUNT($G$2:$G$800)</f>
        <v/>
      </c>
      <c r="J364" t="n">
        <v>11.91236738075898</v>
      </c>
      <c r="K364" t="n">
        <v>2.460077686663785</v>
      </c>
      <c r="L364" t="n">
        <v>0.3452740612861447</v>
      </c>
      <c r="M364">
        <f>IF(OR(B364="NW",COUNT(Risk_Rank_Keys!B364)=0),0.5,(SUMPRODUCT(--ISNUMBER(Risk_Rank_Keys!$B$2:$B$800),--(Risk_Rank_Keys!$B$2:$B$800&lt;Risk_Rank_Keys!B364))+(SUMPRODUCT(--ISNUMBER(Risk_Rank_Keys!$B$2:$B$800),--(Risk_Rank_Keys!$B$2:$B$800=Risk_Rank_Keys!B364))+1)/2)/COUNT(Risk_Rank_Keys!$B$2:$B$800))</f>
        <v/>
      </c>
      <c r="N364">
        <f>IF(OR(B364="NW",COUNT(Risk_Rank_Keys!C364)=0),0.5,(SUMPRODUCT(--ISNUMBER(Risk_Rank_Keys!$C$2:$C$800),--(Risk_Rank_Keys!$C$2:$C$800&lt;Risk_Rank_Keys!C364))+(SUMPRODUCT(--ISNUMBER(Risk_Rank_Keys!$C$2:$C$800),--(Risk_Rank_Keys!$C$2:$C$800=Risk_Rank_Keys!C364))+1)/2)/COUNT(Risk_Rank_Keys!$C$2:$C$800))</f>
        <v/>
      </c>
      <c r="O364">
        <f>IF(OR(B364="NW",COUNT(Risk_Rank_Keys!D364)=0),0.5,(SUMPRODUCT(--ISNUMBER(Risk_Rank_Keys!$D$2:$D$800),--(Risk_Rank_Keys!$D$2:$D$800&lt;Risk_Rank_Keys!D364))+(SUMPRODUCT(--ISNUMBER(Risk_Rank_Keys!$D$2:$D$800),--(Risk_Rank_Keys!$D$2:$D$800=Risk_Rank_Keys!D364))+1)/2)/COUNT(Risk_Rank_Keys!$D$2:$D$800))</f>
        <v/>
      </c>
      <c r="P364">
        <f>AVERAGE(M364:O364)</f>
        <v/>
      </c>
      <c r="Q364">
        <f>0.4*H364+0.4*I364+0.2*P364</f>
        <v/>
      </c>
      <c r="R364">
        <f>PERCENTILE($Q$2:$Q$800,0.75)</f>
        <v/>
      </c>
      <c r="S364">
        <f>OR(Q364&gt;=R364,AND(B364="CW",COUNT(J364:L364)&lt;3))</f>
        <v/>
      </c>
      <c r="T364" t="n">
        <v>0.2816343618473811</v>
      </c>
      <c r="U364" t="n">
        <v>9.714573067282283</v>
      </c>
      <c r="V364" t="n">
        <v>0.6082403096851073</v>
      </c>
      <c r="W364">
        <f>Q364-V364</f>
        <v/>
      </c>
    </row>
    <row r="365">
      <c r="A365" t="inlineStr">
        <is>
          <t>2023-01-13</t>
        </is>
      </c>
      <c r="B365" t="inlineStr">
        <is>
          <t>CW</t>
        </is>
      </c>
      <c r="C365" t="n">
        <v>35.18895982823263</v>
      </c>
      <c r="D365">
        <f>SUMPRODUCT(Risk_Inputs!B365:AJ365,Risk_Coefs!$B$2:$AJ$2)</f>
        <v/>
      </c>
      <c r="E365">
        <f>1/(1+EXP(-MAX(-25,MIN(25,D365))))</f>
        <v/>
      </c>
      <c r="F365">
        <f>SUMPRODUCT(Risk_Inputs!B365:AJ365,Risk_Coefs!$B$3:$AJ$3)</f>
        <v/>
      </c>
      <c r="G365">
        <f>MAX(0,F365)</f>
        <v/>
      </c>
      <c r="H365">
        <f>(SUMPRODUCT(--ISNUMBER($E$2:$E$800),--($E$2:$E$800&lt;E365))+(SUMPRODUCT(--ISNUMBER($E$2:$E$800),--($E$2:$E$800=E365))+1)/2)/COUNT($E$2:$E$800)</f>
        <v/>
      </c>
      <c r="I365">
        <f>(SUMPRODUCT(--ISNUMBER($G$2:$G$800),--($G$2:$G$800&lt;G365))+(SUMPRODUCT(--ISNUMBER($G$2:$G$800),--($G$2:$G$800=G365))+1)/2)/COUNT($G$2:$G$800)</f>
        <v/>
      </c>
      <c r="J365" t="n">
        <v>19.21234967596623</v>
      </c>
      <c r="K365" t="n">
        <v>3.568866571018648</v>
      </c>
      <c r="L365" t="n">
        <v>0.3228120516499304</v>
      </c>
      <c r="M365">
        <f>IF(OR(B365="NW",COUNT(Risk_Rank_Keys!B365)=0),0.5,(SUMPRODUCT(--ISNUMBER(Risk_Rank_Keys!$B$2:$B$800),--(Risk_Rank_Keys!$B$2:$B$800&lt;Risk_Rank_Keys!B365))+(SUMPRODUCT(--ISNUMBER(Risk_Rank_Keys!$B$2:$B$800),--(Risk_Rank_Keys!$B$2:$B$800=Risk_Rank_Keys!B365))+1)/2)/COUNT(Risk_Rank_Keys!$B$2:$B$800))</f>
        <v/>
      </c>
      <c r="N365">
        <f>IF(OR(B365="NW",COUNT(Risk_Rank_Keys!C365)=0),0.5,(SUMPRODUCT(--ISNUMBER(Risk_Rank_Keys!$C$2:$C$800),--(Risk_Rank_Keys!$C$2:$C$800&lt;Risk_Rank_Keys!C365))+(SUMPRODUCT(--ISNUMBER(Risk_Rank_Keys!$C$2:$C$800),--(Risk_Rank_Keys!$C$2:$C$800=Risk_Rank_Keys!C365))+1)/2)/COUNT(Risk_Rank_Keys!$C$2:$C$800))</f>
        <v/>
      </c>
      <c r="O365">
        <f>IF(OR(B365="NW",COUNT(Risk_Rank_Keys!D365)=0),0.5,(SUMPRODUCT(--ISNUMBER(Risk_Rank_Keys!$D$2:$D$800),--(Risk_Rank_Keys!$D$2:$D$800&lt;Risk_Rank_Keys!D365))+(SUMPRODUCT(--ISNUMBER(Risk_Rank_Keys!$D$2:$D$800),--(Risk_Rank_Keys!$D$2:$D$800=Risk_Rank_Keys!D365))+1)/2)/COUNT(Risk_Rank_Keys!$D$2:$D$800))</f>
        <v/>
      </c>
      <c r="P365">
        <f>AVERAGE(M365:O365)</f>
        <v/>
      </c>
      <c r="Q365">
        <f>0.4*H365+0.4*I365+0.2*P365</f>
        <v/>
      </c>
      <c r="R365">
        <f>PERCENTILE($Q$2:$Q$800,0.75)</f>
        <v/>
      </c>
      <c r="S365">
        <f>OR(Q365&gt;=R365,AND(B365="CW",COUNT(J365:L365)&lt;3))</f>
        <v/>
      </c>
      <c r="T365" t="n">
        <v>0.2163462881046365</v>
      </c>
      <c r="U365" t="n">
        <v>6.106522337695999</v>
      </c>
      <c r="V365" t="n">
        <v>0.3048267563650286</v>
      </c>
      <c r="W365">
        <f>Q365-V365</f>
        <v/>
      </c>
    </row>
    <row r="366">
      <c r="A366" t="inlineStr">
        <is>
          <t>2023-01-17</t>
        </is>
      </c>
      <c r="B366" t="inlineStr">
        <is>
          <t>CW</t>
        </is>
      </c>
      <c r="C366" t="n">
        <v>12.36113169528518</v>
      </c>
      <c r="D366">
        <f>SUMPRODUCT(Risk_Inputs!B366:AJ366,Risk_Coefs!$B$2:$AJ$2)</f>
        <v/>
      </c>
      <c r="E366">
        <f>1/(1+EXP(-MAX(-25,MIN(25,D366))))</f>
        <v/>
      </c>
      <c r="F366">
        <f>SUMPRODUCT(Risk_Inputs!B366:AJ366,Risk_Coefs!$B$3:$AJ$3)</f>
        <v/>
      </c>
      <c r="G366">
        <f>MAX(0,F366)</f>
        <v/>
      </c>
      <c r="H366">
        <f>(SUMPRODUCT(--ISNUMBER($E$2:$E$800),--($E$2:$E$800&lt;E366))+(SUMPRODUCT(--ISNUMBER($E$2:$E$800),--($E$2:$E$800=E366))+1)/2)/COUNT($E$2:$E$800)</f>
        <v/>
      </c>
      <c r="I366">
        <f>(SUMPRODUCT(--ISNUMBER($G$2:$G$800),--($G$2:$G$800&lt;G366))+(SUMPRODUCT(--ISNUMBER($G$2:$G$800),--($G$2:$G$800=G366))+1)/2)/COUNT($G$2:$G$800)</f>
        <v/>
      </c>
      <c r="J366" t="n">
        <v>18.15470039158292</v>
      </c>
      <c r="K366" t="n">
        <v>5.096566523605151</v>
      </c>
      <c r="L366" t="n">
        <v>0.1341201716738197</v>
      </c>
      <c r="M366">
        <f>IF(OR(B366="NW",COUNT(Risk_Rank_Keys!B366)=0),0.5,(SUMPRODUCT(--ISNUMBER(Risk_Rank_Keys!$B$2:$B$800),--(Risk_Rank_Keys!$B$2:$B$800&lt;Risk_Rank_Keys!B366))+(SUMPRODUCT(--ISNUMBER(Risk_Rank_Keys!$B$2:$B$800),--(Risk_Rank_Keys!$B$2:$B$800=Risk_Rank_Keys!B366))+1)/2)/COUNT(Risk_Rank_Keys!$B$2:$B$800))</f>
        <v/>
      </c>
      <c r="N366">
        <f>IF(OR(B366="NW",COUNT(Risk_Rank_Keys!C366)=0),0.5,(SUMPRODUCT(--ISNUMBER(Risk_Rank_Keys!$C$2:$C$800),--(Risk_Rank_Keys!$C$2:$C$800&lt;Risk_Rank_Keys!C366))+(SUMPRODUCT(--ISNUMBER(Risk_Rank_Keys!$C$2:$C$800),--(Risk_Rank_Keys!$C$2:$C$800=Risk_Rank_Keys!C366))+1)/2)/COUNT(Risk_Rank_Keys!$C$2:$C$800))</f>
        <v/>
      </c>
      <c r="O366">
        <f>IF(OR(B366="NW",COUNT(Risk_Rank_Keys!D366)=0),0.5,(SUMPRODUCT(--ISNUMBER(Risk_Rank_Keys!$D$2:$D$800),--(Risk_Rank_Keys!$D$2:$D$800&lt;Risk_Rank_Keys!D366))+(SUMPRODUCT(--ISNUMBER(Risk_Rank_Keys!$D$2:$D$800),--(Risk_Rank_Keys!$D$2:$D$800=Risk_Rank_Keys!D366))+1)/2)/COUNT(Risk_Rank_Keys!$D$2:$D$800))</f>
        <v/>
      </c>
      <c r="P366">
        <f>AVERAGE(M366:O366)</f>
        <v/>
      </c>
      <c r="Q366">
        <f>0.4*H366+0.4*I366+0.2*P366</f>
        <v/>
      </c>
      <c r="R366">
        <f>PERCENTILE($Q$2:$Q$800,0.75)</f>
        <v/>
      </c>
      <c r="S366">
        <f>OR(Q366&gt;=R366,AND(B366="CW",COUNT(J366:L366)&lt;3))</f>
        <v/>
      </c>
      <c r="T366" t="n">
        <v>0.2511632911152948</v>
      </c>
      <c r="U366" t="n">
        <v>5.608716321724226</v>
      </c>
      <c r="V366" t="n">
        <v>0.2986520226061284</v>
      </c>
      <c r="W366">
        <f>Q366-V366</f>
        <v/>
      </c>
    </row>
    <row r="367">
      <c r="A367" t="inlineStr">
        <is>
          <t>2023-01-18</t>
        </is>
      </c>
      <c r="B367" t="inlineStr">
        <is>
          <t>CW</t>
        </is>
      </c>
      <c r="C367" t="n">
        <v>23.01648539912456</v>
      </c>
      <c r="D367">
        <f>SUMPRODUCT(Risk_Inputs!B367:AJ367,Risk_Coefs!$B$2:$AJ$2)</f>
        <v/>
      </c>
      <c r="E367">
        <f>1/(1+EXP(-MAX(-25,MIN(25,D367))))</f>
        <v/>
      </c>
      <c r="F367">
        <f>SUMPRODUCT(Risk_Inputs!B367:AJ367,Risk_Coefs!$B$3:$AJ$3)</f>
        <v/>
      </c>
      <c r="G367">
        <f>MAX(0,F367)</f>
        <v/>
      </c>
      <c r="H367">
        <f>(SUMPRODUCT(--ISNUMBER($E$2:$E$800),--($E$2:$E$800&lt;E367))+(SUMPRODUCT(--ISNUMBER($E$2:$E$800),--($E$2:$E$800=E367))+1)/2)/COUNT($E$2:$E$800)</f>
        <v/>
      </c>
      <c r="I367">
        <f>(SUMPRODUCT(--ISNUMBER($G$2:$G$800),--($G$2:$G$800&lt;G367))+(SUMPRODUCT(--ISNUMBER($G$2:$G$800),--($G$2:$G$800=G367))+1)/2)/COUNT($G$2:$G$800)</f>
        <v/>
      </c>
      <c r="J367" t="n">
        <v>13.56007250487748</v>
      </c>
      <c r="K367" t="n">
        <v>3.457911281872154</v>
      </c>
      <c r="L367" t="n">
        <v>0.209570380719523</v>
      </c>
      <c r="M367">
        <f>IF(OR(B367="NW",COUNT(Risk_Rank_Keys!B367)=0),0.5,(SUMPRODUCT(--ISNUMBER(Risk_Rank_Keys!$B$2:$B$800),--(Risk_Rank_Keys!$B$2:$B$800&lt;Risk_Rank_Keys!B367))+(SUMPRODUCT(--ISNUMBER(Risk_Rank_Keys!$B$2:$B$800),--(Risk_Rank_Keys!$B$2:$B$800=Risk_Rank_Keys!B367))+1)/2)/COUNT(Risk_Rank_Keys!$B$2:$B$800))</f>
        <v/>
      </c>
      <c r="N367">
        <f>IF(OR(B367="NW",COUNT(Risk_Rank_Keys!C367)=0),0.5,(SUMPRODUCT(--ISNUMBER(Risk_Rank_Keys!$C$2:$C$800),--(Risk_Rank_Keys!$C$2:$C$800&lt;Risk_Rank_Keys!C367))+(SUMPRODUCT(--ISNUMBER(Risk_Rank_Keys!$C$2:$C$800),--(Risk_Rank_Keys!$C$2:$C$800=Risk_Rank_Keys!C367))+1)/2)/COUNT(Risk_Rank_Keys!$C$2:$C$800))</f>
        <v/>
      </c>
      <c r="O367">
        <f>IF(OR(B367="NW",COUNT(Risk_Rank_Keys!D367)=0),0.5,(SUMPRODUCT(--ISNUMBER(Risk_Rank_Keys!$D$2:$D$800),--(Risk_Rank_Keys!$D$2:$D$800&lt;Risk_Rank_Keys!D367))+(SUMPRODUCT(--ISNUMBER(Risk_Rank_Keys!$D$2:$D$800),--(Risk_Rank_Keys!$D$2:$D$800=Risk_Rank_Keys!D367))+1)/2)/COUNT(Risk_Rank_Keys!$D$2:$D$800))</f>
        <v/>
      </c>
      <c r="P367">
        <f>AVERAGE(M367:O367)</f>
        <v/>
      </c>
      <c r="Q367">
        <f>0.4*H367+0.4*I367+0.2*P367</f>
        <v/>
      </c>
      <c r="R367">
        <f>PERCENTILE($Q$2:$Q$800,0.75)</f>
        <v/>
      </c>
      <c r="S367">
        <f>OR(Q367&gt;=R367,AND(B367="CW",COUNT(J367:L367)&lt;3))</f>
        <v/>
      </c>
      <c r="T367" t="n">
        <v>0.2617887591024742</v>
      </c>
      <c r="U367" t="n">
        <v>7.177946880574344</v>
      </c>
      <c r="V367" t="n">
        <v>0.4173433900697583</v>
      </c>
      <c r="W367">
        <f>Q367-V367</f>
        <v/>
      </c>
    </row>
    <row r="368">
      <c r="A368" t="inlineStr">
        <is>
          <t>2023-01-19</t>
        </is>
      </c>
      <c r="B368" t="inlineStr">
        <is>
          <t>CW</t>
        </is>
      </c>
      <c r="C368" t="n">
        <v>12.52249975392271</v>
      </c>
      <c r="D368">
        <f>SUMPRODUCT(Risk_Inputs!B368:AJ368,Risk_Coefs!$B$2:$AJ$2)</f>
        <v/>
      </c>
      <c r="E368">
        <f>1/(1+EXP(-MAX(-25,MIN(25,D368))))</f>
        <v/>
      </c>
      <c r="F368">
        <f>SUMPRODUCT(Risk_Inputs!B368:AJ368,Risk_Coefs!$B$3:$AJ$3)</f>
        <v/>
      </c>
      <c r="G368">
        <f>MAX(0,F368)</f>
        <v/>
      </c>
      <c r="H368">
        <f>(SUMPRODUCT(--ISNUMBER($E$2:$E$800),--($E$2:$E$800&lt;E368))+(SUMPRODUCT(--ISNUMBER($E$2:$E$800),--($E$2:$E$800=E368))+1)/2)/COUNT($E$2:$E$800)</f>
        <v/>
      </c>
      <c r="I368">
        <f>(SUMPRODUCT(--ISNUMBER($G$2:$G$800),--($G$2:$G$800&lt;G368))+(SUMPRODUCT(--ISNUMBER($G$2:$G$800),--($G$2:$G$800=G368))+1)/2)/COUNT($G$2:$G$800)</f>
        <v/>
      </c>
      <c r="J368" t="n">
        <v>16.89254464655507</v>
      </c>
      <c r="K368" t="n">
        <v>15.83949313621964</v>
      </c>
      <c r="L368" t="n">
        <v>0.4751847940865847</v>
      </c>
      <c r="M368">
        <f>IF(OR(B368="NW",COUNT(Risk_Rank_Keys!B368)=0),0.5,(SUMPRODUCT(--ISNUMBER(Risk_Rank_Keys!$B$2:$B$800),--(Risk_Rank_Keys!$B$2:$B$800&lt;Risk_Rank_Keys!B368))+(SUMPRODUCT(--ISNUMBER(Risk_Rank_Keys!$B$2:$B$800),--(Risk_Rank_Keys!$B$2:$B$800=Risk_Rank_Keys!B368))+1)/2)/COUNT(Risk_Rank_Keys!$B$2:$B$800))</f>
        <v/>
      </c>
      <c r="N368">
        <f>IF(OR(B368="NW",COUNT(Risk_Rank_Keys!C368)=0),0.5,(SUMPRODUCT(--ISNUMBER(Risk_Rank_Keys!$C$2:$C$800),--(Risk_Rank_Keys!$C$2:$C$800&lt;Risk_Rank_Keys!C368))+(SUMPRODUCT(--ISNUMBER(Risk_Rank_Keys!$C$2:$C$800),--(Risk_Rank_Keys!$C$2:$C$800=Risk_Rank_Keys!C368))+1)/2)/COUNT(Risk_Rank_Keys!$C$2:$C$800))</f>
        <v/>
      </c>
      <c r="O368">
        <f>IF(OR(B368="NW",COUNT(Risk_Rank_Keys!D368)=0),0.5,(SUMPRODUCT(--ISNUMBER(Risk_Rank_Keys!$D$2:$D$800),--(Risk_Rank_Keys!$D$2:$D$800&lt;Risk_Rank_Keys!D368))+(SUMPRODUCT(--ISNUMBER(Risk_Rank_Keys!$D$2:$D$800),--(Risk_Rank_Keys!$D$2:$D$800=Risk_Rank_Keys!D368))+1)/2)/COUNT(Risk_Rank_Keys!$D$2:$D$800))</f>
        <v/>
      </c>
      <c r="P368">
        <f>AVERAGE(M368:O368)</f>
        <v/>
      </c>
      <c r="Q368">
        <f>0.4*H368+0.4*I368+0.2*P368</f>
        <v/>
      </c>
      <c r="R368">
        <f>PERCENTILE($Q$2:$Q$800,0.75)</f>
        <v/>
      </c>
      <c r="S368">
        <f>OR(Q368&gt;=R368,AND(B368="CW",COUNT(J368:L368)&lt;3))</f>
        <v/>
      </c>
      <c r="T368" t="n">
        <v>0.1886616100704269</v>
      </c>
      <c r="U368" t="n">
        <v>4.901505654948966</v>
      </c>
      <c r="V368" t="n">
        <v>0.2586858631401758</v>
      </c>
      <c r="W368">
        <f>Q368-V368</f>
        <v/>
      </c>
    </row>
    <row r="369">
      <c r="A369" t="inlineStr">
        <is>
          <t>2023-01-20</t>
        </is>
      </c>
      <c r="B369" t="inlineStr">
        <is>
          <t>CW</t>
        </is>
      </c>
      <c r="C369" t="n">
        <v>25.58808949452743</v>
      </c>
      <c r="D369">
        <f>SUMPRODUCT(Risk_Inputs!B369:AJ369,Risk_Coefs!$B$2:$AJ$2)</f>
        <v/>
      </c>
      <c r="E369">
        <f>1/(1+EXP(-MAX(-25,MIN(25,D369))))</f>
        <v/>
      </c>
      <c r="F369">
        <f>SUMPRODUCT(Risk_Inputs!B369:AJ369,Risk_Coefs!$B$3:$AJ$3)</f>
        <v/>
      </c>
      <c r="G369">
        <f>MAX(0,F369)</f>
        <v/>
      </c>
      <c r="H369">
        <f>(SUMPRODUCT(--ISNUMBER($E$2:$E$800),--($E$2:$E$800&lt;E369))+(SUMPRODUCT(--ISNUMBER($E$2:$E$800),--($E$2:$E$800=E369))+1)/2)/COUNT($E$2:$E$800)</f>
        <v/>
      </c>
      <c r="I369">
        <f>(SUMPRODUCT(--ISNUMBER($G$2:$G$800),--($G$2:$G$800&lt;G369))+(SUMPRODUCT(--ISNUMBER($G$2:$G$800),--($G$2:$G$800=G369))+1)/2)/COUNT($G$2:$G$800)</f>
        <v/>
      </c>
      <c r="J369" t="n">
        <v>6.705945662525406</v>
      </c>
      <c r="K369" t="n">
        <v>1.356174161313358</v>
      </c>
      <c r="L369" t="n">
        <v>0.1903402331667815</v>
      </c>
      <c r="M369">
        <f>IF(OR(B369="NW",COUNT(Risk_Rank_Keys!B369)=0),0.5,(SUMPRODUCT(--ISNUMBER(Risk_Rank_Keys!$B$2:$B$800),--(Risk_Rank_Keys!$B$2:$B$800&lt;Risk_Rank_Keys!B369))+(SUMPRODUCT(--ISNUMBER(Risk_Rank_Keys!$B$2:$B$800),--(Risk_Rank_Keys!$B$2:$B$800=Risk_Rank_Keys!B369))+1)/2)/COUNT(Risk_Rank_Keys!$B$2:$B$800))</f>
        <v/>
      </c>
      <c r="N369">
        <f>IF(OR(B369="NW",COUNT(Risk_Rank_Keys!C369)=0),0.5,(SUMPRODUCT(--ISNUMBER(Risk_Rank_Keys!$C$2:$C$800),--(Risk_Rank_Keys!$C$2:$C$800&lt;Risk_Rank_Keys!C369))+(SUMPRODUCT(--ISNUMBER(Risk_Rank_Keys!$C$2:$C$800),--(Risk_Rank_Keys!$C$2:$C$800=Risk_Rank_Keys!C369))+1)/2)/COUNT(Risk_Rank_Keys!$C$2:$C$800))</f>
        <v/>
      </c>
      <c r="O369">
        <f>IF(OR(B369="NW",COUNT(Risk_Rank_Keys!D369)=0),0.5,(SUMPRODUCT(--ISNUMBER(Risk_Rank_Keys!$D$2:$D$800),--(Risk_Rank_Keys!$D$2:$D$800&lt;Risk_Rank_Keys!D369))+(SUMPRODUCT(--ISNUMBER(Risk_Rank_Keys!$D$2:$D$800),--(Risk_Rank_Keys!$D$2:$D$800=Risk_Rank_Keys!D369))+1)/2)/COUNT(Risk_Rank_Keys!$D$2:$D$800))</f>
        <v/>
      </c>
      <c r="P369">
        <f>AVERAGE(M369:O369)</f>
        <v/>
      </c>
      <c r="Q369">
        <f>0.4*H369+0.4*I369+0.2*P369</f>
        <v/>
      </c>
      <c r="R369">
        <f>PERCENTILE($Q$2:$Q$800,0.75)</f>
        <v/>
      </c>
      <c r="S369">
        <f>OR(Q369&gt;=R369,AND(B369="CW",COUNT(J369:L369)&lt;3))</f>
        <v/>
      </c>
      <c r="T369" t="n">
        <v>0.2235061781467321</v>
      </c>
      <c r="U369" t="n">
        <v>6.166607498053582</v>
      </c>
      <c r="V369" t="n">
        <v>0.2193629996584527</v>
      </c>
      <c r="W369">
        <f>Q369-V369</f>
        <v/>
      </c>
    </row>
    <row r="370">
      <c r="A370" t="inlineStr">
        <is>
          <t>2023-01-27</t>
        </is>
      </c>
      <c r="B370" t="inlineStr">
        <is>
          <t>CW</t>
        </is>
      </c>
      <c r="C370" t="n">
        <v>-13.24194754899105</v>
      </c>
      <c r="D370">
        <f>SUMPRODUCT(Risk_Inputs!B370:AJ370,Risk_Coefs!$B$2:$AJ$2)</f>
        <v/>
      </c>
      <c r="E370">
        <f>1/(1+EXP(-MAX(-25,MIN(25,D370))))</f>
        <v/>
      </c>
      <c r="F370">
        <f>SUMPRODUCT(Risk_Inputs!B370:AJ370,Risk_Coefs!$B$3:$AJ$3)</f>
        <v/>
      </c>
      <c r="G370">
        <f>MAX(0,F370)</f>
        <v/>
      </c>
      <c r="H370">
        <f>(SUMPRODUCT(--ISNUMBER($E$2:$E$800),--($E$2:$E$800&lt;E370))+(SUMPRODUCT(--ISNUMBER($E$2:$E$800),--($E$2:$E$800=E370))+1)/2)/COUNT($E$2:$E$800)</f>
        <v/>
      </c>
      <c r="I370">
        <f>(SUMPRODUCT(--ISNUMBER($G$2:$G$800),--($G$2:$G$800&lt;G370))+(SUMPRODUCT(--ISNUMBER($G$2:$G$800),--($G$2:$G$800=G370))+1)/2)/COUNT($G$2:$G$800)</f>
        <v/>
      </c>
      <c r="J370" t="n">
        <v>41.60883759348807</v>
      </c>
      <c r="K370" t="n">
        <v>9.512074913750622</v>
      </c>
      <c r="L370" t="n">
        <v>0.2094627895515018</v>
      </c>
      <c r="M370">
        <f>IF(OR(B370="NW",COUNT(Risk_Rank_Keys!B370)=0),0.5,(SUMPRODUCT(--ISNUMBER(Risk_Rank_Keys!$B$2:$B$800),--(Risk_Rank_Keys!$B$2:$B$800&lt;Risk_Rank_Keys!B370))+(SUMPRODUCT(--ISNUMBER(Risk_Rank_Keys!$B$2:$B$800),--(Risk_Rank_Keys!$B$2:$B$800=Risk_Rank_Keys!B370))+1)/2)/COUNT(Risk_Rank_Keys!$B$2:$B$800))</f>
        <v/>
      </c>
      <c r="N370">
        <f>IF(OR(B370="NW",COUNT(Risk_Rank_Keys!C370)=0),0.5,(SUMPRODUCT(--ISNUMBER(Risk_Rank_Keys!$C$2:$C$800),--(Risk_Rank_Keys!$C$2:$C$800&lt;Risk_Rank_Keys!C370))+(SUMPRODUCT(--ISNUMBER(Risk_Rank_Keys!$C$2:$C$800),--(Risk_Rank_Keys!$C$2:$C$800=Risk_Rank_Keys!C370))+1)/2)/COUNT(Risk_Rank_Keys!$C$2:$C$800))</f>
        <v/>
      </c>
      <c r="O370">
        <f>IF(OR(B370="NW",COUNT(Risk_Rank_Keys!D370)=0),0.5,(SUMPRODUCT(--ISNUMBER(Risk_Rank_Keys!$D$2:$D$800),--(Risk_Rank_Keys!$D$2:$D$800&lt;Risk_Rank_Keys!D370))+(SUMPRODUCT(--ISNUMBER(Risk_Rank_Keys!$D$2:$D$800),--(Risk_Rank_Keys!$D$2:$D$800=Risk_Rank_Keys!D370))+1)/2)/COUNT(Risk_Rank_Keys!$D$2:$D$800))</f>
        <v/>
      </c>
      <c r="P370">
        <f>AVERAGE(M370:O370)</f>
        <v/>
      </c>
      <c r="Q370">
        <f>0.4*H370+0.4*I370+0.2*P370</f>
        <v/>
      </c>
      <c r="R370">
        <f>PERCENTILE($Q$2:$Q$800,0.75)</f>
        <v/>
      </c>
      <c r="S370">
        <f>OR(Q370&gt;=R370,AND(B370="CW",COUNT(J370:L370)&lt;3))</f>
        <v/>
      </c>
      <c r="T370" t="n">
        <v>0.2443305242827662</v>
      </c>
      <c r="U370" t="n">
        <v>7.073183993169335</v>
      </c>
      <c r="V370" t="n">
        <v>0.4137776823539885</v>
      </c>
      <c r="W370">
        <f>Q370-V370</f>
        <v/>
      </c>
    </row>
    <row r="371">
      <c r="A371" t="inlineStr">
        <is>
          <t>2023-01-30</t>
        </is>
      </c>
      <c r="B371" t="inlineStr">
        <is>
          <t>CW</t>
        </is>
      </c>
      <c r="C371" t="n">
        <v>-39.55652335842743</v>
      </c>
      <c r="D371">
        <f>SUMPRODUCT(Risk_Inputs!B371:AJ371,Risk_Coefs!$B$2:$AJ$2)</f>
        <v/>
      </c>
      <c r="E371">
        <f>1/(1+EXP(-MAX(-25,MIN(25,D371))))</f>
        <v/>
      </c>
      <c r="F371">
        <f>SUMPRODUCT(Risk_Inputs!B371:AJ371,Risk_Coefs!$B$3:$AJ$3)</f>
        <v/>
      </c>
      <c r="G371">
        <f>MAX(0,F371)</f>
        <v/>
      </c>
      <c r="H371">
        <f>(SUMPRODUCT(--ISNUMBER($E$2:$E$800),--($E$2:$E$800&lt;E371))+(SUMPRODUCT(--ISNUMBER($E$2:$E$800),--($E$2:$E$800=E371))+1)/2)/COUNT($E$2:$E$800)</f>
        <v/>
      </c>
      <c r="I371">
        <f>(SUMPRODUCT(--ISNUMBER($G$2:$G$800),--($G$2:$G$800&lt;G371))+(SUMPRODUCT(--ISNUMBER($G$2:$G$800),--($G$2:$G$800=G371))+1)/2)/COUNT($G$2:$G$800)</f>
        <v/>
      </c>
      <c r="J371" t="n">
        <v>56.91405691405691</v>
      </c>
      <c r="K371" t="n">
        <v>13.65066876475215</v>
      </c>
      <c r="L371" t="n">
        <v>0.2622606871230002</v>
      </c>
      <c r="M371">
        <f>IF(OR(B371="NW",COUNT(Risk_Rank_Keys!B371)=0),0.5,(SUMPRODUCT(--ISNUMBER(Risk_Rank_Keys!$B$2:$B$800),--(Risk_Rank_Keys!$B$2:$B$800&lt;Risk_Rank_Keys!B371))+(SUMPRODUCT(--ISNUMBER(Risk_Rank_Keys!$B$2:$B$800),--(Risk_Rank_Keys!$B$2:$B$800=Risk_Rank_Keys!B371))+1)/2)/COUNT(Risk_Rank_Keys!$B$2:$B$800))</f>
        <v/>
      </c>
      <c r="N371">
        <f>IF(OR(B371="NW",COUNT(Risk_Rank_Keys!C371)=0),0.5,(SUMPRODUCT(--ISNUMBER(Risk_Rank_Keys!$C$2:$C$800),--(Risk_Rank_Keys!$C$2:$C$800&lt;Risk_Rank_Keys!C371))+(SUMPRODUCT(--ISNUMBER(Risk_Rank_Keys!$C$2:$C$800),--(Risk_Rank_Keys!$C$2:$C$800=Risk_Rank_Keys!C371))+1)/2)/COUNT(Risk_Rank_Keys!$C$2:$C$800))</f>
        <v/>
      </c>
      <c r="O371">
        <f>IF(OR(B371="NW",COUNT(Risk_Rank_Keys!D371)=0),0.5,(SUMPRODUCT(--ISNUMBER(Risk_Rank_Keys!$D$2:$D$800),--(Risk_Rank_Keys!$D$2:$D$800&lt;Risk_Rank_Keys!D371))+(SUMPRODUCT(--ISNUMBER(Risk_Rank_Keys!$D$2:$D$800),--(Risk_Rank_Keys!$D$2:$D$800=Risk_Rank_Keys!D371))+1)/2)/COUNT(Risk_Rank_Keys!$D$2:$D$800))</f>
        <v/>
      </c>
      <c r="P371">
        <f>AVERAGE(M371:O371)</f>
        <v/>
      </c>
      <c r="Q371">
        <f>0.4*H371+0.4*I371+0.2*P371</f>
        <v/>
      </c>
      <c r="R371">
        <f>PERCENTILE($Q$2:$Q$800,0.75)</f>
        <v/>
      </c>
      <c r="S371">
        <f>OR(Q371&gt;=R371,AND(B371="CW",COUNT(J371:L371)&lt;3))</f>
        <v/>
      </c>
      <c r="T371" t="n">
        <v>0.2451550642245026</v>
      </c>
      <c r="U371" t="n">
        <v>9.855779851318713</v>
      </c>
      <c r="V371" t="n">
        <v>0.578013195248128</v>
      </c>
      <c r="W371">
        <f>Q371-V371</f>
        <v/>
      </c>
    </row>
    <row r="372">
      <c r="A372" t="inlineStr">
        <is>
          <t>2023-01-31</t>
        </is>
      </c>
      <c r="B372" t="inlineStr">
        <is>
          <t>CW</t>
        </is>
      </c>
      <c r="C372" t="n">
        <v>20.77616474113379</v>
      </c>
      <c r="D372">
        <f>SUMPRODUCT(Risk_Inputs!B372:AJ372,Risk_Coefs!$B$2:$AJ$2)</f>
        <v/>
      </c>
      <c r="E372">
        <f>1/(1+EXP(-MAX(-25,MIN(25,D372))))</f>
        <v/>
      </c>
      <c r="F372">
        <f>SUMPRODUCT(Risk_Inputs!B372:AJ372,Risk_Coefs!$B$3:$AJ$3)</f>
        <v/>
      </c>
      <c r="G372">
        <f>MAX(0,F372)</f>
        <v/>
      </c>
      <c r="H372">
        <f>(SUMPRODUCT(--ISNUMBER($E$2:$E$800),--($E$2:$E$800&lt;E372))+(SUMPRODUCT(--ISNUMBER($E$2:$E$800),--($E$2:$E$800=E372))+1)/2)/COUNT($E$2:$E$800)</f>
        <v/>
      </c>
      <c r="I372">
        <f>(SUMPRODUCT(--ISNUMBER($G$2:$G$800),--($G$2:$G$800&lt;G372))+(SUMPRODUCT(--ISNUMBER($G$2:$G$800),--($G$2:$G$800=G372))+1)/2)/COUNT($G$2:$G$800)</f>
        <v/>
      </c>
      <c r="J372" t="n">
        <v>25.81155307041738</v>
      </c>
      <c r="K372" t="n">
        <v>6.468716861081661</v>
      </c>
      <c r="L372" t="n">
        <v>0.25753673685805</v>
      </c>
      <c r="M372">
        <f>IF(OR(B372="NW",COUNT(Risk_Rank_Keys!B372)=0),0.5,(SUMPRODUCT(--ISNUMBER(Risk_Rank_Keys!$B$2:$B$800),--(Risk_Rank_Keys!$B$2:$B$800&lt;Risk_Rank_Keys!B372))+(SUMPRODUCT(--ISNUMBER(Risk_Rank_Keys!$B$2:$B$800),--(Risk_Rank_Keys!$B$2:$B$800=Risk_Rank_Keys!B372))+1)/2)/COUNT(Risk_Rank_Keys!$B$2:$B$800))</f>
        <v/>
      </c>
      <c r="N372">
        <f>IF(OR(B372="NW",COUNT(Risk_Rank_Keys!C372)=0),0.5,(SUMPRODUCT(--ISNUMBER(Risk_Rank_Keys!$C$2:$C$800),--(Risk_Rank_Keys!$C$2:$C$800&lt;Risk_Rank_Keys!C372))+(SUMPRODUCT(--ISNUMBER(Risk_Rank_Keys!$C$2:$C$800),--(Risk_Rank_Keys!$C$2:$C$800=Risk_Rank_Keys!C372))+1)/2)/COUNT(Risk_Rank_Keys!$C$2:$C$800))</f>
        <v/>
      </c>
      <c r="O372">
        <f>IF(OR(B372="NW",COUNT(Risk_Rank_Keys!D372)=0),0.5,(SUMPRODUCT(--ISNUMBER(Risk_Rank_Keys!$D$2:$D$800),--(Risk_Rank_Keys!$D$2:$D$800&lt;Risk_Rank_Keys!D372))+(SUMPRODUCT(--ISNUMBER(Risk_Rank_Keys!$D$2:$D$800),--(Risk_Rank_Keys!$D$2:$D$800=Risk_Rank_Keys!D372))+1)/2)/COUNT(Risk_Rank_Keys!$D$2:$D$800))</f>
        <v/>
      </c>
      <c r="P372">
        <f>AVERAGE(M372:O372)</f>
        <v/>
      </c>
      <c r="Q372">
        <f>0.4*H372+0.4*I372+0.2*P372</f>
        <v/>
      </c>
      <c r="R372">
        <f>PERCENTILE($Q$2:$Q$800,0.75)</f>
        <v/>
      </c>
      <c r="S372">
        <f>OR(Q372&gt;=R372,AND(B372="CW",COUNT(J372:L372)&lt;3))</f>
        <v/>
      </c>
      <c r="T372" t="n">
        <v>0.2706544542987176</v>
      </c>
      <c r="U372" t="n">
        <v>8.90445330805751</v>
      </c>
      <c r="V372" t="n">
        <v>0.5727266009522596</v>
      </c>
      <c r="W372">
        <f>Q372-V372</f>
        <v/>
      </c>
    </row>
    <row r="373">
      <c r="A373" t="inlineStr">
        <is>
          <t>2023-02-01</t>
        </is>
      </c>
      <c r="B373" t="inlineStr">
        <is>
          <t>CW</t>
        </is>
      </c>
      <c r="C373" t="n">
        <v>23.67793173357598</v>
      </c>
      <c r="D373">
        <f>SUMPRODUCT(Risk_Inputs!B373:AJ373,Risk_Coefs!$B$2:$AJ$2)</f>
        <v/>
      </c>
      <c r="E373">
        <f>1/(1+EXP(-MAX(-25,MIN(25,D373))))</f>
        <v/>
      </c>
      <c r="F373">
        <f>SUMPRODUCT(Risk_Inputs!B373:AJ373,Risk_Coefs!$B$3:$AJ$3)</f>
        <v/>
      </c>
      <c r="G373">
        <f>MAX(0,F373)</f>
        <v/>
      </c>
      <c r="H373">
        <f>(SUMPRODUCT(--ISNUMBER($E$2:$E$800),--($E$2:$E$800&lt;E373))+(SUMPRODUCT(--ISNUMBER($E$2:$E$800),--($E$2:$E$800=E373))+1)/2)/COUNT($E$2:$E$800)</f>
        <v/>
      </c>
      <c r="I373">
        <f>(SUMPRODUCT(--ISNUMBER($G$2:$G$800),--($G$2:$G$800&lt;G373))+(SUMPRODUCT(--ISNUMBER($G$2:$G$800),--($G$2:$G$800=G373))+1)/2)/COUNT($G$2:$G$800)</f>
        <v/>
      </c>
      <c r="J373" t="n">
        <v>9.589749935320039</v>
      </c>
      <c r="K373" t="n">
        <v>1.914453259744724</v>
      </c>
      <c r="L373" t="n">
        <v>0.1724732666436702</v>
      </c>
      <c r="M373">
        <f>IF(OR(B373="NW",COUNT(Risk_Rank_Keys!B373)=0),0.5,(SUMPRODUCT(--ISNUMBER(Risk_Rank_Keys!$B$2:$B$800),--(Risk_Rank_Keys!$B$2:$B$800&lt;Risk_Rank_Keys!B373))+(SUMPRODUCT(--ISNUMBER(Risk_Rank_Keys!$B$2:$B$800),--(Risk_Rank_Keys!$B$2:$B$800=Risk_Rank_Keys!B373))+1)/2)/COUNT(Risk_Rank_Keys!$B$2:$B$800))</f>
        <v/>
      </c>
      <c r="N373">
        <f>IF(OR(B373="NW",COUNT(Risk_Rank_Keys!C373)=0),0.5,(SUMPRODUCT(--ISNUMBER(Risk_Rank_Keys!$C$2:$C$800),--(Risk_Rank_Keys!$C$2:$C$800&lt;Risk_Rank_Keys!C373))+(SUMPRODUCT(--ISNUMBER(Risk_Rank_Keys!$C$2:$C$800),--(Risk_Rank_Keys!$C$2:$C$800=Risk_Rank_Keys!C373))+1)/2)/COUNT(Risk_Rank_Keys!$C$2:$C$800))</f>
        <v/>
      </c>
      <c r="O373">
        <f>IF(OR(B373="NW",COUNT(Risk_Rank_Keys!D373)=0),0.5,(SUMPRODUCT(--ISNUMBER(Risk_Rank_Keys!$D$2:$D$800),--(Risk_Rank_Keys!$D$2:$D$800&lt;Risk_Rank_Keys!D373))+(SUMPRODUCT(--ISNUMBER(Risk_Rank_Keys!$D$2:$D$800),--(Risk_Rank_Keys!$D$2:$D$800=Risk_Rank_Keys!D373))+1)/2)/COUNT(Risk_Rank_Keys!$D$2:$D$800))</f>
        <v/>
      </c>
      <c r="P373">
        <f>AVERAGE(M373:O373)</f>
        <v/>
      </c>
      <c r="Q373">
        <f>0.4*H373+0.4*I373+0.2*P373</f>
        <v/>
      </c>
      <c r="R373">
        <f>PERCENTILE($Q$2:$Q$800,0.75)</f>
        <v/>
      </c>
      <c r="S373">
        <f>OR(Q373&gt;=R373,AND(B373="CW",COUNT(J373:L373)&lt;3))</f>
        <v/>
      </c>
      <c r="T373" t="n">
        <v>0.4846346230629497</v>
      </c>
      <c r="U373" t="n">
        <v>13.52530741247298</v>
      </c>
      <c r="V373" t="n">
        <v>0.8413775005833071</v>
      </c>
      <c r="W373">
        <f>Q373-V373</f>
        <v/>
      </c>
    </row>
    <row r="374">
      <c r="A374" t="inlineStr">
        <is>
          <t>2023-02-02</t>
        </is>
      </c>
      <c r="B374" t="inlineStr">
        <is>
          <t>CW</t>
        </is>
      </c>
      <c r="C374" t="n">
        <v>30.27922767192629</v>
      </c>
      <c r="D374">
        <f>SUMPRODUCT(Risk_Inputs!B374:AJ374,Risk_Coefs!$B$2:$AJ$2)</f>
        <v/>
      </c>
      <c r="E374">
        <f>1/(1+EXP(-MAX(-25,MIN(25,D374))))</f>
        <v/>
      </c>
      <c r="F374">
        <f>SUMPRODUCT(Risk_Inputs!B374:AJ374,Risk_Coefs!$B$3:$AJ$3)</f>
        <v/>
      </c>
      <c r="G374">
        <f>MAX(0,F374)</f>
        <v/>
      </c>
      <c r="H374">
        <f>(SUMPRODUCT(--ISNUMBER($E$2:$E$800),--($E$2:$E$800&lt;E374))+(SUMPRODUCT(--ISNUMBER($E$2:$E$800),--($E$2:$E$800=E374))+1)/2)/COUNT($E$2:$E$800)</f>
        <v/>
      </c>
      <c r="I374">
        <f>(SUMPRODUCT(--ISNUMBER($G$2:$G$800),--($G$2:$G$800&lt;G374))+(SUMPRODUCT(--ISNUMBER($G$2:$G$800),--($G$2:$G$800=G374))+1)/2)/COUNT($G$2:$G$800)</f>
        <v/>
      </c>
      <c r="J374" t="n">
        <v>39.30647058151799</v>
      </c>
      <c r="K374" t="n">
        <v>29.82921083627799</v>
      </c>
      <c r="L374" t="n">
        <v>0.7361601884570081</v>
      </c>
      <c r="M374">
        <f>IF(OR(B374="NW",COUNT(Risk_Rank_Keys!B374)=0),0.5,(SUMPRODUCT(--ISNUMBER(Risk_Rank_Keys!$B$2:$B$800),--(Risk_Rank_Keys!$B$2:$B$800&lt;Risk_Rank_Keys!B374))+(SUMPRODUCT(--ISNUMBER(Risk_Rank_Keys!$B$2:$B$800),--(Risk_Rank_Keys!$B$2:$B$800=Risk_Rank_Keys!B374))+1)/2)/COUNT(Risk_Rank_Keys!$B$2:$B$800))</f>
        <v/>
      </c>
      <c r="N374">
        <f>IF(OR(B374="NW",COUNT(Risk_Rank_Keys!C374)=0),0.5,(SUMPRODUCT(--ISNUMBER(Risk_Rank_Keys!$C$2:$C$800),--(Risk_Rank_Keys!$C$2:$C$800&lt;Risk_Rank_Keys!C374))+(SUMPRODUCT(--ISNUMBER(Risk_Rank_Keys!$C$2:$C$800),--(Risk_Rank_Keys!$C$2:$C$800=Risk_Rank_Keys!C374))+1)/2)/COUNT(Risk_Rank_Keys!$C$2:$C$800))</f>
        <v/>
      </c>
      <c r="O374">
        <f>IF(OR(B374="NW",COUNT(Risk_Rank_Keys!D374)=0),0.5,(SUMPRODUCT(--ISNUMBER(Risk_Rank_Keys!$D$2:$D$800),--(Risk_Rank_Keys!$D$2:$D$800&lt;Risk_Rank_Keys!D374))+(SUMPRODUCT(--ISNUMBER(Risk_Rank_Keys!$D$2:$D$800),--(Risk_Rank_Keys!$D$2:$D$800=Risk_Rank_Keys!D374))+1)/2)/COUNT(Risk_Rank_Keys!$D$2:$D$800))</f>
        <v/>
      </c>
      <c r="P374">
        <f>AVERAGE(M374:O374)</f>
        <v/>
      </c>
      <c r="Q374">
        <f>0.4*H374+0.4*I374+0.2*P374</f>
        <v/>
      </c>
      <c r="R374">
        <f>PERCENTILE($Q$2:$Q$800,0.75)</f>
        <v/>
      </c>
      <c r="S374">
        <f>OR(Q374&gt;=R374,AND(B374="CW",COUNT(J374:L374)&lt;3))</f>
        <v/>
      </c>
      <c r="T374" t="n">
        <v>0.1503416409212746</v>
      </c>
      <c r="U374" t="n">
        <v>4.599322584912469</v>
      </c>
      <c r="V374" t="n">
        <v>0.2413513172264959</v>
      </c>
      <c r="W374">
        <f>Q374-V374</f>
        <v/>
      </c>
    </row>
    <row r="375">
      <c r="A375" t="inlineStr">
        <is>
          <t>2023-02-07</t>
        </is>
      </c>
      <c r="B375" t="inlineStr">
        <is>
          <t>CW</t>
        </is>
      </c>
      <c r="C375" t="n">
        <v>12.08421188526036</v>
      </c>
      <c r="D375">
        <f>SUMPRODUCT(Risk_Inputs!B375:AJ375,Risk_Coefs!$B$2:$AJ$2)</f>
        <v/>
      </c>
      <c r="E375">
        <f>1/(1+EXP(-MAX(-25,MIN(25,D375))))</f>
        <v/>
      </c>
      <c r="F375">
        <f>SUMPRODUCT(Risk_Inputs!B375:AJ375,Risk_Coefs!$B$3:$AJ$3)</f>
        <v/>
      </c>
      <c r="G375">
        <f>MAX(0,F375)</f>
        <v/>
      </c>
      <c r="H375">
        <f>(SUMPRODUCT(--ISNUMBER($E$2:$E$800),--($E$2:$E$800&lt;E375))+(SUMPRODUCT(--ISNUMBER($E$2:$E$800),--($E$2:$E$800=E375))+1)/2)/COUNT($E$2:$E$800)</f>
        <v/>
      </c>
      <c r="I375">
        <f>(SUMPRODUCT(--ISNUMBER($G$2:$G$800),--($G$2:$G$800&lt;G375))+(SUMPRODUCT(--ISNUMBER($G$2:$G$800),--($G$2:$G$800=G375))+1)/2)/COUNT($G$2:$G$800)</f>
        <v/>
      </c>
      <c r="J375" t="n">
        <v>7.564168897487645</v>
      </c>
      <c r="K375" t="n">
        <v>2.307692307692296</v>
      </c>
      <c r="L375" t="n">
        <v>0.2233250620347409</v>
      </c>
      <c r="M375">
        <f>IF(OR(B375="NW",COUNT(Risk_Rank_Keys!B375)=0),0.5,(SUMPRODUCT(--ISNUMBER(Risk_Rank_Keys!$B$2:$B$800),--(Risk_Rank_Keys!$B$2:$B$800&lt;Risk_Rank_Keys!B375))+(SUMPRODUCT(--ISNUMBER(Risk_Rank_Keys!$B$2:$B$800),--(Risk_Rank_Keys!$B$2:$B$800=Risk_Rank_Keys!B375))+1)/2)/COUNT(Risk_Rank_Keys!$B$2:$B$800))</f>
        <v/>
      </c>
      <c r="N375">
        <f>IF(OR(B375="NW",COUNT(Risk_Rank_Keys!C375)=0),0.5,(SUMPRODUCT(--ISNUMBER(Risk_Rank_Keys!$C$2:$C$800),--(Risk_Rank_Keys!$C$2:$C$800&lt;Risk_Rank_Keys!C375))+(SUMPRODUCT(--ISNUMBER(Risk_Rank_Keys!$C$2:$C$800),--(Risk_Rank_Keys!$C$2:$C$800=Risk_Rank_Keys!C375))+1)/2)/COUNT(Risk_Rank_Keys!$C$2:$C$800))</f>
        <v/>
      </c>
      <c r="O375">
        <f>IF(OR(B375="NW",COUNT(Risk_Rank_Keys!D375)=0),0.5,(SUMPRODUCT(--ISNUMBER(Risk_Rank_Keys!$D$2:$D$800),--(Risk_Rank_Keys!$D$2:$D$800&lt;Risk_Rank_Keys!D375))+(SUMPRODUCT(--ISNUMBER(Risk_Rank_Keys!$D$2:$D$800),--(Risk_Rank_Keys!$D$2:$D$800=Risk_Rank_Keys!D375))+1)/2)/COUNT(Risk_Rank_Keys!$D$2:$D$800))</f>
        <v/>
      </c>
      <c r="P375">
        <f>AVERAGE(M375:O375)</f>
        <v/>
      </c>
      <c r="Q375">
        <f>0.4*H375+0.4*I375+0.2*P375</f>
        <v/>
      </c>
      <c r="R375">
        <f>PERCENTILE($Q$2:$Q$800,0.75)</f>
        <v/>
      </c>
      <c r="S375">
        <f>OR(Q375&gt;=R375,AND(B375="CW",COUNT(J375:L375)&lt;3))</f>
        <v/>
      </c>
      <c r="T375" t="n">
        <v>0.2581016327133885</v>
      </c>
      <c r="U375" t="n">
        <v>6.40224081669</v>
      </c>
      <c r="V375" t="n">
        <v>0.3353676056018419</v>
      </c>
      <c r="W375">
        <f>Q375-V375</f>
        <v/>
      </c>
    </row>
    <row r="376">
      <c r="A376" t="inlineStr">
        <is>
          <t>2023-02-08</t>
        </is>
      </c>
      <c r="B376" t="inlineStr">
        <is>
          <t>CW</t>
        </is>
      </c>
      <c r="C376" t="n">
        <v>26.79658557444311</v>
      </c>
      <c r="D376">
        <f>SUMPRODUCT(Risk_Inputs!B376:AJ376,Risk_Coefs!$B$2:$AJ$2)</f>
        <v/>
      </c>
      <c r="E376">
        <f>1/(1+EXP(-MAX(-25,MIN(25,D376))))</f>
        <v/>
      </c>
      <c r="F376">
        <f>SUMPRODUCT(Risk_Inputs!B376:AJ376,Risk_Coefs!$B$3:$AJ$3)</f>
        <v/>
      </c>
      <c r="G376">
        <f>MAX(0,F376)</f>
        <v/>
      </c>
      <c r="H376">
        <f>(SUMPRODUCT(--ISNUMBER($E$2:$E$800),--($E$2:$E$800&lt;E376))+(SUMPRODUCT(--ISNUMBER($E$2:$E$800),--($E$2:$E$800=E376))+1)/2)/COUNT($E$2:$E$800)</f>
        <v/>
      </c>
      <c r="I376">
        <f>(SUMPRODUCT(--ISNUMBER($G$2:$G$800),--($G$2:$G$800&lt;G376))+(SUMPRODUCT(--ISNUMBER($G$2:$G$800),--($G$2:$G$800=G376))+1)/2)/COUNT($G$2:$G$800)</f>
        <v/>
      </c>
      <c r="J376" t="n">
        <v>7.912328026535455</v>
      </c>
      <c r="K376" t="n">
        <v>1.823899371069168</v>
      </c>
      <c r="L376" t="n">
        <v>0.1572327044025067</v>
      </c>
      <c r="M376">
        <f>IF(OR(B376="NW",COUNT(Risk_Rank_Keys!B376)=0),0.5,(SUMPRODUCT(--ISNUMBER(Risk_Rank_Keys!$B$2:$B$800),--(Risk_Rank_Keys!$B$2:$B$800&lt;Risk_Rank_Keys!B376))+(SUMPRODUCT(--ISNUMBER(Risk_Rank_Keys!$B$2:$B$800),--(Risk_Rank_Keys!$B$2:$B$800=Risk_Rank_Keys!B376))+1)/2)/COUNT(Risk_Rank_Keys!$B$2:$B$800))</f>
        <v/>
      </c>
      <c r="N376">
        <f>IF(OR(B376="NW",COUNT(Risk_Rank_Keys!C376)=0),0.5,(SUMPRODUCT(--ISNUMBER(Risk_Rank_Keys!$C$2:$C$800),--(Risk_Rank_Keys!$C$2:$C$800&lt;Risk_Rank_Keys!C376))+(SUMPRODUCT(--ISNUMBER(Risk_Rank_Keys!$C$2:$C$800),--(Risk_Rank_Keys!$C$2:$C$800=Risk_Rank_Keys!C376))+1)/2)/COUNT(Risk_Rank_Keys!$C$2:$C$800))</f>
        <v/>
      </c>
      <c r="O376">
        <f>IF(OR(B376="NW",COUNT(Risk_Rank_Keys!D376)=0),0.5,(SUMPRODUCT(--ISNUMBER(Risk_Rank_Keys!$D$2:$D$800),--(Risk_Rank_Keys!$D$2:$D$800&lt;Risk_Rank_Keys!D376))+(SUMPRODUCT(--ISNUMBER(Risk_Rank_Keys!$D$2:$D$800),--(Risk_Rank_Keys!$D$2:$D$800=Risk_Rank_Keys!D376))+1)/2)/COUNT(Risk_Rank_Keys!$D$2:$D$800))</f>
        <v/>
      </c>
      <c r="P376">
        <f>AVERAGE(M376:O376)</f>
        <v/>
      </c>
      <c r="Q376">
        <f>0.4*H376+0.4*I376+0.2*P376</f>
        <v/>
      </c>
      <c r="R376">
        <f>PERCENTILE($Q$2:$Q$800,0.75)</f>
        <v/>
      </c>
      <c r="S376">
        <f>OR(Q376&gt;=R376,AND(B376="CW",COUNT(J376:L376)&lt;3))</f>
        <v/>
      </c>
      <c r="T376" t="n">
        <v>0.3231950537914914</v>
      </c>
      <c r="U376" t="n">
        <v>9.830408675462273</v>
      </c>
      <c r="V376" t="n">
        <v>0.6341747500507666</v>
      </c>
      <c r="W376">
        <f>Q376-V376</f>
        <v/>
      </c>
    </row>
    <row r="377">
      <c r="A377" t="inlineStr">
        <is>
          <t>2023-02-09</t>
        </is>
      </c>
      <c r="B377" t="inlineStr">
        <is>
          <t>CW</t>
        </is>
      </c>
      <c r="C377" t="n">
        <v>58.62403736916579</v>
      </c>
      <c r="D377">
        <f>SUMPRODUCT(Risk_Inputs!B377:AJ377,Risk_Coefs!$B$2:$AJ$2)</f>
        <v/>
      </c>
      <c r="E377">
        <f>1/(1+EXP(-MAX(-25,MIN(25,D377))))</f>
        <v/>
      </c>
      <c r="F377">
        <f>SUMPRODUCT(Risk_Inputs!B377:AJ377,Risk_Coefs!$B$3:$AJ$3)</f>
        <v/>
      </c>
      <c r="G377">
        <f>MAX(0,F377)</f>
        <v/>
      </c>
      <c r="H377">
        <f>(SUMPRODUCT(--ISNUMBER($E$2:$E$800),--($E$2:$E$800&lt;E377))+(SUMPRODUCT(--ISNUMBER($E$2:$E$800),--($E$2:$E$800=E377))+1)/2)/COUNT($E$2:$E$800)</f>
        <v/>
      </c>
      <c r="I377">
        <f>(SUMPRODUCT(--ISNUMBER($G$2:$G$800),--($G$2:$G$800&lt;G377))+(SUMPRODUCT(--ISNUMBER($G$2:$G$800),--($G$2:$G$800=G377))+1)/2)/COUNT($G$2:$G$800)</f>
        <v/>
      </c>
      <c r="J377" t="n">
        <v>20.99274082793841</v>
      </c>
      <c r="K377" t="n">
        <v>14.8675171736997</v>
      </c>
      <c r="L377" t="n">
        <v>0.5397448478900925</v>
      </c>
      <c r="M377">
        <f>IF(OR(B377="NW",COUNT(Risk_Rank_Keys!B377)=0),0.5,(SUMPRODUCT(--ISNUMBER(Risk_Rank_Keys!$B$2:$B$800),--(Risk_Rank_Keys!$B$2:$B$800&lt;Risk_Rank_Keys!B377))+(SUMPRODUCT(--ISNUMBER(Risk_Rank_Keys!$B$2:$B$800),--(Risk_Rank_Keys!$B$2:$B$800=Risk_Rank_Keys!B377))+1)/2)/COUNT(Risk_Rank_Keys!$B$2:$B$800))</f>
        <v/>
      </c>
      <c r="N377">
        <f>IF(OR(B377="NW",COUNT(Risk_Rank_Keys!C377)=0),0.5,(SUMPRODUCT(--ISNUMBER(Risk_Rank_Keys!$C$2:$C$800),--(Risk_Rank_Keys!$C$2:$C$800&lt;Risk_Rank_Keys!C377))+(SUMPRODUCT(--ISNUMBER(Risk_Rank_Keys!$C$2:$C$800),--(Risk_Rank_Keys!$C$2:$C$800=Risk_Rank_Keys!C377))+1)/2)/COUNT(Risk_Rank_Keys!$C$2:$C$800))</f>
        <v/>
      </c>
      <c r="O377">
        <f>IF(OR(B377="NW",COUNT(Risk_Rank_Keys!D377)=0),0.5,(SUMPRODUCT(--ISNUMBER(Risk_Rank_Keys!$D$2:$D$800),--(Risk_Rank_Keys!$D$2:$D$800&lt;Risk_Rank_Keys!D377))+(SUMPRODUCT(--ISNUMBER(Risk_Rank_Keys!$D$2:$D$800),--(Risk_Rank_Keys!$D$2:$D$800=Risk_Rank_Keys!D377))+1)/2)/COUNT(Risk_Rank_Keys!$D$2:$D$800))</f>
        <v/>
      </c>
      <c r="P377">
        <f>AVERAGE(M377:O377)</f>
        <v/>
      </c>
      <c r="Q377">
        <f>0.4*H377+0.4*I377+0.2*P377</f>
        <v/>
      </c>
      <c r="R377">
        <f>PERCENTILE($Q$2:$Q$800,0.75)</f>
        <v/>
      </c>
      <c r="S377">
        <f>OR(Q377&gt;=R377,AND(B377="CW",COUNT(J377:L377)&lt;3))</f>
        <v/>
      </c>
      <c r="T377" t="n">
        <v>0.1809768196142441</v>
      </c>
      <c r="U377" t="n">
        <v>5.792607041086466</v>
      </c>
      <c r="V377" t="n">
        <v>0.3027555946560351</v>
      </c>
      <c r="W377">
        <f>Q377-V377</f>
        <v/>
      </c>
    </row>
    <row r="378">
      <c r="A378" t="inlineStr">
        <is>
          <t>2023-02-10</t>
        </is>
      </c>
      <c r="B378" t="inlineStr">
        <is>
          <t>CW</t>
        </is>
      </c>
      <c r="C378" t="n">
        <v>18.38930793416658</v>
      </c>
      <c r="D378">
        <f>SUMPRODUCT(Risk_Inputs!B378:AJ378,Risk_Coefs!$B$2:$AJ$2)</f>
        <v/>
      </c>
      <c r="E378">
        <f>1/(1+EXP(-MAX(-25,MIN(25,D378))))</f>
        <v/>
      </c>
      <c r="F378">
        <f>SUMPRODUCT(Risk_Inputs!B378:AJ378,Risk_Coefs!$B$3:$AJ$3)</f>
        <v/>
      </c>
      <c r="G378">
        <f>MAX(0,F378)</f>
        <v/>
      </c>
      <c r="H378">
        <f>(SUMPRODUCT(--ISNUMBER($E$2:$E$800),--($E$2:$E$800&lt;E378))+(SUMPRODUCT(--ISNUMBER($E$2:$E$800),--($E$2:$E$800=E378))+1)/2)/COUNT($E$2:$E$800)</f>
        <v/>
      </c>
      <c r="I378">
        <f>(SUMPRODUCT(--ISNUMBER($G$2:$G$800),--($G$2:$G$800&lt;G378))+(SUMPRODUCT(--ISNUMBER($G$2:$G$800),--($G$2:$G$800=G378))+1)/2)/COUNT($G$2:$G$800)</f>
        <v/>
      </c>
      <c r="J378" t="n">
        <v>8.594576738093393</v>
      </c>
      <c r="K378" t="n">
        <v>1.93213949104618</v>
      </c>
      <c r="L378" t="n">
        <v>0.2120640904806799</v>
      </c>
      <c r="M378">
        <f>IF(OR(B378="NW",COUNT(Risk_Rank_Keys!B378)=0),0.5,(SUMPRODUCT(--ISNUMBER(Risk_Rank_Keys!$B$2:$B$800),--(Risk_Rank_Keys!$B$2:$B$800&lt;Risk_Rank_Keys!B378))+(SUMPRODUCT(--ISNUMBER(Risk_Rank_Keys!$B$2:$B$800),--(Risk_Rank_Keys!$B$2:$B$800=Risk_Rank_Keys!B378))+1)/2)/COUNT(Risk_Rank_Keys!$B$2:$B$800))</f>
        <v/>
      </c>
      <c r="N378">
        <f>IF(OR(B378="NW",COUNT(Risk_Rank_Keys!C378)=0),0.5,(SUMPRODUCT(--ISNUMBER(Risk_Rank_Keys!$C$2:$C$800),--(Risk_Rank_Keys!$C$2:$C$800&lt;Risk_Rank_Keys!C378))+(SUMPRODUCT(--ISNUMBER(Risk_Rank_Keys!$C$2:$C$800),--(Risk_Rank_Keys!$C$2:$C$800=Risk_Rank_Keys!C378))+1)/2)/COUNT(Risk_Rank_Keys!$C$2:$C$800))</f>
        <v/>
      </c>
      <c r="O378">
        <f>IF(OR(B378="NW",COUNT(Risk_Rank_Keys!D378)=0),0.5,(SUMPRODUCT(--ISNUMBER(Risk_Rank_Keys!$D$2:$D$800),--(Risk_Rank_Keys!$D$2:$D$800&lt;Risk_Rank_Keys!D378))+(SUMPRODUCT(--ISNUMBER(Risk_Rank_Keys!$D$2:$D$800),--(Risk_Rank_Keys!$D$2:$D$800=Risk_Rank_Keys!D378))+1)/2)/COUNT(Risk_Rank_Keys!$D$2:$D$800))</f>
        <v/>
      </c>
      <c r="P378">
        <f>AVERAGE(M378:O378)</f>
        <v/>
      </c>
      <c r="Q378">
        <f>0.4*H378+0.4*I378+0.2*P378</f>
        <v/>
      </c>
      <c r="R378">
        <f>PERCENTILE($Q$2:$Q$800,0.75)</f>
        <v/>
      </c>
      <c r="S378">
        <f>OR(Q378&gt;=R378,AND(B378="CW",COUNT(J378:L378)&lt;3))</f>
        <v/>
      </c>
      <c r="T378" t="n">
        <v>0.2357884517664818</v>
      </c>
      <c r="U378" t="n">
        <v>3.824076811344235</v>
      </c>
      <c r="V378" t="n">
        <v>0.1708114920498601</v>
      </c>
      <c r="W378">
        <f>Q378-V378</f>
        <v/>
      </c>
    </row>
    <row r="379">
      <c r="A379" t="inlineStr">
        <is>
          <t>2023-02-14</t>
        </is>
      </c>
      <c r="B379" t="inlineStr">
        <is>
          <t>CW</t>
        </is>
      </c>
      <c r="C379" t="n">
        <v>-5.158010412278648</v>
      </c>
      <c r="D379">
        <f>SUMPRODUCT(Risk_Inputs!B379:AJ379,Risk_Coefs!$B$2:$AJ$2)</f>
        <v/>
      </c>
      <c r="E379">
        <f>1/(1+EXP(-MAX(-25,MIN(25,D379))))</f>
        <v/>
      </c>
      <c r="F379">
        <f>SUMPRODUCT(Risk_Inputs!B379:AJ379,Risk_Coefs!$B$3:$AJ$3)</f>
        <v/>
      </c>
      <c r="G379">
        <f>MAX(0,F379)</f>
        <v/>
      </c>
      <c r="H379">
        <f>(SUMPRODUCT(--ISNUMBER($E$2:$E$800),--($E$2:$E$800&lt;E379))+(SUMPRODUCT(--ISNUMBER($E$2:$E$800),--($E$2:$E$800=E379))+1)/2)/COUNT($E$2:$E$800)</f>
        <v/>
      </c>
      <c r="I379">
        <f>(SUMPRODUCT(--ISNUMBER($G$2:$G$800),--($G$2:$G$800&lt;G379))+(SUMPRODUCT(--ISNUMBER($G$2:$G$800),--($G$2:$G$800=G379))+1)/2)/COUNT($G$2:$G$800)</f>
        <v/>
      </c>
      <c r="J379" t="n">
        <v>9.509756617556709</v>
      </c>
      <c r="K379" t="n">
        <v>1.854140914709518</v>
      </c>
      <c r="L379" t="n">
        <v>0.2163164400494402</v>
      </c>
      <c r="M379">
        <f>IF(OR(B379="NW",COUNT(Risk_Rank_Keys!B379)=0),0.5,(SUMPRODUCT(--ISNUMBER(Risk_Rank_Keys!$B$2:$B$800),--(Risk_Rank_Keys!$B$2:$B$800&lt;Risk_Rank_Keys!B379))+(SUMPRODUCT(--ISNUMBER(Risk_Rank_Keys!$B$2:$B$800),--(Risk_Rank_Keys!$B$2:$B$800=Risk_Rank_Keys!B379))+1)/2)/COUNT(Risk_Rank_Keys!$B$2:$B$800))</f>
        <v/>
      </c>
      <c r="N379">
        <f>IF(OR(B379="NW",COUNT(Risk_Rank_Keys!C379)=0),0.5,(SUMPRODUCT(--ISNUMBER(Risk_Rank_Keys!$C$2:$C$800),--(Risk_Rank_Keys!$C$2:$C$800&lt;Risk_Rank_Keys!C379))+(SUMPRODUCT(--ISNUMBER(Risk_Rank_Keys!$C$2:$C$800),--(Risk_Rank_Keys!$C$2:$C$800=Risk_Rank_Keys!C379))+1)/2)/COUNT(Risk_Rank_Keys!$C$2:$C$800))</f>
        <v/>
      </c>
      <c r="O379">
        <f>IF(OR(B379="NW",COUNT(Risk_Rank_Keys!D379)=0),0.5,(SUMPRODUCT(--ISNUMBER(Risk_Rank_Keys!$D$2:$D$800),--(Risk_Rank_Keys!$D$2:$D$800&lt;Risk_Rank_Keys!D379))+(SUMPRODUCT(--ISNUMBER(Risk_Rank_Keys!$D$2:$D$800),--(Risk_Rank_Keys!$D$2:$D$800=Risk_Rank_Keys!D379))+1)/2)/COUNT(Risk_Rank_Keys!$D$2:$D$800))</f>
        <v/>
      </c>
      <c r="P379">
        <f>AVERAGE(M379:O379)</f>
        <v/>
      </c>
      <c r="Q379">
        <f>0.4*H379+0.4*I379+0.2*P379</f>
        <v/>
      </c>
      <c r="R379">
        <f>PERCENTILE($Q$2:$Q$800,0.75)</f>
        <v/>
      </c>
      <c r="S379">
        <f>OR(Q379&gt;=R379,AND(B379="CW",COUNT(J379:L379)&lt;3))</f>
        <v/>
      </c>
      <c r="T379" t="n">
        <v>0.2745946165511852</v>
      </c>
      <c r="U379" t="n">
        <v>5.729094439218788</v>
      </c>
      <c r="V379" t="n">
        <v>0.3360111343270208</v>
      </c>
      <c r="W379">
        <f>Q379-V379</f>
        <v/>
      </c>
    </row>
    <row r="380">
      <c r="A380" t="inlineStr">
        <is>
          <t>2023-02-15</t>
        </is>
      </c>
      <c r="B380" t="inlineStr">
        <is>
          <t>CW</t>
        </is>
      </c>
      <c r="C380" t="n">
        <v>15.62428324462212</v>
      </c>
      <c r="D380">
        <f>SUMPRODUCT(Risk_Inputs!B380:AJ380,Risk_Coefs!$B$2:$AJ$2)</f>
        <v/>
      </c>
      <c r="E380">
        <f>1/(1+EXP(-MAX(-25,MIN(25,D380))))</f>
        <v/>
      </c>
      <c r="F380">
        <f>SUMPRODUCT(Risk_Inputs!B380:AJ380,Risk_Coefs!$B$3:$AJ$3)</f>
        <v/>
      </c>
      <c r="G380">
        <f>MAX(0,F380)</f>
        <v/>
      </c>
      <c r="H380">
        <f>(SUMPRODUCT(--ISNUMBER($E$2:$E$800),--($E$2:$E$800&lt;E380))+(SUMPRODUCT(--ISNUMBER($E$2:$E$800),--($E$2:$E$800=E380))+1)/2)/COUNT($E$2:$E$800)</f>
        <v/>
      </c>
      <c r="I380">
        <f>(SUMPRODUCT(--ISNUMBER($G$2:$G$800),--($G$2:$G$800&lt;G380))+(SUMPRODUCT(--ISNUMBER($G$2:$G$800),--($G$2:$G$800=G380))+1)/2)/COUNT($G$2:$G$800)</f>
        <v/>
      </c>
      <c r="J380" t="n">
        <v>6.594186498125358</v>
      </c>
      <c r="K380" t="n">
        <v>3.145377828922149</v>
      </c>
      <c r="L380" t="n">
        <v>0.1917913310318482</v>
      </c>
      <c r="M380">
        <f>IF(OR(B380="NW",COUNT(Risk_Rank_Keys!B380)=0),0.5,(SUMPRODUCT(--ISNUMBER(Risk_Rank_Keys!$B$2:$B$800),--(Risk_Rank_Keys!$B$2:$B$800&lt;Risk_Rank_Keys!B380))+(SUMPRODUCT(--ISNUMBER(Risk_Rank_Keys!$B$2:$B$800),--(Risk_Rank_Keys!$B$2:$B$800=Risk_Rank_Keys!B380))+1)/2)/COUNT(Risk_Rank_Keys!$B$2:$B$800))</f>
        <v/>
      </c>
      <c r="N380">
        <f>IF(OR(B380="NW",COUNT(Risk_Rank_Keys!C380)=0),0.5,(SUMPRODUCT(--ISNUMBER(Risk_Rank_Keys!$C$2:$C$800),--(Risk_Rank_Keys!$C$2:$C$800&lt;Risk_Rank_Keys!C380))+(SUMPRODUCT(--ISNUMBER(Risk_Rank_Keys!$C$2:$C$800),--(Risk_Rank_Keys!$C$2:$C$800=Risk_Rank_Keys!C380))+1)/2)/COUNT(Risk_Rank_Keys!$C$2:$C$800))</f>
        <v/>
      </c>
      <c r="O380">
        <f>IF(OR(B380="NW",COUNT(Risk_Rank_Keys!D380)=0),0.5,(SUMPRODUCT(--ISNUMBER(Risk_Rank_Keys!$D$2:$D$800),--(Risk_Rank_Keys!$D$2:$D$800&lt;Risk_Rank_Keys!D380))+(SUMPRODUCT(--ISNUMBER(Risk_Rank_Keys!$D$2:$D$800),--(Risk_Rank_Keys!$D$2:$D$800=Risk_Rank_Keys!D380))+1)/2)/COUNT(Risk_Rank_Keys!$D$2:$D$800))</f>
        <v/>
      </c>
      <c r="P380">
        <f>AVERAGE(M380:O380)</f>
        <v/>
      </c>
      <c r="Q380">
        <f>0.4*H380+0.4*I380+0.2*P380</f>
        <v/>
      </c>
      <c r="R380">
        <f>PERCENTILE($Q$2:$Q$800,0.75)</f>
        <v/>
      </c>
      <c r="S380">
        <f>OR(Q380&gt;=R380,AND(B380="CW",COUNT(J380:L380)&lt;3))</f>
        <v/>
      </c>
      <c r="T380" t="n">
        <v>0.2858973314235196</v>
      </c>
      <c r="U380" t="n">
        <v>7.427887654667961</v>
      </c>
      <c r="V380" t="n">
        <v>0.4554742707789665</v>
      </c>
      <c r="W380">
        <f>Q380-V380</f>
        <v/>
      </c>
    </row>
    <row r="381">
      <c r="A381" t="inlineStr">
        <is>
          <t>2023-02-21</t>
        </is>
      </c>
      <c r="B381" t="inlineStr">
        <is>
          <t>CW</t>
        </is>
      </c>
      <c r="C381" t="n">
        <v>16.01901197457799</v>
      </c>
      <c r="D381">
        <f>SUMPRODUCT(Risk_Inputs!B381:AJ381,Risk_Coefs!$B$2:$AJ$2)</f>
        <v/>
      </c>
      <c r="E381">
        <f>1/(1+EXP(-MAX(-25,MIN(25,D381))))</f>
        <v/>
      </c>
      <c r="F381">
        <f>SUMPRODUCT(Risk_Inputs!B381:AJ381,Risk_Coefs!$B$3:$AJ$3)</f>
        <v/>
      </c>
      <c r="G381">
        <f>MAX(0,F381)</f>
        <v/>
      </c>
      <c r="H381">
        <f>(SUMPRODUCT(--ISNUMBER($E$2:$E$800),--($E$2:$E$800&lt;E381))+(SUMPRODUCT(--ISNUMBER($E$2:$E$800),--($E$2:$E$800=E381))+1)/2)/COUNT($E$2:$E$800)</f>
        <v/>
      </c>
      <c r="I381">
        <f>(SUMPRODUCT(--ISNUMBER($G$2:$G$800),--($G$2:$G$800&lt;G381))+(SUMPRODUCT(--ISNUMBER($G$2:$G$800),--($G$2:$G$800=G381))+1)/2)/COUNT($G$2:$G$800)</f>
        <v/>
      </c>
      <c r="J381" t="n">
        <v>4.585245017039267</v>
      </c>
      <c r="K381" t="n">
        <v>2.417648836506498</v>
      </c>
      <c r="L381" t="n">
        <v>0.2417648836506532</v>
      </c>
      <c r="M381">
        <f>IF(OR(B381="NW",COUNT(Risk_Rank_Keys!B381)=0),0.5,(SUMPRODUCT(--ISNUMBER(Risk_Rank_Keys!$B$2:$B$800),--(Risk_Rank_Keys!$B$2:$B$800&lt;Risk_Rank_Keys!B381))+(SUMPRODUCT(--ISNUMBER(Risk_Rank_Keys!$B$2:$B$800),--(Risk_Rank_Keys!$B$2:$B$800=Risk_Rank_Keys!B381))+1)/2)/COUNT(Risk_Rank_Keys!$B$2:$B$800))</f>
        <v/>
      </c>
      <c r="N381">
        <f>IF(OR(B381="NW",COUNT(Risk_Rank_Keys!C381)=0),0.5,(SUMPRODUCT(--ISNUMBER(Risk_Rank_Keys!$C$2:$C$800),--(Risk_Rank_Keys!$C$2:$C$800&lt;Risk_Rank_Keys!C381))+(SUMPRODUCT(--ISNUMBER(Risk_Rank_Keys!$C$2:$C$800),--(Risk_Rank_Keys!$C$2:$C$800=Risk_Rank_Keys!C381))+1)/2)/COUNT(Risk_Rank_Keys!$C$2:$C$800))</f>
        <v/>
      </c>
      <c r="O381">
        <f>IF(OR(B381="NW",COUNT(Risk_Rank_Keys!D381)=0),0.5,(SUMPRODUCT(--ISNUMBER(Risk_Rank_Keys!$D$2:$D$800),--(Risk_Rank_Keys!$D$2:$D$800&lt;Risk_Rank_Keys!D381))+(SUMPRODUCT(--ISNUMBER(Risk_Rank_Keys!$D$2:$D$800),--(Risk_Rank_Keys!$D$2:$D$800=Risk_Rank_Keys!D381))+1)/2)/COUNT(Risk_Rank_Keys!$D$2:$D$800))</f>
        <v/>
      </c>
      <c r="P381">
        <f>AVERAGE(M381:O381)</f>
        <v/>
      </c>
      <c r="Q381">
        <f>0.4*H381+0.4*I381+0.2*P381</f>
        <v/>
      </c>
      <c r="R381">
        <f>PERCENTILE($Q$2:$Q$800,0.75)</f>
        <v/>
      </c>
      <c r="S381">
        <f>OR(Q381&gt;=R381,AND(B381="CW",COUNT(J381:L381)&lt;3))</f>
        <v/>
      </c>
      <c r="T381" t="n">
        <v>0.2630867144328078</v>
      </c>
      <c r="U381" t="n">
        <v>6.338511590049391</v>
      </c>
      <c r="V381" t="n">
        <v>0.3384565434827007</v>
      </c>
      <c r="W381">
        <f>Q381-V381</f>
        <v/>
      </c>
    </row>
    <row r="382">
      <c r="A382" t="inlineStr">
        <is>
          <t>2023-02-22</t>
        </is>
      </c>
      <c r="B382" t="inlineStr">
        <is>
          <t>CW</t>
        </is>
      </c>
      <c r="C382" t="n">
        <v>-40.02444629724398</v>
      </c>
      <c r="D382">
        <f>SUMPRODUCT(Risk_Inputs!B382:AJ382,Risk_Coefs!$B$2:$AJ$2)</f>
        <v/>
      </c>
      <c r="E382">
        <f>1/(1+EXP(-MAX(-25,MIN(25,D382))))</f>
        <v/>
      </c>
      <c r="F382">
        <f>SUMPRODUCT(Risk_Inputs!B382:AJ382,Risk_Coefs!$B$3:$AJ$3)</f>
        <v/>
      </c>
      <c r="G382">
        <f>MAX(0,F382)</f>
        <v/>
      </c>
      <c r="H382">
        <f>(SUMPRODUCT(--ISNUMBER($E$2:$E$800),--($E$2:$E$800&lt;E382))+(SUMPRODUCT(--ISNUMBER($E$2:$E$800),--($E$2:$E$800=E382))+1)/2)/COUNT($E$2:$E$800)</f>
        <v/>
      </c>
      <c r="I382">
        <f>(SUMPRODUCT(--ISNUMBER($G$2:$G$800),--($G$2:$G$800&lt;G382))+(SUMPRODUCT(--ISNUMBER($G$2:$G$800),--($G$2:$G$800=G382))+1)/2)/COUNT($G$2:$G$800)</f>
        <v/>
      </c>
      <c r="J382" t="n">
        <v>10.58096832744884</v>
      </c>
      <c r="K382" t="n">
        <v>3.627338678885071</v>
      </c>
      <c r="L382" t="n">
        <v>0.343642611683851</v>
      </c>
      <c r="M382">
        <f>IF(OR(B382="NW",COUNT(Risk_Rank_Keys!B382)=0),0.5,(SUMPRODUCT(--ISNUMBER(Risk_Rank_Keys!$B$2:$B$800),--(Risk_Rank_Keys!$B$2:$B$800&lt;Risk_Rank_Keys!B382))+(SUMPRODUCT(--ISNUMBER(Risk_Rank_Keys!$B$2:$B$800),--(Risk_Rank_Keys!$B$2:$B$800=Risk_Rank_Keys!B382))+1)/2)/COUNT(Risk_Rank_Keys!$B$2:$B$800))</f>
        <v/>
      </c>
      <c r="N382">
        <f>IF(OR(B382="NW",COUNT(Risk_Rank_Keys!C382)=0),0.5,(SUMPRODUCT(--ISNUMBER(Risk_Rank_Keys!$C$2:$C$800),--(Risk_Rank_Keys!$C$2:$C$800&lt;Risk_Rank_Keys!C382))+(SUMPRODUCT(--ISNUMBER(Risk_Rank_Keys!$C$2:$C$800),--(Risk_Rank_Keys!$C$2:$C$800=Risk_Rank_Keys!C382))+1)/2)/COUNT(Risk_Rank_Keys!$C$2:$C$800))</f>
        <v/>
      </c>
      <c r="O382">
        <f>IF(OR(B382="NW",COUNT(Risk_Rank_Keys!D382)=0),0.5,(SUMPRODUCT(--ISNUMBER(Risk_Rank_Keys!$D$2:$D$800),--(Risk_Rank_Keys!$D$2:$D$800&lt;Risk_Rank_Keys!D382))+(SUMPRODUCT(--ISNUMBER(Risk_Rank_Keys!$D$2:$D$800),--(Risk_Rank_Keys!$D$2:$D$800=Risk_Rank_Keys!D382))+1)/2)/COUNT(Risk_Rank_Keys!$D$2:$D$800))</f>
        <v/>
      </c>
      <c r="P382">
        <f>AVERAGE(M382:O382)</f>
        <v/>
      </c>
      <c r="Q382">
        <f>0.4*H382+0.4*I382+0.2*P382</f>
        <v/>
      </c>
      <c r="R382">
        <f>PERCENTILE($Q$2:$Q$800,0.75)</f>
        <v/>
      </c>
      <c r="S382">
        <f>OR(Q382&gt;=R382,AND(B382="CW",COUNT(J382:L382)&lt;3))</f>
        <v/>
      </c>
      <c r="T382" t="n">
        <v>0.2518367498084589</v>
      </c>
      <c r="U382" t="n">
        <v>5.714900068053188</v>
      </c>
      <c r="V382" t="n">
        <v>0.3291705287117963</v>
      </c>
      <c r="W382">
        <f>Q382-V382</f>
        <v/>
      </c>
    </row>
    <row r="383">
      <c r="A383" t="inlineStr">
        <is>
          <t>2023-02-23</t>
        </is>
      </c>
      <c r="B383" t="inlineStr">
        <is>
          <t>CW</t>
        </is>
      </c>
      <c r="C383" t="n">
        <v>1.279199661338807</v>
      </c>
      <c r="D383">
        <f>SUMPRODUCT(Risk_Inputs!B383:AJ383,Risk_Coefs!$B$2:$AJ$2)</f>
        <v/>
      </c>
      <c r="E383">
        <f>1/(1+EXP(-MAX(-25,MIN(25,D383))))</f>
        <v/>
      </c>
      <c r="F383">
        <f>SUMPRODUCT(Risk_Inputs!B383:AJ383,Risk_Coefs!$B$3:$AJ$3)</f>
        <v/>
      </c>
      <c r="G383">
        <f>MAX(0,F383)</f>
        <v/>
      </c>
      <c r="H383">
        <f>(SUMPRODUCT(--ISNUMBER($E$2:$E$800),--($E$2:$E$800&lt;E383))+(SUMPRODUCT(--ISNUMBER($E$2:$E$800),--($E$2:$E$800=E383))+1)/2)/COUNT($E$2:$E$800)</f>
        <v/>
      </c>
      <c r="I383">
        <f>(SUMPRODUCT(--ISNUMBER($G$2:$G$800),--($G$2:$G$800&lt;G383))+(SUMPRODUCT(--ISNUMBER($G$2:$G$800),--($G$2:$G$800=G383))+1)/2)/COUNT($G$2:$G$800)</f>
        <v/>
      </c>
      <c r="J383" t="n">
        <v>11.16901396411794</v>
      </c>
      <c r="K383" t="n">
        <v>4.19828022255944</v>
      </c>
      <c r="L383" t="n">
        <v>0.404653515427421</v>
      </c>
      <c r="M383">
        <f>IF(OR(B383="NW",COUNT(Risk_Rank_Keys!B383)=0),0.5,(SUMPRODUCT(--ISNUMBER(Risk_Rank_Keys!$B$2:$B$800),--(Risk_Rank_Keys!$B$2:$B$800&lt;Risk_Rank_Keys!B383))+(SUMPRODUCT(--ISNUMBER(Risk_Rank_Keys!$B$2:$B$800),--(Risk_Rank_Keys!$B$2:$B$800=Risk_Rank_Keys!B383))+1)/2)/COUNT(Risk_Rank_Keys!$B$2:$B$800))</f>
        <v/>
      </c>
      <c r="N383">
        <f>IF(OR(B383="NW",COUNT(Risk_Rank_Keys!C383)=0),0.5,(SUMPRODUCT(--ISNUMBER(Risk_Rank_Keys!$C$2:$C$800),--(Risk_Rank_Keys!$C$2:$C$800&lt;Risk_Rank_Keys!C383))+(SUMPRODUCT(--ISNUMBER(Risk_Rank_Keys!$C$2:$C$800),--(Risk_Rank_Keys!$C$2:$C$800=Risk_Rank_Keys!C383))+1)/2)/COUNT(Risk_Rank_Keys!$C$2:$C$800))</f>
        <v/>
      </c>
      <c r="O383">
        <f>IF(OR(B383="NW",COUNT(Risk_Rank_Keys!D383)=0),0.5,(SUMPRODUCT(--ISNUMBER(Risk_Rank_Keys!$D$2:$D$800),--(Risk_Rank_Keys!$D$2:$D$800&lt;Risk_Rank_Keys!D383))+(SUMPRODUCT(--ISNUMBER(Risk_Rank_Keys!$D$2:$D$800),--(Risk_Rank_Keys!$D$2:$D$800=Risk_Rank_Keys!D383))+1)/2)/COUNT(Risk_Rank_Keys!$D$2:$D$800))</f>
        <v/>
      </c>
      <c r="P383">
        <f>AVERAGE(M383:O383)</f>
        <v/>
      </c>
      <c r="Q383">
        <f>0.4*H383+0.4*I383+0.2*P383</f>
        <v/>
      </c>
      <c r="R383">
        <f>PERCENTILE($Q$2:$Q$800,0.75)</f>
        <v/>
      </c>
      <c r="S383">
        <f>OR(Q383&gt;=R383,AND(B383="CW",COUNT(J383:L383)&lt;3))</f>
        <v/>
      </c>
      <c r="T383" t="n">
        <v>0.2513293529642895</v>
      </c>
      <c r="U383" t="n">
        <v>8.810949327229938</v>
      </c>
      <c r="V383" t="n">
        <v>0.5080519640717797</v>
      </c>
      <c r="W383">
        <f>Q383-V383</f>
        <v/>
      </c>
    </row>
    <row r="384">
      <c r="A384" t="inlineStr">
        <is>
          <t>2023-02-28</t>
        </is>
      </c>
      <c r="B384" t="inlineStr">
        <is>
          <t>CW</t>
        </is>
      </c>
      <c r="C384" t="n">
        <v>20.84898658914978</v>
      </c>
      <c r="D384">
        <f>SUMPRODUCT(Risk_Inputs!B384:AJ384,Risk_Coefs!$B$2:$AJ$2)</f>
        <v/>
      </c>
      <c r="E384">
        <f>1/(1+EXP(-MAX(-25,MIN(25,D384))))</f>
        <v/>
      </c>
      <c r="F384">
        <f>SUMPRODUCT(Risk_Inputs!B384:AJ384,Risk_Coefs!$B$3:$AJ$3)</f>
        <v/>
      </c>
      <c r="G384">
        <f>MAX(0,F384)</f>
        <v/>
      </c>
      <c r="H384">
        <f>(SUMPRODUCT(--ISNUMBER($E$2:$E$800),--($E$2:$E$800&lt;E384))+(SUMPRODUCT(--ISNUMBER($E$2:$E$800),--($E$2:$E$800=E384))+1)/2)/COUNT($E$2:$E$800)</f>
        <v/>
      </c>
      <c r="I384">
        <f>(SUMPRODUCT(--ISNUMBER($G$2:$G$800),--($G$2:$G$800&lt;G384))+(SUMPRODUCT(--ISNUMBER($G$2:$G$800),--($G$2:$G$800=G384))+1)/2)/COUNT($G$2:$G$800)</f>
        <v/>
      </c>
      <c r="J384" t="n">
        <v>18.20620102058147</v>
      </c>
      <c r="K384" t="n">
        <v>3.560057887120119</v>
      </c>
      <c r="L384" t="n">
        <v>0.1157742402315583</v>
      </c>
      <c r="M384">
        <f>IF(OR(B384="NW",COUNT(Risk_Rank_Keys!B384)=0),0.5,(SUMPRODUCT(--ISNUMBER(Risk_Rank_Keys!$B$2:$B$800),--(Risk_Rank_Keys!$B$2:$B$800&lt;Risk_Rank_Keys!B384))+(SUMPRODUCT(--ISNUMBER(Risk_Rank_Keys!$B$2:$B$800),--(Risk_Rank_Keys!$B$2:$B$800=Risk_Rank_Keys!B384))+1)/2)/COUNT(Risk_Rank_Keys!$B$2:$B$800))</f>
        <v/>
      </c>
      <c r="N384">
        <f>IF(OR(B384="NW",COUNT(Risk_Rank_Keys!C384)=0),0.5,(SUMPRODUCT(--ISNUMBER(Risk_Rank_Keys!$C$2:$C$800),--(Risk_Rank_Keys!$C$2:$C$800&lt;Risk_Rank_Keys!C384))+(SUMPRODUCT(--ISNUMBER(Risk_Rank_Keys!$C$2:$C$800),--(Risk_Rank_Keys!$C$2:$C$800=Risk_Rank_Keys!C384))+1)/2)/COUNT(Risk_Rank_Keys!$C$2:$C$800))</f>
        <v/>
      </c>
      <c r="O384">
        <f>IF(OR(B384="NW",COUNT(Risk_Rank_Keys!D384)=0),0.5,(SUMPRODUCT(--ISNUMBER(Risk_Rank_Keys!$D$2:$D$800),--(Risk_Rank_Keys!$D$2:$D$800&lt;Risk_Rank_Keys!D384))+(SUMPRODUCT(--ISNUMBER(Risk_Rank_Keys!$D$2:$D$800),--(Risk_Rank_Keys!$D$2:$D$800=Risk_Rank_Keys!D384))+1)/2)/COUNT(Risk_Rank_Keys!$D$2:$D$800))</f>
        <v/>
      </c>
      <c r="P384">
        <f>AVERAGE(M384:O384)</f>
        <v/>
      </c>
      <c r="Q384">
        <f>0.4*H384+0.4*I384+0.2*P384</f>
        <v/>
      </c>
      <c r="R384">
        <f>PERCENTILE($Q$2:$Q$800,0.75)</f>
        <v/>
      </c>
      <c r="S384">
        <f>OR(Q384&gt;=R384,AND(B384="CW",COUNT(J384:L384)&lt;3))</f>
        <v/>
      </c>
      <c r="T384" t="n">
        <v>0.2403182036469531</v>
      </c>
      <c r="U384" t="n">
        <v>4.893136630697999</v>
      </c>
      <c r="V384" t="n">
        <v>0.2279341506031773</v>
      </c>
      <c r="W384">
        <f>Q384-V384</f>
        <v/>
      </c>
    </row>
    <row r="385">
      <c r="A385" t="inlineStr">
        <is>
          <t>2023-03-01</t>
        </is>
      </c>
      <c r="B385" t="inlineStr">
        <is>
          <t>CW</t>
        </is>
      </c>
      <c r="C385" t="n">
        <v>41.51687376444122</v>
      </c>
      <c r="D385">
        <f>SUMPRODUCT(Risk_Inputs!B385:AJ385,Risk_Coefs!$B$2:$AJ$2)</f>
        <v/>
      </c>
      <c r="E385">
        <f>1/(1+EXP(-MAX(-25,MIN(25,D385))))</f>
        <v/>
      </c>
      <c r="F385">
        <f>SUMPRODUCT(Risk_Inputs!B385:AJ385,Risk_Coefs!$B$3:$AJ$3)</f>
        <v/>
      </c>
      <c r="G385">
        <f>MAX(0,F385)</f>
        <v/>
      </c>
      <c r="H385">
        <f>(SUMPRODUCT(--ISNUMBER($E$2:$E$800),--($E$2:$E$800&lt;E385))+(SUMPRODUCT(--ISNUMBER($E$2:$E$800),--($E$2:$E$800=E385))+1)/2)/COUNT($E$2:$E$800)</f>
        <v/>
      </c>
      <c r="I385">
        <f>(SUMPRODUCT(--ISNUMBER($G$2:$G$800),--($G$2:$G$800&lt;G385))+(SUMPRODUCT(--ISNUMBER($G$2:$G$800),--($G$2:$G$800=G385))+1)/2)/COUNT($G$2:$G$800)</f>
        <v/>
      </c>
      <c r="J385" t="n">
        <v>9.348859151524216</v>
      </c>
      <c r="K385" t="n">
        <v>2.377414561664203</v>
      </c>
      <c r="L385" t="n">
        <v>0.2600297176820271</v>
      </c>
      <c r="M385">
        <f>IF(OR(B385="NW",COUNT(Risk_Rank_Keys!B385)=0),0.5,(SUMPRODUCT(--ISNUMBER(Risk_Rank_Keys!$B$2:$B$800),--(Risk_Rank_Keys!$B$2:$B$800&lt;Risk_Rank_Keys!B385))+(SUMPRODUCT(--ISNUMBER(Risk_Rank_Keys!$B$2:$B$800),--(Risk_Rank_Keys!$B$2:$B$800=Risk_Rank_Keys!B385))+1)/2)/COUNT(Risk_Rank_Keys!$B$2:$B$800))</f>
        <v/>
      </c>
      <c r="N385">
        <f>IF(OR(B385="NW",COUNT(Risk_Rank_Keys!C385)=0),0.5,(SUMPRODUCT(--ISNUMBER(Risk_Rank_Keys!$C$2:$C$800),--(Risk_Rank_Keys!$C$2:$C$800&lt;Risk_Rank_Keys!C385))+(SUMPRODUCT(--ISNUMBER(Risk_Rank_Keys!$C$2:$C$800),--(Risk_Rank_Keys!$C$2:$C$800=Risk_Rank_Keys!C385))+1)/2)/COUNT(Risk_Rank_Keys!$C$2:$C$800))</f>
        <v/>
      </c>
      <c r="O385">
        <f>IF(OR(B385="NW",COUNT(Risk_Rank_Keys!D385)=0),0.5,(SUMPRODUCT(--ISNUMBER(Risk_Rank_Keys!$D$2:$D$800),--(Risk_Rank_Keys!$D$2:$D$800&lt;Risk_Rank_Keys!D385))+(SUMPRODUCT(--ISNUMBER(Risk_Rank_Keys!$D$2:$D$800),--(Risk_Rank_Keys!$D$2:$D$800=Risk_Rank_Keys!D385))+1)/2)/COUNT(Risk_Rank_Keys!$D$2:$D$800))</f>
        <v/>
      </c>
      <c r="P385">
        <f>AVERAGE(M385:O385)</f>
        <v/>
      </c>
      <c r="Q385">
        <f>0.4*H385+0.4*I385+0.2*P385</f>
        <v/>
      </c>
      <c r="R385">
        <f>PERCENTILE($Q$2:$Q$800,0.75)</f>
        <v/>
      </c>
      <c r="S385">
        <f>OR(Q385&gt;=R385,AND(B385="CW",COUNT(J385:L385)&lt;3))</f>
        <v/>
      </c>
      <c r="T385" t="n">
        <v>0.2814701053015017</v>
      </c>
      <c r="U385" t="n">
        <v>8.984549048845318</v>
      </c>
      <c r="V385" t="n">
        <v>0.5567385778015174</v>
      </c>
      <c r="W385">
        <f>Q385-V385</f>
        <v/>
      </c>
    </row>
    <row r="386">
      <c r="A386" t="inlineStr">
        <is>
          <t>2023-03-02</t>
        </is>
      </c>
      <c r="B386" t="inlineStr">
        <is>
          <t>NW</t>
        </is>
      </c>
      <c r="C386" t="n">
        <v>10.9410332111952</v>
      </c>
      <c r="D386">
        <f>SUMPRODUCT(Risk_Inputs!B386:AJ386,Risk_Coefs!$B$2:$AJ$2)</f>
        <v/>
      </c>
      <c r="E386">
        <f>1/(1+EXP(-MAX(-25,MIN(25,D386))))</f>
        <v/>
      </c>
      <c r="F386">
        <f>SUMPRODUCT(Risk_Inputs!B386:AJ386,Risk_Coefs!$B$3:$AJ$3)</f>
        <v/>
      </c>
      <c r="G386">
        <f>MAX(0,F386)</f>
        <v/>
      </c>
      <c r="H386">
        <f>(SUMPRODUCT(--ISNUMBER($E$2:$E$800),--($E$2:$E$800&lt;E386))+(SUMPRODUCT(--ISNUMBER($E$2:$E$800),--($E$2:$E$800=E386))+1)/2)/COUNT($E$2:$E$800)</f>
        <v/>
      </c>
      <c r="I386">
        <f>(SUMPRODUCT(--ISNUMBER($G$2:$G$800),--($G$2:$G$800&lt;G386))+(SUMPRODUCT(--ISNUMBER($G$2:$G$800),--($G$2:$G$800=G386))+1)/2)/COUNT($G$2:$G$800)</f>
        <v/>
      </c>
      <c r="M386">
        <f>IF(OR(B386="NW",COUNT(Risk_Rank_Keys!B386)=0),0.5,(SUMPRODUCT(--ISNUMBER(Risk_Rank_Keys!$B$2:$B$800),--(Risk_Rank_Keys!$B$2:$B$800&lt;Risk_Rank_Keys!B386))+(SUMPRODUCT(--ISNUMBER(Risk_Rank_Keys!$B$2:$B$800),--(Risk_Rank_Keys!$B$2:$B$800=Risk_Rank_Keys!B386))+1)/2)/COUNT(Risk_Rank_Keys!$B$2:$B$800))</f>
        <v/>
      </c>
      <c r="N386">
        <f>IF(OR(B386="NW",COUNT(Risk_Rank_Keys!C386)=0),0.5,(SUMPRODUCT(--ISNUMBER(Risk_Rank_Keys!$C$2:$C$800),--(Risk_Rank_Keys!$C$2:$C$800&lt;Risk_Rank_Keys!C386))+(SUMPRODUCT(--ISNUMBER(Risk_Rank_Keys!$C$2:$C$800),--(Risk_Rank_Keys!$C$2:$C$800=Risk_Rank_Keys!C386))+1)/2)/COUNT(Risk_Rank_Keys!$C$2:$C$800))</f>
        <v/>
      </c>
      <c r="O386">
        <f>IF(OR(B386="NW",COUNT(Risk_Rank_Keys!D386)=0),0.5,(SUMPRODUCT(--ISNUMBER(Risk_Rank_Keys!$D$2:$D$800),--(Risk_Rank_Keys!$D$2:$D$800&lt;Risk_Rank_Keys!D386))+(SUMPRODUCT(--ISNUMBER(Risk_Rank_Keys!$D$2:$D$800),--(Risk_Rank_Keys!$D$2:$D$800=Risk_Rank_Keys!D386))+1)/2)/COUNT(Risk_Rank_Keys!$D$2:$D$800))</f>
        <v/>
      </c>
      <c r="P386">
        <f>AVERAGE(M386:O386)</f>
        <v/>
      </c>
      <c r="Q386">
        <f>0.4*H386+0.4*I386+0.2*P386</f>
        <v/>
      </c>
      <c r="R386">
        <f>PERCENTILE($Q$2:$Q$800,0.75)</f>
        <v/>
      </c>
      <c r="S386">
        <f>OR(Q386&gt;=R386,AND(B386="CW",COUNT(J386:L386)&lt;3))</f>
        <v/>
      </c>
      <c r="T386" t="n">
        <v>0.3327037122104785</v>
      </c>
      <c r="U386" t="n">
        <v>9.198260324942327</v>
      </c>
      <c r="V386" t="n">
        <v>0.6807259073842303</v>
      </c>
      <c r="W386">
        <f>Q386-V386</f>
        <v/>
      </c>
    </row>
    <row r="387">
      <c r="A387" t="inlineStr">
        <is>
          <t>2023-03-08</t>
        </is>
      </c>
      <c r="B387" t="inlineStr">
        <is>
          <t>CW</t>
        </is>
      </c>
      <c r="C387" t="n">
        <v>3.743553013459183</v>
      </c>
      <c r="D387">
        <f>SUMPRODUCT(Risk_Inputs!B387:AJ387,Risk_Coefs!$B$2:$AJ$2)</f>
        <v/>
      </c>
      <c r="E387">
        <f>1/(1+EXP(-MAX(-25,MIN(25,D387))))</f>
        <v/>
      </c>
      <c r="F387">
        <f>SUMPRODUCT(Risk_Inputs!B387:AJ387,Risk_Coefs!$B$3:$AJ$3)</f>
        <v/>
      </c>
      <c r="G387">
        <f>MAX(0,F387)</f>
        <v/>
      </c>
      <c r="H387">
        <f>(SUMPRODUCT(--ISNUMBER($E$2:$E$800),--($E$2:$E$800&lt;E387))+(SUMPRODUCT(--ISNUMBER($E$2:$E$800),--($E$2:$E$800=E387))+1)/2)/COUNT($E$2:$E$800)</f>
        <v/>
      </c>
      <c r="I387">
        <f>(SUMPRODUCT(--ISNUMBER($G$2:$G$800),--($G$2:$G$800&lt;G387))+(SUMPRODUCT(--ISNUMBER($G$2:$G$800),--($G$2:$G$800=G387))+1)/2)/COUNT($G$2:$G$800)</f>
        <v/>
      </c>
      <c r="J387" t="n">
        <v>5.987650116914841</v>
      </c>
      <c r="K387" t="n">
        <v>1.851851851851834</v>
      </c>
      <c r="L387" t="n">
        <v>0.1929012345678902</v>
      </c>
      <c r="M387">
        <f>IF(OR(B387="NW",COUNT(Risk_Rank_Keys!B387)=0),0.5,(SUMPRODUCT(--ISNUMBER(Risk_Rank_Keys!$B$2:$B$800),--(Risk_Rank_Keys!$B$2:$B$800&lt;Risk_Rank_Keys!B387))+(SUMPRODUCT(--ISNUMBER(Risk_Rank_Keys!$B$2:$B$800),--(Risk_Rank_Keys!$B$2:$B$800=Risk_Rank_Keys!B387))+1)/2)/COUNT(Risk_Rank_Keys!$B$2:$B$800))</f>
        <v/>
      </c>
      <c r="N387">
        <f>IF(OR(B387="NW",COUNT(Risk_Rank_Keys!C387)=0),0.5,(SUMPRODUCT(--ISNUMBER(Risk_Rank_Keys!$C$2:$C$800),--(Risk_Rank_Keys!$C$2:$C$800&lt;Risk_Rank_Keys!C387))+(SUMPRODUCT(--ISNUMBER(Risk_Rank_Keys!$C$2:$C$800),--(Risk_Rank_Keys!$C$2:$C$800=Risk_Rank_Keys!C387))+1)/2)/COUNT(Risk_Rank_Keys!$C$2:$C$800))</f>
        <v/>
      </c>
      <c r="O387">
        <f>IF(OR(B387="NW",COUNT(Risk_Rank_Keys!D387)=0),0.5,(SUMPRODUCT(--ISNUMBER(Risk_Rank_Keys!$D$2:$D$800),--(Risk_Rank_Keys!$D$2:$D$800&lt;Risk_Rank_Keys!D387))+(SUMPRODUCT(--ISNUMBER(Risk_Rank_Keys!$D$2:$D$800),--(Risk_Rank_Keys!$D$2:$D$800=Risk_Rank_Keys!D387))+1)/2)/COUNT(Risk_Rank_Keys!$D$2:$D$800))</f>
        <v/>
      </c>
      <c r="P387">
        <f>AVERAGE(M387:O387)</f>
        <v/>
      </c>
      <c r="Q387">
        <f>0.4*H387+0.4*I387+0.2*P387</f>
        <v/>
      </c>
      <c r="R387">
        <f>PERCENTILE($Q$2:$Q$800,0.75)</f>
        <v/>
      </c>
      <c r="S387">
        <f>OR(Q387&gt;=R387,AND(B387="CW",COUNT(J387:L387)&lt;3))</f>
        <v/>
      </c>
      <c r="T387" t="n">
        <v>0.3371687487435076</v>
      </c>
      <c r="U387" t="n">
        <v>6.364829127554295</v>
      </c>
      <c r="V387" t="n">
        <v>0.4854531669933768</v>
      </c>
      <c r="W387">
        <f>Q387-V387</f>
        <v/>
      </c>
    </row>
    <row r="388">
      <c r="A388" t="inlineStr">
        <is>
          <t>2023-03-09</t>
        </is>
      </c>
      <c r="B388" t="inlineStr">
        <is>
          <t>NW</t>
        </is>
      </c>
      <c r="C388" t="n">
        <v>-11.05262911288076</v>
      </c>
      <c r="D388">
        <f>SUMPRODUCT(Risk_Inputs!B388:AJ388,Risk_Coefs!$B$2:$AJ$2)</f>
        <v/>
      </c>
      <c r="E388">
        <f>1/(1+EXP(-MAX(-25,MIN(25,D388))))</f>
        <v/>
      </c>
      <c r="F388">
        <f>SUMPRODUCT(Risk_Inputs!B388:AJ388,Risk_Coefs!$B$3:$AJ$3)</f>
        <v/>
      </c>
      <c r="G388">
        <f>MAX(0,F388)</f>
        <v/>
      </c>
      <c r="H388">
        <f>(SUMPRODUCT(--ISNUMBER($E$2:$E$800),--($E$2:$E$800&lt;E388))+(SUMPRODUCT(--ISNUMBER($E$2:$E$800),--($E$2:$E$800=E388))+1)/2)/COUNT($E$2:$E$800)</f>
        <v/>
      </c>
      <c r="I388">
        <f>(SUMPRODUCT(--ISNUMBER($G$2:$G$800),--($G$2:$G$800&lt;G388))+(SUMPRODUCT(--ISNUMBER($G$2:$G$800),--($G$2:$G$800=G388))+1)/2)/COUNT($G$2:$G$800)</f>
        <v/>
      </c>
      <c r="M388">
        <f>IF(OR(B388="NW",COUNT(Risk_Rank_Keys!B388)=0),0.5,(SUMPRODUCT(--ISNUMBER(Risk_Rank_Keys!$B$2:$B$800),--(Risk_Rank_Keys!$B$2:$B$800&lt;Risk_Rank_Keys!B388))+(SUMPRODUCT(--ISNUMBER(Risk_Rank_Keys!$B$2:$B$800),--(Risk_Rank_Keys!$B$2:$B$800=Risk_Rank_Keys!B388))+1)/2)/COUNT(Risk_Rank_Keys!$B$2:$B$800))</f>
        <v/>
      </c>
      <c r="N388">
        <f>IF(OR(B388="NW",COUNT(Risk_Rank_Keys!C388)=0),0.5,(SUMPRODUCT(--ISNUMBER(Risk_Rank_Keys!$C$2:$C$800),--(Risk_Rank_Keys!$C$2:$C$800&lt;Risk_Rank_Keys!C388))+(SUMPRODUCT(--ISNUMBER(Risk_Rank_Keys!$C$2:$C$800),--(Risk_Rank_Keys!$C$2:$C$800=Risk_Rank_Keys!C388))+1)/2)/COUNT(Risk_Rank_Keys!$C$2:$C$800))</f>
        <v/>
      </c>
      <c r="O388">
        <f>IF(OR(B388="NW",COUNT(Risk_Rank_Keys!D388)=0),0.5,(SUMPRODUCT(--ISNUMBER(Risk_Rank_Keys!$D$2:$D$800),--(Risk_Rank_Keys!$D$2:$D$800&lt;Risk_Rank_Keys!D388))+(SUMPRODUCT(--ISNUMBER(Risk_Rank_Keys!$D$2:$D$800),--(Risk_Rank_Keys!$D$2:$D$800=Risk_Rank_Keys!D388))+1)/2)/COUNT(Risk_Rank_Keys!$D$2:$D$800))</f>
        <v/>
      </c>
      <c r="P388">
        <f>AVERAGE(M388:O388)</f>
        <v/>
      </c>
      <c r="Q388">
        <f>0.4*H388+0.4*I388+0.2*P388</f>
        <v/>
      </c>
      <c r="R388">
        <f>PERCENTILE($Q$2:$Q$800,0.75)</f>
        <v/>
      </c>
      <c r="S388">
        <f>OR(Q388&gt;=R388,AND(B388="CW",COUNT(J388:L388)&lt;3))</f>
        <v/>
      </c>
      <c r="T388" t="n">
        <v>0.3305069285209152</v>
      </c>
      <c r="U388" t="n">
        <v>8.983756163855517</v>
      </c>
      <c r="V388" t="n">
        <v>0.6672090112640802</v>
      </c>
      <c r="W388">
        <f>Q388-V388</f>
        <v/>
      </c>
    </row>
    <row r="389">
      <c r="A389" t="inlineStr">
        <is>
          <t>2023-03-10</t>
        </is>
      </c>
      <c r="B389" t="inlineStr">
        <is>
          <t>CW</t>
        </is>
      </c>
      <c r="C389" t="n">
        <v>27.20578343703714</v>
      </c>
      <c r="D389">
        <f>SUMPRODUCT(Risk_Inputs!B389:AJ389,Risk_Coefs!$B$2:$AJ$2)</f>
        <v/>
      </c>
      <c r="E389">
        <f>1/(1+EXP(-MAX(-25,MIN(25,D389))))</f>
        <v/>
      </c>
      <c r="F389">
        <f>SUMPRODUCT(Risk_Inputs!B389:AJ389,Risk_Coefs!$B$3:$AJ$3)</f>
        <v/>
      </c>
      <c r="G389">
        <f>MAX(0,F389)</f>
        <v/>
      </c>
      <c r="H389">
        <f>(SUMPRODUCT(--ISNUMBER($E$2:$E$800),--($E$2:$E$800&lt;E389))+(SUMPRODUCT(--ISNUMBER($E$2:$E$800),--($E$2:$E$800=E389))+1)/2)/COUNT($E$2:$E$800)</f>
        <v/>
      </c>
      <c r="I389">
        <f>(SUMPRODUCT(--ISNUMBER($G$2:$G$800),--($G$2:$G$800&lt;G389))+(SUMPRODUCT(--ISNUMBER($G$2:$G$800),--($G$2:$G$800=G389))+1)/2)/COUNT($G$2:$G$800)</f>
        <v/>
      </c>
      <c r="J389" t="n">
        <v>60.05712891326005</v>
      </c>
      <c r="K389" t="n">
        <v>6.608769328532101</v>
      </c>
      <c r="L389" t="n">
        <v>0.3177292946409659</v>
      </c>
      <c r="M389">
        <f>IF(OR(B389="NW",COUNT(Risk_Rank_Keys!B389)=0),0.5,(SUMPRODUCT(--ISNUMBER(Risk_Rank_Keys!$B$2:$B$800),--(Risk_Rank_Keys!$B$2:$B$800&lt;Risk_Rank_Keys!B389))+(SUMPRODUCT(--ISNUMBER(Risk_Rank_Keys!$B$2:$B$800),--(Risk_Rank_Keys!$B$2:$B$800=Risk_Rank_Keys!B389))+1)/2)/COUNT(Risk_Rank_Keys!$B$2:$B$800))</f>
        <v/>
      </c>
      <c r="N389">
        <f>IF(OR(B389="NW",COUNT(Risk_Rank_Keys!C389)=0),0.5,(SUMPRODUCT(--ISNUMBER(Risk_Rank_Keys!$C$2:$C$800),--(Risk_Rank_Keys!$C$2:$C$800&lt;Risk_Rank_Keys!C389))+(SUMPRODUCT(--ISNUMBER(Risk_Rank_Keys!$C$2:$C$800),--(Risk_Rank_Keys!$C$2:$C$800=Risk_Rank_Keys!C389))+1)/2)/COUNT(Risk_Rank_Keys!$C$2:$C$800))</f>
        <v/>
      </c>
      <c r="O389">
        <f>IF(OR(B389="NW",COUNT(Risk_Rank_Keys!D389)=0),0.5,(SUMPRODUCT(--ISNUMBER(Risk_Rank_Keys!$D$2:$D$800),--(Risk_Rank_Keys!$D$2:$D$800&lt;Risk_Rank_Keys!D389))+(SUMPRODUCT(--ISNUMBER(Risk_Rank_Keys!$D$2:$D$800),--(Risk_Rank_Keys!$D$2:$D$800=Risk_Rank_Keys!D389))+1)/2)/COUNT(Risk_Rank_Keys!$D$2:$D$800))</f>
        <v/>
      </c>
      <c r="P389">
        <f>AVERAGE(M389:O389)</f>
        <v/>
      </c>
      <c r="Q389">
        <f>0.4*H389+0.4*I389+0.2*P389</f>
        <v/>
      </c>
      <c r="R389">
        <f>PERCENTILE($Q$2:$Q$800,0.75)</f>
        <v/>
      </c>
      <c r="S389">
        <f>OR(Q389&gt;=R389,AND(B389="CW",COUNT(J389:L389)&lt;3))</f>
        <v/>
      </c>
      <c r="T389" t="n">
        <v>0.151639433514653</v>
      </c>
      <c r="U389" t="n">
        <v>2.071918720379914</v>
      </c>
      <c r="V389" t="n">
        <v>0.1827762387782497</v>
      </c>
      <c r="W389">
        <f>Q389-V389</f>
        <v/>
      </c>
    </row>
    <row r="390">
      <c r="A390" t="inlineStr">
        <is>
          <t>2023-03-16</t>
        </is>
      </c>
      <c r="B390" t="inlineStr">
        <is>
          <t>CW</t>
        </is>
      </c>
      <c r="C390" t="n">
        <v>-44.83090016243944</v>
      </c>
      <c r="D390">
        <f>SUMPRODUCT(Risk_Inputs!B390:AJ390,Risk_Coefs!$B$2:$AJ$2)</f>
        <v/>
      </c>
      <c r="E390">
        <f>1/(1+EXP(-MAX(-25,MIN(25,D390))))</f>
        <v/>
      </c>
      <c r="F390">
        <f>SUMPRODUCT(Risk_Inputs!B390:AJ390,Risk_Coefs!$B$3:$AJ$3)</f>
        <v/>
      </c>
      <c r="G390">
        <f>MAX(0,F390)</f>
        <v/>
      </c>
      <c r="H390">
        <f>(SUMPRODUCT(--ISNUMBER($E$2:$E$800),--($E$2:$E$800&lt;E390))+(SUMPRODUCT(--ISNUMBER($E$2:$E$800),--($E$2:$E$800=E390))+1)/2)/COUNT($E$2:$E$800)</f>
        <v/>
      </c>
      <c r="I390">
        <f>(SUMPRODUCT(--ISNUMBER($G$2:$G$800),--($G$2:$G$800&lt;G390))+(SUMPRODUCT(--ISNUMBER($G$2:$G$800),--($G$2:$G$800=G390))+1)/2)/COUNT($G$2:$G$800)</f>
        <v/>
      </c>
      <c r="J390" t="n">
        <v>9.947311716869724</v>
      </c>
      <c r="K390" t="n">
        <v>5.730786317192361</v>
      </c>
      <c r="L390" t="n">
        <v>0.133274100399821</v>
      </c>
      <c r="M390">
        <f>IF(OR(B390="NW",COUNT(Risk_Rank_Keys!B390)=0),0.5,(SUMPRODUCT(--ISNUMBER(Risk_Rank_Keys!$B$2:$B$800),--(Risk_Rank_Keys!$B$2:$B$800&lt;Risk_Rank_Keys!B390))+(SUMPRODUCT(--ISNUMBER(Risk_Rank_Keys!$B$2:$B$800),--(Risk_Rank_Keys!$B$2:$B$800=Risk_Rank_Keys!B390))+1)/2)/COUNT(Risk_Rank_Keys!$B$2:$B$800))</f>
        <v/>
      </c>
      <c r="N390">
        <f>IF(OR(B390="NW",COUNT(Risk_Rank_Keys!C390)=0),0.5,(SUMPRODUCT(--ISNUMBER(Risk_Rank_Keys!$C$2:$C$800),--(Risk_Rank_Keys!$C$2:$C$800&lt;Risk_Rank_Keys!C390))+(SUMPRODUCT(--ISNUMBER(Risk_Rank_Keys!$C$2:$C$800),--(Risk_Rank_Keys!$C$2:$C$800=Risk_Rank_Keys!C390))+1)/2)/COUNT(Risk_Rank_Keys!$C$2:$C$800))</f>
        <v/>
      </c>
      <c r="O390">
        <f>IF(OR(B390="NW",COUNT(Risk_Rank_Keys!D390)=0),0.5,(SUMPRODUCT(--ISNUMBER(Risk_Rank_Keys!$D$2:$D$800),--(Risk_Rank_Keys!$D$2:$D$800&lt;Risk_Rank_Keys!D390))+(SUMPRODUCT(--ISNUMBER(Risk_Rank_Keys!$D$2:$D$800),--(Risk_Rank_Keys!$D$2:$D$800=Risk_Rank_Keys!D390))+1)/2)/COUNT(Risk_Rank_Keys!$D$2:$D$800))</f>
        <v/>
      </c>
      <c r="P390">
        <f>AVERAGE(M390:O390)</f>
        <v/>
      </c>
      <c r="Q390">
        <f>0.4*H390+0.4*I390+0.2*P390</f>
        <v/>
      </c>
      <c r="R390">
        <f>PERCENTILE($Q$2:$Q$800,0.75)</f>
        <v/>
      </c>
      <c r="S390">
        <f>OR(Q390&gt;=R390,AND(B390="CW",COUNT(J390:L390)&lt;3))</f>
        <v/>
      </c>
      <c r="T390" t="n">
        <v>0.3060985832699072</v>
      </c>
      <c r="U390" t="n">
        <v>9.575122704310886</v>
      </c>
      <c r="V390" t="n">
        <v>0.6217906041315009</v>
      </c>
      <c r="W390">
        <f>Q390-V390</f>
        <v/>
      </c>
    </row>
    <row r="391">
      <c r="A391" t="inlineStr">
        <is>
          <t>2023-03-22</t>
        </is>
      </c>
      <c r="B391" t="inlineStr">
        <is>
          <t>CW</t>
        </is>
      </c>
      <c r="C391" t="n">
        <v>1.812793036162191</v>
      </c>
      <c r="D391">
        <f>SUMPRODUCT(Risk_Inputs!B391:AJ391,Risk_Coefs!$B$2:$AJ$2)</f>
        <v/>
      </c>
      <c r="E391">
        <f>1/(1+EXP(-MAX(-25,MIN(25,D391))))</f>
        <v/>
      </c>
      <c r="F391">
        <f>SUMPRODUCT(Risk_Inputs!B391:AJ391,Risk_Coefs!$B$3:$AJ$3)</f>
        <v/>
      </c>
      <c r="G391">
        <f>MAX(0,F391)</f>
        <v/>
      </c>
      <c r="H391">
        <f>(SUMPRODUCT(--ISNUMBER($E$2:$E$800),--($E$2:$E$800&lt;E391))+(SUMPRODUCT(--ISNUMBER($E$2:$E$800),--($E$2:$E$800=E391))+1)/2)/COUNT($E$2:$E$800)</f>
        <v/>
      </c>
      <c r="I391">
        <f>(SUMPRODUCT(--ISNUMBER($G$2:$G$800),--($G$2:$G$800&lt;G391))+(SUMPRODUCT(--ISNUMBER($G$2:$G$800),--($G$2:$G$800=G391))+1)/2)/COUNT($G$2:$G$800)</f>
        <v/>
      </c>
      <c r="J391" t="n">
        <v>7.005029027089029</v>
      </c>
      <c r="K391" t="n">
        <v>1.821138211382121</v>
      </c>
      <c r="L391" t="n">
        <v>0.1951219512195011</v>
      </c>
      <c r="M391">
        <f>IF(OR(B391="NW",COUNT(Risk_Rank_Keys!B391)=0),0.5,(SUMPRODUCT(--ISNUMBER(Risk_Rank_Keys!$B$2:$B$800),--(Risk_Rank_Keys!$B$2:$B$800&lt;Risk_Rank_Keys!B391))+(SUMPRODUCT(--ISNUMBER(Risk_Rank_Keys!$B$2:$B$800),--(Risk_Rank_Keys!$B$2:$B$800=Risk_Rank_Keys!B391))+1)/2)/COUNT(Risk_Rank_Keys!$B$2:$B$800))</f>
        <v/>
      </c>
      <c r="N391">
        <f>IF(OR(B391="NW",COUNT(Risk_Rank_Keys!C391)=0),0.5,(SUMPRODUCT(--ISNUMBER(Risk_Rank_Keys!$C$2:$C$800),--(Risk_Rank_Keys!$C$2:$C$800&lt;Risk_Rank_Keys!C391))+(SUMPRODUCT(--ISNUMBER(Risk_Rank_Keys!$C$2:$C$800),--(Risk_Rank_Keys!$C$2:$C$800=Risk_Rank_Keys!C391))+1)/2)/COUNT(Risk_Rank_Keys!$C$2:$C$800))</f>
        <v/>
      </c>
      <c r="O391">
        <f>IF(OR(B391="NW",COUNT(Risk_Rank_Keys!D391)=0),0.5,(SUMPRODUCT(--ISNUMBER(Risk_Rank_Keys!$D$2:$D$800),--(Risk_Rank_Keys!$D$2:$D$800&lt;Risk_Rank_Keys!D391))+(SUMPRODUCT(--ISNUMBER(Risk_Rank_Keys!$D$2:$D$800),--(Risk_Rank_Keys!$D$2:$D$800=Risk_Rank_Keys!D391))+1)/2)/COUNT(Risk_Rank_Keys!$D$2:$D$800))</f>
        <v/>
      </c>
      <c r="P391">
        <f>AVERAGE(M391:O391)</f>
        <v/>
      </c>
      <c r="Q391">
        <f>0.4*H391+0.4*I391+0.2*P391</f>
        <v/>
      </c>
      <c r="R391">
        <f>PERCENTILE($Q$2:$Q$800,0.75)</f>
        <v/>
      </c>
      <c r="S391">
        <f>OR(Q391&gt;=R391,AND(B391="CW",COUNT(J391:L391)&lt;3))</f>
        <v/>
      </c>
      <c r="T391" t="n">
        <v>0.3651184504089671</v>
      </c>
      <c r="U391" t="n">
        <v>11.82325023538811</v>
      </c>
      <c r="V391" t="n">
        <v>0.7646525846755214</v>
      </c>
      <c r="W391">
        <f>Q391-V391</f>
        <v/>
      </c>
    </row>
    <row r="392">
      <c r="A392" t="inlineStr">
        <is>
          <t>2023-03-23</t>
        </is>
      </c>
      <c r="B392" t="inlineStr">
        <is>
          <t>CW</t>
        </is>
      </c>
      <c r="C392" t="n">
        <v>50.18260079980297</v>
      </c>
      <c r="D392">
        <f>SUMPRODUCT(Risk_Inputs!B392:AJ392,Risk_Coefs!$B$2:$AJ$2)</f>
        <v/>
      </c>
      <c r="E392">
        <f>1/(1+EXP(-MAX(-25,MIN(25,D392))))</f>
        <v/>
      </c>
      <c r="F392">
        <f>SUMPRODUCT(Risk_Inputs!B392:AJ392,Risk_Coefs!$B$3:$AJ$3)</f>
        <v/>
      </c>
      <c r="G392">
        <f>MAX(0,F392)</f>
        <v/>
      </c>
      <c r="H392">
        <f>(SUMPRODUCT(--ISNUMBER($E$2:$E$800),--($E$2:$E$800&lt;E392))+(SUMPRODUCT(--ISNUMBER($E$2:$E$800),--($E$2:$E$800=E392))+1)/2)/COUNT($E$2:$E$800)</f>
        <v/>
      </c>
      <c r="I392">
        <f>(SUMPRODUCT(--ISNUMBER($G$2:$G$800),--($G$2:$G$800&lt;G392))+(SUMPRODUCT(--ISNUMBER($G$2:$G$800),--($G$2:$G$800=G392))+1)/2)/COUNT($G$2:$G$800)</f>
        <v/>
      </c>
      <c r="J392" t="n">
        <v>5.327666101699024</v>
      </c>
      <c r="K392" t="n">
        <v>3.999999999999994</v>
      </c>
      <c r="L392" t="n">
        <v>0.2758620689655277</v>
      </c>
      <c r="M392">
        <f>IF(OR(B392="NW",COUNT(Risk_Rank_Keys!B392)=0),0.5,(SUMPRODUCT(--ISNUMBER(Risk_Rank_Keys!$B$2:$B$800),--(Risk_Rank_Keys!$B$2:$B$800&lt;Risk_Rank_Keys!B392))+(SUMPRODUCT(--ISNUMBER(Risk_Rank_Keys!$B$2:$B$800),--(Risk_Rank_Keys!$B$2:$B$800=Risk_Rank_Keys!B392))+1)/2)/COUNT(Risk_Rank_Keys!$B$2:$B$800))</f>
        <v/>
      </c>
      <c r="N392">
        <f>IF(OR(B392="NW",COUNT(Risk_Rank_Keys!C392)=0),0.5,(SUMPRODUCT(--ISNUMBER(Risk_Rank_Keys!$C$2:$C$800),--(Risk_Rank_Keys!$C$2:$C$800&lt;Risk_Rank_Keys!C392))+(SUMPRODUCT(--ISNUMBER(Risk_Rank_Keys!$C$2:$C$800),--(Risk_Rank_Keys!$C$2:$C$800=Risk_Rank_Keys!C392))+1)/2)/COUNT(Risk_Rank_Keys!$C$2:$C$800))</f>
        <v/>
      </c>
      <c r="O392">
        <f>IF(OR(B392="NW",COUNT(Risk_Rank_Keys!D392)=0),0.5,(SUMPRODUCT(--ISNUMBER(Risk_Rank_Keys!$D$2:$D$800),--(Risk_Rank_Keys!$D$2:$D$800&lt;Risk_Rank_Keys!D392))+(SUMPRODUCT(--ISNUMBER(Risk_Rank_Keys!$D$2:$D$800),--(Risk_Rank_Keys!$D$2:$D$800=Risk_Rank_Keys!D392))+1)/2)/COUNT(Risk_Rank_Keys!$D$2:$D$800))</f>
        <v/>
      </c>
      <c r="P392">
        <f>AVERAGE(M392:O392)</f>
        <v/>
      </c>
      <c r="Q392">
        <f>0.4*H392+0.4*I392+0.2*P392</f>
        <v/>
      </c>
      <c r="R392">
        <f>PERCENTILE($Q$2:$Q$800,0.75)</f>
        <v/>
      </c>
      <c r="S392">
        <f>OR(Q392&gt;=R392,AND(B392="CW",COUNT(J392:L392)&lt;3))</f>
        <v/>
      </c>
      <c r="T392" t="n">
        <v>0.2862919356399171</v>
      </c>
      <c r="U392" t="n">
        <v>8.800174159263488</v>
      </c>
      <c r="V392" t="n">
        <v>0.556252149217205</v>
      </c>
      <c r="W392">
        <f>Q392-V392</f>
        <v/>
      </c>
    </row>
    <row r="393">
      <c r="A393" t="inlineStr">
        <is>
          <t>2023-03-27</t>
        </is>
      </c>
      <c r="B393" t="inlineStr">
        <is>
          <t>CW</t>
        </is>
      </c>
      <c r="C393" t="n">
        <v>12.81888136856402</v>
      </c>
      <c r="D393">
        <f>SUMPRODUCT(Risk_Inputs!B393:AJ393,Risk_Coefs!$B$2:$AJ$2)</f>
        <v/>
      </c>
      <c r="E393">
        <f>1/(1+EXP(-MAX(-25,MIN(25,D393))))</f>
        <v/>
      </c>
      <c r="F393">
        <f>SUMPRODUCT(Risk_Inputs!B393:AJ393,Risk_Coefs!$B$3:$AJ$3)</f>
        <v/>
      </c>
      <c r="G393">
        <f>MAX(0,F393)</f>
        <v/>
      </c>
      <c r="H393">
        <f>(SUMPRODUCT(--ISNUMBER($E$2:$E$800),--($E$2:$E$800&lt;E393))+(SUMPRODUCT(--ISNUMBER($E$2:$E$800),--($E$2:$E$800=E393))+1)/2)/COUNT($E$2:$E$800)</f>
        <v/>
      </c>
      <c r="I393">
        <f>(SUMPRODUCT(--ISNUMBER($G$2:$G$800),--($G$2:$G$800&lt;G393))+(SUMPRODUCT(--ISNUMBER($G$2:$G$800),--($G$2:$G$800=G393))+1)/2)/COUNT($G$2:$G$800)</f>
        <v/>
      </c>
      <c r="J393" t="n">
        <v>6.883709436860046</v>
      </c>
      <c r="K393" t="n">
        <v>2.464875523786049</v>
      </c>
      <c r="L393" t="n">
        <v>0.1232437761893024</v>
      </c>
      <c r="M393">
        <f>IF(OR(B393="NW",COUNT(Risk_Rank_Keys!B393)=0),0.5,(SUMPRODUCT(--ISNUMBER(Risk_Rank_Keys!$B$2:$B$800),--(Risk_Rank_Keys!$B$2:$B$800&lt;Risk_Rank_Keys!B393))+(SUMPRODUCT(--ISNUMBER(Risk_Rank_Keys!$B$2:$B$800),--(Risk_Rank_Keys!$B$2:$B$800=Risk_Rank_Keys!B393))+1)/2)/COUNT(Risk_Rank_Keys!$B$2:$B$800))</f>
        <v/>
      </c>
      <c r="N393">
        <f>IF(OR(B393="NW",COUNT(Risk_Rank_Keys!C393)=0),0.5,(SUMPRODUCT(--ISNUMBER(Risk_Rank_Keys!$C$2:$C$800),--(Risk_Rank_Keys!$C$2:$C$800&lt;Risk_Rank_Keys!C393))+(SUMPRODUCT(--ISNUMBER(Risk_Rank_Keys!$C$2:$C$800),--(Risk_Rank_Keys!$C$2:$C$800=Risk_Rank_Keys!C393))+1)/2)/COUNT(Risk_Rank_Keys!$C$2:$C$800))</f>
        <v/>
      </c>
      <c r="O393">
        <f>IF(OR(B393="NW",COUNT(Risk_Rank_Keys!D393)=0),0.5,(SUMPRODUCT(--ISNUMBER(Risk_Rank_Keys!$D$2:$D$800),--(Risk_Rank_Keys!$D$2:$D$800&lt;Risk_Rank_Keys!D393))+(SUMPRODUCT(--ISNUMBER(Risk_Rank_Keys!$D$2:$D$800),--(Risk_Rank_Keys!$D$2:$D$800=Risk_Rank_Keys!D393))+1)/2)/COUNT(Risk_Rank_Keys!$D$2:$D$800))</f>
        <v/>
      </c>
      <c r="P393">
        <f>AVERAGE(M393:O393)</f>
        <v/>
      </c>
      <c r="Q393">
        <f>0.4*H393+0.4*I393+0.2*P393</f>
        <v/>
      </c>
      <c r="R393">
        <f>PERCENTILE($Q$2:$Q$800,0.75)</f>
        <v/>
      </c>
      <c r="S393">
        <f>OR(Q393&gt;=R393,AND(B393="CW",COUNT(J393:L393)&lt;3))</f>
        <v/>
      </c>
      <c r="T393" t="n">
        <v>0.3008261523003793</v>
      </c>
      <c r="U393" t="n">
        <v>8.932672108312083</v>
      </c>
      <c r="V393" t="n">
        <v>0.5451563408235189</v>
      </c>
      <c r="W393">
        <f>Q393-V393</f>
        <v/>
      </c>
    </row>
    <row r="394">
      <c r="A394" t="inlineStr">
        <is>
          <t>2023-03-28</t>
        </is>
      </c>
      <c r="B394" t="inlineStr">
        <is>
          <t>NW</t>
        </is>
      </c>
      <c r="C394" t="n">
        <v>4.560728664298786</v>
      </c>
      <c r="D394">
        <f>SUMPRODUCT(Risk_Inputs!B394:AJ394,Risk_Coefs!$B$2:$AJ$2)</f>
        <v/>
      </c>
      <c r="E394">
        <f>1/(1+EXP(-MAX(-25,MIN(25,D394))))</f>
        <v/>
      </c>
      <c r="F394">
        <f>SUMPRODUCT(Risk_Inputs!B394:AJ394,Risk_Coefs!$B$3:$AJ$3)</f>
        <v/>
      </c>
      <c r="G394">
        <f>MAX(0,F394)</f>
        <v/>
      </c>
      <c r="H394">
        <f>(SUMPRODUCT(--ISNUMBER($E$2:$E$800),--($E$2:$E$800&lt;E394))+(SUMPRODUCT(--ISNUMBER($E$2:$E$800),--($E$2:$E$800=E394))+1)/2)/COUNT($E$2:$E$800)</f>
        <v/>
      </c>
      <c r="I394">
        <f>(SUMPRODUCT(--ISNUMBER($G$2:$G$800),--($G$2:$G$800&lt;G394))+(SUMPRODUCT(--ISNUMBER($G$2:$G$800),--($G$2:$G$800=G394))+1)/2)/COUNT($G$2:$G$800)</f>
        <v/>
      </c>
      <c r="M394">
        <f>IF(OR(B394="NW",COUNT(Risk_Rank_Keys!B394)=0),0.5,(SUMPRODUCT(--ISNUMBER(Risk_Rank_Keys!$B$2:$B$800),--(Risk_Rank_Keys!$B$2:$B$800&lt;Risk_Rank_Keys!B394))+(SUMPRODUCT(--ISNUMBER(Risk_Rank_Keys!$B$2:$B$800),--(Risk_Rank_Keys!$B$2:$B$800=Risk_Rank_Keys!B394))+1)/2)/COUNT(Risk_Rank_Keys!$B$2:$B$800))</f>
        <v/>
      </c>
      <c r="N394">
        <f>IF(OR(B394="NW",COUNT(Risk_Rank_Keys!C394)=0),0.5,(SUMPRODUCT(--ISNUMBER(Risk_Rank_Keys!$C$2:$C$800),--(Risk_Rank_Keys!$C$2:$C$800&lt;Risk_Rank_Keys!C394))+(SUMPRODUCT(--ISNUMBER(Risk_Rank_Keys!$C$2:$C$800),--(Risk_Rank_Keys!$C$2:$C$800=Risk_Rank_Keys!C394))+1)/2)/COUNT(Risk_Rank_Keys!$C$2:$C$800))</f>
        <v/>
      </c>
      <c r="O394">
        <f>IF(OR(B394="NW",COUNT(Risk_Rank_Keys!D394)=0),0.5,(SUMPRODUCT(--ISNUMBER(Risk_Rank_Keys!$D$2:$D$800),--(Risk_Rank_Keys!$D$2:$D$800&lt;Risk_Rank_Keys!D394))+(SUMPRODUCT(--ISNUMBER(Risk_Rank_Keys!$D$2:$D$800),--(Risk_Rank_Keys!$D$2:$D$800=Risk_Rank_Keys!D394))+1)/2)/COUNT(Risk_Rank_Keys!$D$2:$D$800))</f>
        <v/>
      </c>
      <c r="P394">
        <f>AVERAGE(M394:O394)</f>
        <v/>
      </c>
      <c r="Q394">
        <f>0.4*H394+0.4*I394+0.2*P394</f>
        <v/>
      </c>
      <c r="R394">
        <f>PERCENTILE($Q$2:$Q$800,0.75)</f>
        <v/>
      </c>
      <c r="S394">
        <f>OR(Q394&gt;=R394,AND(B394="CW",COUNT(J394:L394)&lt;3))</f>
        <v/>
      </c>
      <c r="T394" t="n">
        <v>0.3558221102876637</v>
      </c>
      <c r="U394" t="n">
        <v>10.22340690076442</v>
      </c>
      <c r="V394" t="n">
        <v>0.7588235294117648</v>
      </c>
      <c r="W394">
        <f>Q394-V394</f>
        <v/>
      </c>
    </row>
    <row r="395">
      <c r="A395" t="inlineStr">
        <is>
          <t>2023-03-29</t>
        </is>
      </c>
      <c r="B395" t="inlineStr">
        <is>
          <t>CW</t>
        </is>
      </c>
      <c r="C395" t="n">
        <v>19.22196107135675</v>
      </c>
      <c r="D395">
        <f>SUMPRODUCT(Risk_Inputs!B395:AJ395,Risk_Coefs!$B$2:$AJ$2)</f>
        <v/>
      </c>
      <c r="E395">
        <f>1/(1+EXP(-MAX(-25,MIN(25,D395))))</f>
        <v/>
      </c>
      <c r="F395">
        <f>SUMPRODUCT(Risk_Inputs!B395:AJ395,Risk_Coefs!$B$3:$AJ$3)</f>
        <v/>
      </c>
      <c r="G395">
        <f>MAX(0,F395)</f>
        <v/>
      </c>
      <c r="H395">
        <f>(SUMPRODUCT(--ISNUMBER($E$2:$E$800),--($E$2:$E$800&lt;E395))+(SUMPRODUCT(--ISNUMBER($E$2:$E$800),--($E$2:$E$800=E395))+1)/2)/COUNT($E$2:$E$800)</f>
        <v/>
      </c>
      <c r="I395">
        <f>(SUMPRODUCT(--ISNUMBER($G$2:$G$800),--($G$2:$G$800&lt;G395))+(SUMPRODUCT(--ISNUMBER($G$2:$G$800),--($G$2:$G$800=G395))+1)/2)/COUNT($G$2:$G$800)</f>
        <v/>
      </c>
      <c r="J395" t="n">
        <v>12.99843254195732</v>
      </c>
      <c r="K395" t="n">
        <v>18.97211591033351</v>
      </c>
      <c r="L395" t="n">
        <v>0.3280481137233507</v>
      </c>
      <c r="M395">
        <f>IF(OR(B395="NW",COUNT(Risk_Rank_Keys!B395)=0),0.5,(SUMPRODUCT(--ISNUMBER(Risk_Rank_Keys!$B$2:$B$800),--(Risk_Rank_Keys!$B$2:$B$800&lt;Risk_Rank_Keys!B395))+(SUMPRODUCT(--ISNUMBER(Risk_Rank_Keys!$B$2:$B$800),--(Risk_Rank_Keys!$B$2:$B$800=Risk_Rank_Keys!B395))+1)/2)/COUNT(Risk_Rank_Keys!$B$2:$B$800))</f>
        <v/>
      </c>
      <c r="N395">
        <f>IF(OR(B395="NW",COUNT(Risk_Rank_Keys!C395)=0),0.5,(SUMPRODUCT(--ISNUMBER(Risk_Rank_Keys!$C$2:$C$800),--(Risk_Rank_Keys!$C$2:$C$800&lt;Risk_Rank_Keys!C395))+(SUMPRODUCT(--ISNUMBER(Risk_Rank_Keys!$C$2:$C$800),--(Risk_Rank_Keys!$C$2:$C$800=Risk_Rank_Keys!C395))+1)/2)/COUNT(Risk_Rank_Keys!$C$2:$C$800))</f>
        <v/>
      </c>
      <c r="O395">
        <f>IF(OR(B395="NW",COUNT(Risk_Rank_Keys!D395)=0),0.5,(SUMPRODUCT(--ISNUMBER(Risk_Rank_Keys!$D$2:$D$800),--(Risk_Rank_Keys!$D$2:$D$800&lt;Risk_Rank_Keys!D395))+(SUMPRODUCT(--ISNUMBER(Risk_Rank_Keys!$D$2:$D$800),--(Risk_Rank_Keys!$D$2:$D$800=Risk_Rank_Keys!D395))+1)/2)/COUNT(Risk_Rank_Keys!$D$2:$D$800))</f>
        <v/>
      </c>
      <c r="P395">
        <f>AVERAGE(M395:O395)</f>
        <v/>
      </c>
      <c r="Q395">
        <f>0.4*H395+0.4*I395+0.2*P395</f>
        <v/>
      </c>
      <c r="R395">
        <f>PERCENTILE($Q$2:$Q$800,0.75)</f>
        <v/>
      </c>
      <c r="S395">
        <f>OR(Q395&gt;=R395,AND(B395="CW",COUNT(J395:L395)&lt;3))</f>
        <v/>
      </c>
      <c r="T395" t="n">
        <v>0.1685711694069694</v>
      </c>
      <c r="U395" t="n">
        <v>4.166969663515686</v>
      </c>
      <c r="V395" t="n">
        <v>0.2005120300887499</v>
      </c>
      <c r="W395">
        <f>Q395-V395</f>
        <v/>
      </c>
    </row>
    <row r="396">
      <c r="A396" t="inlineStr">
        <is>
          <t>2023-04-05</t>
        </is>
      </c>
      <c r="B396" t="inlineStr">
        <is>
          <t>CW</t>
        </is>
      </c>
      <c r="C396" t="n">
        <v>17.46620011368557</v>
      </c>
      <c r="D396">
        <f>SUMPRODUCT(Risk_Inputs!B396:AJ396,Risk_Coefs!$B$2:$AJ$2)</f>
        <v/>
      </c>
      <c r="E396">
        <f>1/(1+EXP(-MAX(-25,MIN(25,D396))))</f>
        <v/>
      </c>
      <c r="F396">
        <f>SUMPRODUCT(Risk_Inputs!B396:AJ396,Risk_Coefs!$B$3:$AJ$3)</f>
        <v/>
      </c>
      <c r="G396">
        <f>MAX(0,F396)</f>
        <v/>
      </c>
      <c r="H396">
        <f>(SUMPRODUCT(--ISNUMBER($E$2:$E$800),--($E$2:$E$800&lt;E396))+(SUMPRODUCT(--ISNUMBER($E$2:$E$800),--($E$2:$E$800=E396))+1)/2)/COUNT($E$2:$E$800)</f>
        <v/>
      </c>
      <c r="I396">
        <f>(SUMPRODUCT(--ISNUMBER($G$2:$G$800),--($G$2:$G$800&lt;G396))+(SUMPRODUCT(--ISNUMBER($G$2:$G$800),--($G$2:$G$800=G396))+1)/2)/COUNT($G$2:$G$800)</f>
        <v/>
      </c>
      <c r="J396" t="n">
        <v>11.58502663982653</v>
      </c>
      <c r="K396" t="n">
        <v>1.623762376237621</v>
      </c>
      <c r="L396" t="n">
        <v>0.2772277227722727</v>
      </c>
      <c r="M396">
        <f>IF(OR(B396="NW",COUNT(Risk_Rank_Keys!B396)=0),0.5,(SUMPRODUCT(--ISNUMBER(Risk_Rank_Keys!$B$2:$B$800),--(Risk_Rank_Keys!$B$2:$B$800&lt;Risk_Rank_Keys!B396))+(SUMPRODUCT(--ISNUMBER(Risk_Rank_Keys!$B$2:$B$800),--(Risk_Rank_Keys!$B$2:$B$800=Risk_Rank_Keys!B396))+1)/2)/COUNT(Risk_Rank_Keys!$B$2:$B$800))</f>
        <v/>
      </c>
      <c r="N396">
        <f>IF(OR(B396="NW",COUNT(Risk_Rank_Keys!C396)=0),0.5,(SUMPRODUCT(--ISNUMBER(Risk_Rank_Keys!$C$2:$C$800),--(Risk_Rank_Keys!$C$2:$C$800&lt;Risk_Rank_Keys!C396))+(SUMPRODUCT(--ISNUMBER(Risk_Rank_Keys!$C$2:$C$800),--(Risk_Rank_Keys!$C$2:$C$800=Risk_Rank_Keys!C396))+1)/2)/COUNT(Risk_Rank_Keys!$C$2:$C$800))</f>
        <v/>
      </c>
      <c r="O396">
        <f>IF(OR(B396="NW",COUNT(Risk_Rank_Keys!D396)=0),0.5,(SUMPRODUCT(--ISNUMBER(Risk_Rank_Keys!$D$2:$D$800),--(Risk_Rank_Keys!$D$2:$D$800&lt;Risk_Rank_Keys!D396))+(SUMPRODUCT(--ISNUMBER(Risk_Rank_Keys!$D$2:$D$800),--(Risk_Rank_Keys!$D$2:$D$800=Risk_Rank_Keys!D396))+1)/2)/COUNT(Risk_Rank_Keys!$D$2:$D$800))</f>
        <v/>
      </c>
      <c r="P396">
        <f>AVERAGE(M396:O396)</f>
        <v/>
      </c>
      <c r="Q396">
        <f>0.4*H396+0.4*I396+0.2*P396</f>
        <v/>
      </c>
      <c r="R396">
        <f>PERCENTILE($Q$2:$Q$800,0.75)</f>
        <v/>
      </c>
      <c r="S396">
        <f>OR(Q396&gt;=R396,AND(B396="CW",COUNT(J396:L396)&lt;3))</f>
        <v/>
      </c>
      <c r="T396" t="n">
        <v>0.2590194898519456</v>
      </c>
      <c r="U396" t="n">
        <v>7.049232881450338</v>
      </c>
      <c r="V396" t="n">
        <v>0.3934557899838769</v>
      </c>
      <c r="W396">
        <f>Q396-V396</f>
        <v/>
      </c>
    </row>
    <row r="397">
      <c r="A397" t="inlineStr">
        <is>
          <t>2023-04-17</t>
        </is>
      </c>
      <c r="B397" t="inlineStr">
        <is>
          <t>CW</t>
        </is>
      </c>
      <c r="C397" t="n">
        <v>31.94128240210041</v>
      </c>
      <c r="D397">
        <f>SUMPRODUCT(Risk_Inputs!B397:AJ397,Risk_Coefs!$B$2:$AJ$2)</f>
        <v/>
      </c>
      <c r="E397">
        <f>1/(1+EXP(-MAX(-25,MIN(25,D397))))</f>
        <v/>
      </c>
      <c r="F397">
        <f>SUMPRODUCT(Risk_Inputs!B397:AJ397,Risk_Coefs!$B$3:$AJ$3)</f>
        <v/>
      </c>
      <c r="G397">
        <f>MAX(0,F397)</f>
        <v/>
      </c>
      <c r="H397">
        <f>(SUMPRODUCT(--ISNUMBER($E$2:$E$800),--($E$2:$E$800&lt;E397))+(SUMPRODUCT(--ISNUMBER($E$2:$E$800),--($E$2:$E$800=E397))+1)/2)/COUNT($E$2:$E$800)</f>
        <v/>
      </c>
      <c r="I397">
        <f>(SUMPRODUCT(--ISNUMBER($G$2:$G$800),--($G$2:$G$800&lt;G397))+(SUMPRODUCT(--ISNUMBER($G$2:$G$800),--($G$2:$G$800=G397))+1)/2)/COUNT($G$2:$G$800)</f>
        <v/>
      </c>
      <c r="J397" t="n">
        <v>18.70039318775297</v>
      </c>
      <c r="K397" t="n">
        <v>6.023770934629933</v>
      </c>
      <c r="L397" t="n">
        <v>0.243111831442465</v>
      </c>
      <c r="M397">
        <f>IF(OR(B397="NW",COUNT(Risk_Rank_Keys!B397)=0),0.5,(SUMPRODUCT(--ISNUMBER(Risk_Rank_Keys!$B$2:$B$800),--(Risk_Rank_Keys!$B$2:$B$800&lt;Risk_Rank_Keys!B397))+(SUMPRODUCT(--ISNUMBER(Risk_Rank_Keys!$B$2:$B$800),--(Risk_Rank_Keys!$B$2:$B$800=Risk_Rank_Keys!B397))+1)/2)/COUNT(Risk_Rank_Keys!$B$2:$B$800))</f>
        <v/>
      </c>
      <c r="N397">
        <f>IF(OR(B397="NW",COUNT(Risk_Rank_Keys!C397)=0),0.5,(SUMPRODUCT(--ISNUMBER(Risk_Rank_Keys!$C$2:$C$800),--(Risk_Rank_Keys!$C$2:$C$800&lt;Risk_Rank_Keys!C397))+(SUMPRODUCT(--ISNUMBER(Risk_Rank_Keys!$C$2:$C$800),--(Risk_Rank_Keys!$C$2:$C$800=Risk_Rank_Keys!C397))+1)/2)/COUNT(Risk_Rank_Keys!$C$2:$C$800))</f>
        <v/>
      </c>
      <c r="O397">
        <f>IF(OR(B397="NW",COUNT(Risk_Rank_Keys!D397)=0),0.5,(SUMPRODUCT(--ISNUMBER(Risk_Rank_Keys!$D$2:$D$800),--(Risk_Rank_Keys!$D$2:$D$800&lt;Risk_Rank_Keys!D397))+(SUMPRODUCT(--ISNUMBER(Risk_Rank_Keys!$D$2:$D$800),--(Risk_Rank_Keys!$D$2:$D$800=Risk_Rank_Keys!D397))+1)/2)/COUNT(Risk_Rank_Keys!$D$2:$D$800))</f>
        <v/>
      </c>
      <c r="P397">
        <f>AVERAGE(M397:O397)</f>
        <v/>
      </c>
      <c r="Q397">
        <f>0.4*H397+0.4*I397+0.2*P397</f>
        <v/>
      </c>
      <c r="R397">
        <f>PERCENTILE($Q$2:$Q$800,0.75)</f>
        <v/>
      </c>
      <c r="S397">
        <f>OR(Q397&gt;=R397,AND(B397="CW",COUNT(J397:L397)&lt;3))</f>
        <v/>
      </c>
      <c r="T397" t="n">
        <v>0.2296076892302069</v>
      </c>
      <c r="U397" t="n">
        <v>3.786915173613965</v>
      </c>
      <c r="V397" t="n">
        <v>0.2242402026242706</v>
      </c>
      <c r="W397">
        <f>Q397-V397</f>
        <v/>
      </c>
    </row>
    <row r="398">
      <c r="A398" t="inlineStr">
        <is>
          <t>2023-05-10</t>
        </is>
      </c>
      <c r="B398" t="inlineStr">
        <is>
          <t>CW</t>
        </is>
      </c>
      <c r="C398" t="n">
        <v>4.302725064561884</v>
      </c>
      <c r="D398">
        <f>SUMPRODUCT(Risk_Inputs!B398:AJ398,Risk_Coefs!$B$2:$AJ$2)</f>
        <v/>
      </c>
      <c r="E398">
        <f>1/(1+EXP(-MAX(-25,MIN(25,D398))))</f>
        <v/>
      </c>
      <c r="F398">
        <f>SUMPRODUCT(Risk_Inputs!B398:AJ398,Risk_Coefs!$B$3:$AJ$3)</f>
        <v/>
      </c>
      <c r="G398">
        <f>MAX(0,F398)</f>
        <v/>
      </c>
      <c r="H398">
        <f>(SUMPRODUCT(--ISNUMBER($E$2:$E$800),--($E$2:$E$800&lt;E398))+(SUMPRODUCT(--ISNUMBER($E$2:$E$800),--($E$2:$E$800=E398))+1)/2)/COUNT($E$2:$E$800)</f>
        <v/>
      </c>
      <c r="I398">
        <f>(SUMPRODUCT(--ISNUMBER($G$2:$G$800),--($G$2:$G$800&lt;G398))+(SUMPRODUCT(--ISNUMBER($G$2:$G$800),--($G$2:$G$800=G398))+1)/2)/COUNT($G$2:$G$800)</f>
        <v/>
      </c>
      <c r="J398" t="n">
        <v>3.093720568586316</v>
      </c>
      <c r="K398" t="n">
        <v>2.655677655677661</v>
      </c>
      <c r="L398" t="n">
        <v>0.1373626373626425</v>
      </c>
      <c r="M398">
        <f>IF(OR(B398="NW",COUNT(Risk_Rank_Keys!B398)=0),0.5,(SUMPRODUCT(--ISNUMBER(Risk_Rank_Keys!$B$2:$B$800),--(Risk_Rank_Keys!$B$2:$B$800&lt;Risk_Rank_Keys!B398))+(SUMPRODUCT(--ISNUMBER(Risk_Rank_Keys!$B$2:$B$800),--(Risk_Rank_Keys!$B$2:$B$800=Risk_Rank_Keys!B398))+1)/2)/COUNT(Risk_Rank_Keys!$B$2:$B$800))</f>
        <v/>
      </c>
      <c r="N398">
        <f>IF(OR(B398="NW",COUNT(Risk_Rank_Keys!C398)=0),0.5,(SUMPRODUCT(--ISNUMBER(Risk_Rank_Keys!$C$2:$C$800),--(Risk_Rank_Keys!$C$2:$C$800&lt;Risk_Rank_Keys!C398))+(SUMPRODUCT(--ISNUMBER(Risk_Rank_Keys!$C$2:$C$800),--(Risk_Rank_Keys!$C$2:$C$800=Risk_Rank_Keys!C398))+1)/2)/COUNT(Risk_Rank_Keys!$C$2:$C$800))</f>
        <v/>
      </c>
      <c r="O398">
        <f>IF(OR(B398="NW",COUNT(Risk_Rank_Keys!D398)=0),0.5,(SUMPRODUCT(--ISNUMBER(Risk_Rank_Keys!$D$2:$D$800),--(Risk_Rank_Keys!$D$2:$D$800&lt;Risk_Rank_Keys!D398))+(SUMPRODUCT(--ISNUMBER(Risk_Rank_Keys!$D$2:$D$800),--(Risk_Rank_Keys!$D$2:$D$800=Risk_Rank_Keys!D398))+1)/2)/COUNT(Risk_Rank_Keys!$D$2:$D$800))</f>
        <v/>
      </c>
      <c r="P398">
        <f>AVERAGE(M398:O398)</f>
        <v/>
      </c>
      <c r="Q398">
        <f>0.4*H398+0.4*I398+0.2*P398</f>
        <v/>
      </c>
      <c r="R398">
        <f>PERCENTILE($Q$2:$Q$800,0.75)</f>
        <v/>
      </c>
      <c r="S398">
        <f>OR(Q398&gt;=R398,AND(B398="CW",COUNT(J398:L398)&lt;3))</f>
        <v/>
      </c>
      <c r="T398" t="n">
        <v>0.4354041973384947</v>
      </c>
      <c r="U398" t="n">
        <v>13.85324390801686</v>
      </c>
      <c r="V398" t="n">
        <v>0.8128972233422881</v>
      </c>
      <c r="W398">
        <f>Q398-V398</f>
        <v/>
      </c>
    </row>
    <row r="399">
      <c r="A399" t="inlineStr">
        <is>
          <t>2023-05-15</t>
        </is>
      </c>
      <c r="B399" t="inlineStr">
        <is>
          <t>CW</t>
        </is>
      </c>
      <c r="C399" t="n">
        <v>4.328798808883943</v>
      </c>
      <c r="D399">
        <f>SUMPRODUCT(Risk_Inputs!B399:AJ399,Risk_Coefs!$B$2:$AJ$2)</f>
        <v/>
      </c>
      <c r="E399">
        <f>1/(1+EXP(-MAX(-25,MIN(25,D399))))</f>
        <v/>
      </c>
      <c r="F399">
        <f>SUMPRODUCT(Risk_Inputs!B399:AJ399,Risk_Coefs!$B$3:$AJ$3)</f>
        <v/>
      </c>
      <c r="G399">
        <f>MAX(0,F399)</f>
        <v/>
      </c>
      <c r="H399">
        <f>(SUMPRODUCT(--ISNUMBER($E$2:$E$800),--($E$2:$E$800&lt;E399))+(SUMPRODUCT(--ISNUMBER($E$2:$E$800),--($E$2:$E$800=E399))+1)/2)/COUNT($E$2:$E$800)</f>
        <v/>
      </c>
      <c r="I399">
        <f>(SUMPRODUCT(--ISNUMBER($G$2:$G$800),--($G$2:$G$800&lt;G399))+(SUMPRODUCT(--ISNUMBER($G$2:$G$800),--($G$2:$G$800=G399))+1)/2)/COUNT($G$2:$G$800)</f>
        <v/>
      </c>
      <c r="J399" t="n">
        <v>6.37767269456711</v>
      </c>
      <c r="K399" t="n">
        <v>2.175830638047626</v>
      </c>
      <c r="L399" t="n">
        <v>0.2058218171126106</v>
      </c>
      <c r="M399">
        <f>IF(OR(B399="NW",COUNT(Risk_Rank_Keys!B399)=0),0.5,(SUMPRODUCT(--ISNUMBER(Risk_Rank_Keys!$B$2:$B$800),--(Risk_Rank_Keys!$B$2:$B$800&lt;Risk_Rank_Keys!B399))+(SUMPRODUCT(--ISNUMBER(Risk_Rank_Keys!$B$2:$B$800),--(Risk_Rank_Keys!$B$2:$B$800=Risk_Rank_Keys!B399))+1)/2)/COUNT(Risk_Rank_Keys!$B$2:$B$800))</f>
        <v/>
      </c>
      <c r="N399">
        <f>IF(OR(B399="NW",COUNT(Risk_Rank_Keys!C399)=0),0.5,(SUMPRODUCT(--ISNUMBER(Risk_Rank_Keys!$C$2:$C$800),--(Risk_Rank_Keys!$C$2:$C$800&lt;Risk_Rank_Keys!C399))+(SUMPRODUCT(--ISNUMBER(Risk_Rank_Keys!$C$2:$C$800),--(Risk_Rank_Keys!$C$2:$C$800=Risk_Rank_Keys!C399))+1)/2)/COUNT(Risk_Rank_Keys!$C$2:$C$800))</f>
        <v/>
      </c>
      <c r="O399">
        <f>IF(OR(B399="NW",COUNT(Risk_Rank_Keys!D399)=0),0.5,(SUMPRODUCT(--ISNUMBER(Risk_Rank_Keys!$D$2:$D$800),--(Risk_Rank_Keys!$D$2:$D$800&lt;Risk_Rank_Keys!D399))+(SUMPRODUCT(--ISNUMBER(Risk_Rank_Keys!$D$2:$D$800),--(Risk_Rank_Keys!$D$2:$D$800=Risk_Rank_Keys!D399))+1)/2)/COUNT(Risk_Rank_Keys!$D$2:$D$800))</f>
        <v/>
      </c>
      <c r="P399">
        <f>AVERAGE(M399:O399)</f>
        <v/>
      </c>
      <c r="Q399">
        <f>0.4*H399+0.4*I399+0.2*P399</f>
        <v/>
      </c>
      <c r="R399">
        <f>PERCENTILE($Q$2:$Q$800,0.75)</f>
        <v/>
      </c>
      <c r="S399">
        <f>OR(Q399&gt;=R399,AND(B399="CW",COUNT(J399:L399)&lt;3))</f>
        <v/>
      </c>
      <c r="T399" t="n">
        <v>0.3190908746949179</v>
      </c>
      <c r="U399" t="n">
        <v>4.216061065829201</v>
      </c>
      <c r="V399" t="n">
        <v>0.3528597171382872</v>
      </c>
      <c r="W399">
        <f>Q399-V399</f>
        <v/>
      </c>
    </row>
    <row r="400">
      <c r="A400" t="inlineStr">
        <is>
          <t>2023-05-16</t>
        </is>
      </c>
      <c r="B400" t="inlineStr">
        <is>
          <t>CW</t>
        </is>
      </c>
      <c r="C400" t="n">
        <v>-2.325651405616308</v>
      </c>
      <c r="D400">
        <f>SUMPRODUCT(Risk_Inputs!B400:AJ400,Risk_Coefs!$B$2:$AJ$2)</f>
        <v/>
      </c>
      <c r="E400">
        <f>1/(1+EXP(-MAX(-25,MIN(25,D400))))</f>
        <v/>
      </c>
      <c r="F400">
        <f>SUMPRODUCT(Risk_Inputs!B400:AJ400,Risk_Coefs!$B$3:$AJ$3)</f>
        <v/>
      </c>
      <c r="G400">
        <f>MAX(0,F400)</f>
        <v/>
      </c>
      <c r="H400">
        <f>(SUMPRODUCT(--ISNUMBER($E$2:$E$800),--($E$2:$E$800&lt;E400))+(SUMPRODUCT(--ISNUMBER($E$2:$E$800),--($E$2:$E$800=E400))+1)/2)/COUNT($E$2:$E$800)</f>
        <v/>
      </c>
      <c r="I400">
        <f>(SUMPRODUCT(--ISNUMBER($G$2:$G$800),--($G$2:$G$800&lt;G400))+(SUMPRODUCT(--ISNUMBER($G$2:$G$800),--($G$2:$G$800=G400))+1)/2)/COUNT($G$2:$G$800)</f>
        <v/>
      </c>
      <c r="J400" t="n">
        <v>8.526167731985472</v>
      </c>
      <c r="K400" t="n">
        <v>2.947443181818186</v>
      </c>
      <c r="L400" t="n">
        <v>0.3196022727272696</v>
      </c>
      <c r="M400">
        <f>IF(OR(B400="NW",COUNT(Risk_Rank_Keys!B400)=0),0.5,(SUMPRODUCT(--ISNUMBER(Risk_Rank_Keys!$B$2:$B$800),--(Risk_Rank_Keys!$B$2:$B$800&lt;Risk_Rank_Keys!B400))+(SUMPRODUCT(--ISNUMBER(Risk_Rank_Keys!$B$2:$B$800),--(Risk_Rank_Keys!$B$2:$B$800=Risk_Rank_Keys!B400))+1)/2)/COUNT(Risk_Rank_Keys!$B$2:$B$800))</f>
        <v/>
      </c>
      <c r="N400">
        <f>IF(OR(B400="NW",COUNT(Risk_Rank_Keys!C400)=0),0.5,(SUMPRODUCT(--ISNUMBER(Risk_Rank_Keys!$C$2:$C$800),--(Risk_Rank_Keys!$C$2:$C$800&lt;Risk_Rank_Keys!C400))+(SUMPRODUCT(--ISNUMBER(Risk_Rank_Keys!$C$2:$C$800),--(Risk_Rank_Keys!$C$2:$C$800=Risk_Rank_Keys!C400))+1)/2)/COUNT(Risk_Rank_Keys!$C$2:$C$800))</f>
        <v/>
      </c>
      <c r="O400">
        <f>IF(OR(B400="NW",COUNT(Risk_Rank_Keys!D400)=0),0.5,(SUMPRODUCT(--ISNUMBER(Risk_Rank_Keys!$D$2:$D$800),--(Risk_Rank_Keys!$D$2:$D$800&lt;Risk_Rank_Keys!D400))+(SUMPRODUCT(--ISNUMBER(Risk_Rank_Keys!$D$2:$D$800),--(Risk_Rank_Keys!$D$2:$D$800=Risk_Rank_Keys!D400))+1)/2)/COUNT(Risk_Rank_Keys!$D$2:$D$800))</f>
        <v/>
      </c>
      <c r="P400">
        <f>AVERAGE(M400:O400)</f>
        <v/>
      </c>
      <c r="Q400">
        <f>0.4*H400+0.4*I400+0.2*P400</f>
        <v/>
      </c>
      <c r="R400">
        <f>PERCENTILE($Q$2:$Q$800,0.75)</f>
        <v/>
      </c>
      <c r="S400">
        <f>OR(Q400&gt;=R400,AND(B400="CW",COUNT(J400:L400)&lt;3))</f>
        <v/>
      </c>
      <c r="T400" t="n">
        <v>0.2064009461218387</v>
      </c>
      <c r="U400" t="n">
        <v>4.273585364799615</v>
      </c>
      <c r="V400" t="n">
        <v>0.1856470983894908</v>
      </c>
      <c r="W400">
        <f>Q400-V400</f>
        <v/>
      </c>
    </row>
    <row r="401">
      <c r="A401" t="inlineStr">
        <is>
          <t>2023-05-23</t>
        </is>
      </c>
      <c r="B401" t="inlineStr">
        <is>
          <t>CW</t>
        </is>
      </c>
      <c r="C401" t="n">
        <v>12.61730693806922</v>
      </c>
      <c r="D401">
        <f>SUMPRODUCT(Risk_Inputs!B401:AJ401,Risk_Coefs!$B$2:$AJ$2)</f>
        <v/>
      </c>
      <c r="E401">
        <f>1/(1+EXP(-MAX(-25,MIN(25,D401))))</f>
        <v/>
      </c>
      <c r="F401">
        <f>SUMPRODUCT(Risk_Inputs!B401:AJ401,Risk_Coefs!$B$3:$AJ$3)</f>
        <v/>
      </c>
      <c r="G401">
        <f>MAX(0,F401)</f>
        <v/>
      </c>
      <c r="H401">
        <f>(SUMPRODUCT(--ISNUMBER($E$2:$E$800),--($E$2:$E$800&lt;E401))+(SUMPRODUCT(--ISNUMBER($E$2:$E$800),--($E$2:$E$800=E401))+1)/2)/COUNT($E$2:$E$800)</f>
        <v/>
      </c>
      <c r="I401">
        <f>(SUMPRODUCT(--ISNUMBER($G$2:$G$800),--($G$2:$G$800&lt;G401))+(SUMPRODUCT(--ISNUMBER($G$2:$G$800),--($G$2:$G$800=G401))+1)/2)/COUNT($G$2:$G$800)</f>
        <v/>
      </c>
      <c r="J401" t="n">
        <v>4.625925865456306</v>
      </c>
      <c r="K401" t="n">
        <v>2.021357742181545</v>
      </c>
      <c r="L401" t="n">
        <v>0.3432494279176222</v>
      </c>
      <c r="M401">
        <f>IF(OR(B401="NW",COUNT(Risk_Rank_Keys!B401)=0),0.5,(SUMPRODUCT(--ISNUMBER(Risk_Rank_Keys!$B$2:$B$800),--(Risk_Rank_Keys!$B$2:$B$800&lt;Risk_Rank_Keys!B401))+(SUMPRODUCT(--ISNUMBER(Risk_Rank_Keys!$B$2:$B$800),--(Risk_Rank_Keys!$B$2:$B$800=Risk_Rank_Keys!B401))+1)/2)/COUNT(Risk_Rank_Keys!$B$2:$B$800))</f>
        <v/>
      </c>
      <c r="N401">
        <f>IF(OR(B401="NW",COUNT(Risk_Rank_Keys!C401)=0),0.5,(SUMPRODUCT(--ISNUMBER(Risk_Rank_Keys!$C$2:$C$800),--(Risk_Rank_Keys!$C$2:$C$800&lt;Risk_Rank_Keys!C401))+(SUMPRODUCT(--ISNUMBER(Risk_Rank_Keys!$C$2:$C$800),--(Risk_Rank_Keys!$C$2:$C$800=Risk_Rank_Keys!C401))+1)/2)/COUNT(Risk_Rank_Keys!$C$2:$C$800))</f>
        <v/>
      </c>
      <c r="O401">
        <f>IF(OR(B401="NW",COUNT(Risk_Rank_Keys!D401)=0),0.5,(SUMPRODUCT(--ISNUMBER(Risk_Rank_Keys!$D$2:$D$800),--(Risk_Rank_Keys!$D$2:$D$800&lt;Risk_Rank_Keys!D401))+(SUMPRODUCT(--ISNUMBER(Risk_Rank_Keys!$D$2:$D$800),--(Risk_Rank_Keys!$D$2:$D$800=Risk_Rank_Keys!D401))+1)/2)/COUNT(Risk_Rank_Keys!$D$2:$D$800))</f>
        <v/>
      </c>
      <c r="P401">
        <f>AVERAGE(M401:O401)</f>
        <v/>
      </c>
      <c r="Q401">
        <f>0.4*H401+0.4*I401+0.2*P401</f>
        <v/>
      </c>
      <c r="R401">
        <f>PERCENTILE($Q$2:$Q$800,0.75)</f>
        <v/>
      </c>
      <c r="S401">
        <f>OR(Q401&gt;=R401,AND(B401="CW",COUNT(J401:L401)&lt;3))</f>
        <v/>
      </c>
      <c r="T401" t="n">
        <v>0.2532072228856296</v>
      </c>
      <c r="U401" t="n">
        <v>4.914417467890443</v>
      </c>
      <c r="V401" t="n">
        <v>0.2472290735339211</v>
      </c>
      <c r="W401">
        <f>Q401-V401</f>
        <v/>
      </c>
    </row>
    <row r="402">
      <c r="A402" t="inlineStr">
        <is>
          <t>2023-05-29</t>
        </is>
      </c>
      <c r="B402" t="inlineStr">
        <is>
          <t>CW</t>
        </is>
      </c>
      <c r="C402" t="n">
        <v>18.5982633094172</v>
      </c>
      <c r="D402">
        <f>SUMPRODUCT(Risk_Inputs!B402:AJ402,Risk_Coefs!$B$2:$AJ$2)</f>
        <v/>
      </c>
      <c r="E402">
        <f>1/(1+EXP(-MAX(-25,MIN(25,D402))))</f>
        <v/>
      </c>
      <c r="F402">
        <f>SUMPRODUCT(Risk_Inputs!B402:AJ402,Risk_Coefs!$B$3:$AJ$3)</f>
        <v/>
      </c>
      <c r="G402">
        <f>MAX(0,F402)</f>
        <v/>
      </c>
      <c r="H402">
        <f>(SUMPRODUCT(--ISNUMBER($E$2:$E$800),--($E$2:$E$800&lt;E402))+(SUMPRODUCT(--ISNUMBER($E$2:$E$800),--($E$2:$E$800=E402))+1)/2)/COUNT($E$2:$E$800)</f>
        <v/>
      </c>
      <c r="I402">
        <f>(SUMPRODUCT(--ISNUMBER($G$2:$G$800),--($G$2:$G$800&lt;G402))+(SUMPRODUCT(--ISNUMBER($G$2:$G$800),--($G$2:$G$800=G402))+1)/2)/COUNT($G$2:$G$800)</f>
        <v/>
      </c>
      <c r="J402" t="n">
        <v>5.745706829336787</v>
      </c>
      <c r="K402" t="n">
        <v>1.852414211964781</v>
      </c>
      <c r="L402" t="n">
        <v>0.2429395687822602</v>
      </c>
      <c r="M402">
        <f>IF(OR(B402="NW",COUNT(Risk_Rank_Keys!B402)=0),0.5,(SUMPRODUCT(--ISNUMBER(Risk_Rank_Keys!$B$2:$B$800),--(Risk_Rank_Keys!$B$2:$B$800&lt;Risk_Rank_Keys!B402))+(SUMPRODUCT(--ISNUMBER(Risk_Rank_Keys!$B$2:$B$800),--(Risk_Rank_Keys!$B$2:$B$800=Risk_Rank_Keys!B402))+1)/2)/COUNT(Risk_Rank_Keys!$B$2:$B$800))</f>
        <v/>
      </c>
      <c r="N402">
        <f>IF(OR(B402="NW",COUNT(Risk_Rank_Keys!C402)=0),0.5,(SUMPRODUCT(--ISNUMBER(Risk_Rank_Keys!$C$2:$C$800),--(Risk_Rank_Keys!$C$2:$C$800&lt;Risk_Rank_Keys!C402))+(SUMPRODUCT(--ISNUMBER(Risk_Rank_Keys!$C$2:$C$800),--(Risk_Rank_Keys!$C$2:$C$800=Risk_Rank_Keys!C402))+1)/2)/COUNT(Risk_Rank_Keys!$C$2:$C$800))</f>
        <v/>
      </c>
      <c r="O402">
        <f>IF(OR(B402="NW",COUNT(Risk_Rank_Keys!D402)=0),0.5,(SUMPRODUCT(--ISNUMBER(Risk_Rank_Keys!$D$2:$D$800),--(Risk_Rank_Keys!$D$2:$D$800&lt;Risk_Rank_Keys!D402))+(SUMPRODUCT(--ISNUMBER(Risk_Rank_Keys!$D$2:$D$800),--(Risk_Rank_Keys!$D$2:$D$800=Risk_Rank_Keys!D402))+1)/2)/COUNT(Risk_Rank_Keys!$D$2:$D$800))</f>
        <v/>
      </c>
      <c r="P402">
        <f>AVERAGE(M402:O402)</f>
        <v/>
      </c>
      <c r="Q402">
        <f>0.4*H402+0.4*I402+0.2*P402</f>
        <v/>
      </c>
      <c r="R402">
        <f>PERCENTILE($Q$2:$Q$800,0.75)</f>
        <v/>
      </c>
      <c r="S402">
        <f>OR(Q402&gt;=R402,AND(B402="CW",COUNT(J402:L402)&lt;3))</f>
        <v/>
      </c>
      <c r="T402" t="n">
        <v>0.3225710068068675</v>
      </c>
      <c r="U402" t="n">
        <v>8.744635786878773</v>
      </c>
      <c r="V402" t="n">
        <v>0.5972727415545582</v>
      </c>
      <c r="W402">
        <f>Q402-V402</f>
        <v/>
      </c>
    </row>
    <row r="403">
      <c r="A403" t="inlineStr">
        <is>
          <t>2023-05-31</t>
        </is>
      </c>
      <c r="B403" t="inlineStr">
        <is>
          <t>CW</t>
        </is>
      </c>
      <c r="C403" t="n">
        <v>26.43281494844313</v>
      </c>
      <c r="D403">
        <f>SUMPRODUCT(Risk_Inputs!B403:AJ403,Risk_Coefs!$B$2:$AJ$2)</f>
        <v/>
      </c>
      <c r="E403">
        <f>1/(1+EXP(-MAX(-25,MIN(25,D403))))</f>
        <v/>
      </c>
      <c r="F403">
        <f>SUMPRODUCT(Risk_Inputs!B403:AJ403,Risk_Coefs!$B$3:$AJ$3)</f>
        <v/>
      </c>
      <c r="G403">
        <f>MAX(0,F403)</f>
        <v/>
      </c>
      <c r="H403">
        <f>(SUMPRODUCT(--ISNUMBER($E$2:$E$800),--($E$2:$E$800&lt;E403))+(SUMPRODUCT(--ISNUMBER($E$2:$E$800),--($E$2:$E$800=E403))+1)/2)/COUNT($E$2:$E$800)</f>
        <v/>
      </c>
      <c r="I403">
        <f>(SUMPRODUCT(--ISNUMBER($G$2:$G$800),--($G$2:$G$800&lt;G403))+(SUMPRODUCT(--ISNUMBER($G$2:$G$800),--($G$2:$G$800=G403))+1)/2)/COUNT($G$2:$G$800)</f>
        <v/>
      </c>
      <c r="J403" t="n">
        <v>3.675010200857094</v>
      </c>
      <c r="K403" t="n">
        <v>4.608879492600413</v>
      </c>
      <c r="L403" t="n">
        <v>0.2114164904862639</v>
      </c>
      <c r="M403">
        <f>IF(OR(B403="NW",COUNT(Risk_Rank_Keys!B403)=0),0.5,(SUMPRODUCT(--ISNUMBER(Risk_Rank_Keys!$B$2:$B$800),--(Risk_Rank_Keys!$B$2:$B$800&lt;Risk_Rank_Keys!B403))+(SUMPRODUCT(--ISNUMBER(Risk_Rank_Keys!$B$2:$B$800),--(Risk_Rank_Keys!$B$2:$B$800=Risk_Rank_Keys!B403))+1)/2)/COUNT(Risk_Rank_Keys!$B$2:$B$800))</f>
        <v/>
      </c>
      <c r="N403">
        <f>IF(OR(B403="NW",COUNT(Risk_Rank_Keys!C403)=0),0.5,(SUMPRODUCT(--ISNUMBER(Risk_Rank_Keys!$C$2:$C$800),--(Risk_Rank_Keys!$C$2:$C$800&lt;Risk_Rank_Keys!C403))+(SUMPRODUCT(--ISNUMBER(Risk_Rank_Keys!$C$2:$C$800),--(Risk_Rank_Keys!$C$2:$C$800=Risk_Rank_Keys!C403))+1)/2)/COUNT(Risk_Rank_Keys!$C$2:$C$800))</f>
        <v/>
      </c>
      <c r="O403">
        <f>IF(OR(B403="NW",COUNT(Risk_Rank_Keys!D403)=0),0.5,(SUMPRODUCT(--ISNUMBER(Risk_Rank_Keys!$D$2:$D$800),--(Risk_Rank_Keys!$D$2:$D$800&lt;Risk_Rank_Keys!D403))+(SUMPRODUCT(--ISNUMBER(Risk_Rank_Keys!$D$2:$D$800),--(Risk_Rank_Keys!$D$2:$D$800=Risk_Rank_Keys!D403))+1)/2)/COUNT(Risk_Rank_Keys!$D$2:$D$800))</f>
        <v/>
      </c>
      <c r="P403">
        <f>AVERAGE(M403:O403)</f>
        <v/>
      </c>
      <c r="Q403">
        <f>0.4*H403+0.4*I403+0.2*P403</f>
        <v/>
      </c>
      <c r="R403">
        <f>PERCENTILE($Q$2:$Q$800,0.75)</f>
        <v/>
      </c>
      <c r="S403">
        <f>OR(Q403&gt;=R403,AND(B403="CW",COUNT(J403:L403)&lt;3))</f>
        <v/>
      </c>
      <c r="T403" t="n">
        <v>0.3839513758966864</v>
      </c>
      <c r="U403" t="n">
        <v>10.92058991006218</v>
      </c>
      <c r="V403" t="n">
        <v>0.7861950869549279</v>
      </c>
      <c r="W403">
        <f>Q403-V403</f>
        <v/>
      </c>
    </row>
    <row r="404">
      <c r="A404" t="inlineStr">
        <is>
          <t>2023-06-06</t>
        </is>
      </c>
      <c r="B404" t="inlineStr">
        <is>
          <t>CW</t>
        </is>
      </c>
      <c r="C404" t="n">
        <v>23.57858976824836</v>
      </c>
      <c r="D404">
        <f>SUMPRODUCT(Risk_Inputs!B404:AJ404,Risk_Coefs!$B$2:$AJ$2)</f>
        <v/>
      </c>
      <c r="E404">
        <f>1/(1+EXP(-MAX(-25,MIN(25,D404))))</f>
        <v/>
      </c>
      <c r="F404">
        <f>SUMPRODUCT(Risk_Inputs!B404:AJ404,Risk_Coefs!$B$3:$AJ$3)</f>
        <v/>
      </c>
      <c r="G404">
        <f>MAX(0,F404)</f>
        <v/>
      </c>
      <c r="H404">
        <f>(SUMPRODUCT(--ISNUMBER($E$2:$E$800),--($E$2:$E$800&lt;E404))+(SUMPRODUCT(--ISNUMBER($E$2:$E$800),--($E$2:$E$800=E404))+1)/2)/COUNT($E$2:$E$800)</f>
        <v/>
      </c>
      <c r="I404">
        <f>(SUMPRODUCT(--ISNUMBER($G$2:$G$800),--($G$2:$G$800&lt;G404))+(SUMPRODUCT(--ISNUMBER($G$2:$G$800),--($G$2:$G$800=G404))+1)/2)/COUNT($G$2:$G$800)</f>
        <v/>
      </c>
      <c r="J404" t="n">
        <v>3.601192155849432</v>
      </c>
      <c r="K404" t="n">
        <v>1.127089001165967</v>
      </c>
      <c r="L404" t="n">
        <v>0.1943256898562045</v>
      </c>
      <c r="M404">
        <f>IF(OR(B404="NW",COUNT(Risk_Rank_Keys!B404)=0),0.5,(SUMPRODUCT(--ISNUMBER(Risk_Rank_Keys!$B$2:$B$800),--(Risk_Rank_Keys!$B$2:$B$800&lt;Risk_Rank_Keys!B404))+(SUMPRODUCT(--ISNUMBER(Risk_Rank_Keys!$B$2:$B$800),--(Risk_Rank_Keys!$B$2:$B$800=Risk_Rank_Keys!B404))+1)/2)/COUNT(Risk_Rank_Keys!$B$2:$B$800))</f>
        <v/>
      </c>
      <c r="N404">
        <f>IF(OR(B404="NW",COUNT(Risk_Rank_Keys!C404)=0),0.5,(SUMPRODUCT(--ISNUMBER(Risk_Rank_Keys!$C$2:$C$800),--(Risk_Rank_Keys!$C$2:$C$800&lt;Risk_Rank_Keys!C404))+(SUMPRODUCT(--ISNUMBER(Risk_Rank_Keys!$C$2:$C$800),--(Risk_Rank_Keys!$C$2:$C$800=Risk_Rank_Keys!C404))+1)/2)/COUNT(Risk_Rank_Keys!$C$2:$C$800))</f>
        <v/>
      </c>
      <c r="O404">
        <f>IF(OR(B404="NW",COUNT(Risk_Rank_Keys!D404)=0),0.5,(SUMPRODUCT(--ISNUMBER(Risk_Rank_Keys!$D$2:$D$800),--(Risk_Rank_Keys!$D$2:$D$800&lt;Risk_Rank_Keys!D404))+(SUMPRODUCT(--ISNUMBER(Risk_Rank_Keys!$D$2:$D$800),--(Risk_Rank_Keys!$D$2:$D$800=Risk_Rank_Keys!D404))+1)/2)/COUNT(Risk_Rank_Keys!$D$2:$D$800))</f>
        <v/>
      </c>
      <c r="P404">
        <f>AVERAGE(M404:O404)</f>
        <v/>
      </c>
      <c r="Q404">
        <f>0.4*H404+0.4*I404+0.2*P404</f>
        <v/>
      </c>
      <c r="R404">
        <f>PERCENTILE($Q$2:$Q$800,0.75)</f>
        <v/>
      </c>
      <c r="S404">
        <f>OR(Q404&gt;=R404,AND(B404="CW",COUNT(J404:L404)&lt;3))</f>
        <v/>
      </c>
      <c r="T404" t="n">
        <v>0.2854597112743478</v>
      </c>
      <c r="U404" t="n">
        <v>4.763847683353382</v>
      </c>
      <c r="V404" t="n">
        <v>0.2658126237527267</v>
      </c>
      <c r="W404">
        <f>Q404-V404</f>
        <v/>
      </c>
    </row>
    <row r="405">
      <c r="A405" t="inlineStr">
        <is>
          <t>2023-06-12</t>
        </is>
      </c>
      <c r="B405" t="inlineStr">
        <is>
          <t>CW</t>
        </is>
      </c>
      <c r="C405" t="n">
        <v>5.939149809786519</v>
      </c>
      <c r="D405">
        <f>SUMPRODUCT(Risk_Inputs!B405:AJ405,Risk_Coefs!$B$2:$AJ$2)</f>
        <v/>
      </c>
      <c r="E405">
        <f>1/(1+EXP(-MAX(-25,MIN(25,D405))))</f>
        <v/>
      </c>
      <c r="F405">
        <f>SUMPRODUCT(Risk_Inputs!B405:AJ405,Risk_Coefs!$B$3:$AJ$3)</f>
        <v/>
      </c>
      <c r="G405">
        <f>MAX(0,F405)</f>
        <v/>
      </c>
      <c r="H405">
        <f>(SUMPRODUCT(--ISNUMBER($E$2:$E$800),--($E$2:$E$800&lt;E405))+(SUMPRODUCT(--ISNUMBER($E$2:$E$800),--($E$2:$E$800=E405))+1)/2)/COUNT($E$2:$E$800)</f>
        <v/>
      </c>
      <c r="I405">
        <f>(SUMPRODUCT(--ISNUMBER($G$2:$G$800),--($G$2:$G$800&lt;G405))+(SUMPRODUCT(--ISNUMBER($G$2:$G$800),--($G$2:$G$800=G405))+1)/2)/COUNT($G$2:$G$800)</f>
        <v/>
      </c>
      <c r="J405" t="n">
        <v>3.868690206570374</v>
      </c>
      <c r="K405" t="n">
        <v>1.328693451439414</v>
      </c>
      <c r="L405" t="n">
        <v>0.2214489085732416</v>
      </c>
      <c r="M405">
        <f>IF(OR(B405="NW",COUNT(Risk_Rank_Keys!B405)=0),0.5,(SUMPRODUCT(--ISNUMBER(Risk_Rank_Keys!$B$2:$B$800),--(Risk_Rank_Keys!$B$2:$B$800&lt;Risk_Rank_Keys!B405))+(SUMPRODUCT(--ISNUMBER(Risk_Rank_Keys!$B$2:$B$800),--(Risk_Rank_Keys!$B$2:$B$800=Risk_Rank_Keys!B405))+1)/2)/COUNT(Risk_Rank_Keys!$B$2:$B$800))</f>
        <v/>
      </c>
      <c r="N405">
        <f>IF(OR(B405="NW",COUNT(Risk_Rank_Keys!C405)=0),0.5,(SUMPRODUCT(--ISNUMBER(Risk_Rank_Keys!$C$2:$C$800),--(Risk_Rank_Keys!$C$2:$C$800&lt;Risk_Rank_Keys!C405))+(SUMPRODUCT(--ISNUMBER(Risk_Rank_Keys!$C$2:$C$800),--(Risk_Rank_Keys!$C$2:$C$800=Risk_Rank_Keys!C405))+1)/2)/COUNT(Risk_Rank_Keys!$C$2:$C$800))</f>
        <v/>
      </c>
      <c r="O405">
        <f>IF(OR(B405="NW",COUNT(Risk_Rank_Keys!D405)=0),0.5,(SUMPRODUCT(--ISNUMBER(Risk_Rank_Keys!$D$2:$D$800),--(Risk_Rank_Keys!$D$2:$D$800&lt;Risk_Rank_Keys!D405))+(SUMPRODUCT(--ISNUMBER(Risk_Rank_Keys!$D$2:$D$800),--(Risk_Rank_Keys!$D$2:$D$800=Risk_Rank_Keys!D405))+1)/2)/COUNT(Risk_Rank_Keys!$D$2:$D$800))</f>
        <v/>
      </c>
      <c r="P405">
        <f>AVERAGE(M405:O405)</f>
        <v/>
      </c>
      <c r="Q405">
        <f>0.4*H405+0.4*I405+0.2*P405</f>
        <v/>
      </c>
      <c r="R405">
        <f>PERCENTILE($Q$2:$Q$800,0.75)</f>
        <v/>
      </c>
      <c r="S405">
        <f>OR(Q405&gt;=R405,AND(B405="CW",COUNT(J405:L405)&lt;3))</f>
        <v/>
      </c>
      <c r="T405" t="n">
        <v>0.336440249831362</v>
      </c>
      <c r="U405" t="n">
        <v>7.501923057133444</v>
      </c>
      <c r="V405" t="n">
        <v>0.5390695831435041</v>
      </c>
      <c r="W405">
        <f>Q405-V405</f>
        <v/>
      </c>
    </row>
    <row r="406">
      <c r="A406" t="inlineStr">
        <is>
          <t>2023-06-13</t>
        </is>
      </c>
      <c r="B406" t="inlineStr">
        <is>
          <t>CW</t>
        </is>
      </c>
      <c r="C406" t="n">
        <v>13.33370279156273</v>
      </c>
      <c r="D406">
        <f>SUMPRODUCT(Risk_Inputs!B406:AJ406,Risk_Coefs!$B$2:$AJ$2)</f>
        <v/>
      </c>
      <c r="E406">
        <f>1/(1+EXP(-MAX(-25,MIN(25,D406))))</f>
        <v/>
      </c>
      <c r="F406">
        <f>SUMPRODUCT(Risk_Inputs!B406:AJ406,Risk_Coefs!$B$3:$AJ$3)</f>
        <v/>
      </c>
      <c r="G406">
        <f>MAX(0,F406)</f>
        <v/>
      </c>
      <c r="H406">
        <f>(SUMPRODUCT(--ISNUMBER($E$2:$E$800),--($E$2:$E$800&lt;E406))+(SUMPRODUCT(--ISNUMBER($E$2:$E$800),--($E$2:$E$800=E406))+1)/2)/COUNT($E$2:$E$800)</f>
        <v/>
      </c>
      <c r="I406">
        <f>(SUMPRODUCT(--ISNUMBER($G$2:$G$800),--($G$2:$G$800&lt;G406))+(SUMPRODUCT(--ISNUMBER($G$2:$G$800),--($G$2:$G$800=G406))+1)/2)/COUNT($G$2:$G$800)</f>
        <v/>
      </c>
      <c r="J406" t="n">
        <v>3.076527964303521</v>
      </c>
      <c r="K406" t="n">
        <v>1.196172248803828</v>
      </c>
      <c r="L406" t="n">
        <v>0.1993620414673046</v>
      </c>
      <c r="M406">
        <f>IF(OR(B406="NW",COUNT(Risk_Rank_Keys!B406)=0),0.5,(SUMPRODUCT(--ISNUMBER(Risk_Rank_Keys!$B$2:$B$800),--(Risk_Rank_Keys!$B$2:$B$800&lt;Risk_Rank_Keys!B406))+(SUMPRODUCT(--ISNUMBER(Risk_Rank_Keys!$B$2:$B$800),--(Risk_Rank_Keys!$B$2:$B$800=Risk_Rank_Keys!B406))+1)/2)/COUNT(Risk_Rank_Keys!$B$2:$B$800))</f>
        <v/>
      </c>
      <c r="N406">
        <f>IF(OR(B406="NW",COUNT(Risk_Rank_Keys!C406)=0),0.5,(SUMPRODUCT(--ISNUMBER(Risk_Rank_Keys!$C$2:$C$800),--(Risk_Rank_Keys!$C$2:$C$800&lt;Risk_Rank_Keys!C406))+(SUMPRODUCT(--ISNUMBER(Risk_Rank_Keys!$C$2:$C$800),--(Risk_Rank_Keys!$C$2:$C$800=Risk_Rank_Keys!C406))+1)/2)/COUNT(Risk_Rank_Keys!$C$2:$C$800))</f>
        <v/>
      </c>
      <c r="O406">
        <f>IF(OR(B406="NW",COUNT(Risk_Rank_Keys!D406)=0),0.5,(SUMPRODUCT(--ISNUMBER(Risk_Rank_Keys!$D$2:$D$800),--(Risk_Rank_Keys!$D$2:$D$800&lt;Risk_Rank_Keys!D406))+(SUMPRODUCT(--ISNUMBER(Risk_Rank_Keys!$D$2:$D$800),--(Risk_Rank_Keys!$D$2:$D$800=Risk_Rank_Keys!D406))+1)/2)/COUNT(Risk_Rank_Keys!$D$2:$D$800))</f>
        <v/>
      </c>
      <c r="P406">
        <f>AVERAGE(M406:O406)</f>
        <v/>
      </c>
      <c r="Q406">
        <f>0.4*H406+0.4*I406+0.2*P406</f>
        <v/>
      </c>
      <c r="R406">
        <f>PERCENTILE($Q$2:$Q$800,0.75)</f>
        <v/>
      </c>
      <c r="S406">
        <f>OR(Q406&gt;=R406,AND(B406="CW",COUNT(J406:L406)&lt;3))</f>
        <v/>
      </c>
      <c r="T406" t="n">
        <v>0.2915657462561518</v>
      </c>
      <c r="U406" t="n">
        <v>5.990267500962903</v>
      </c>
      <c r="V406" t="n">
        <v>0.3461417660034132</v>
      </c>
      <c r="W406">
        <f>Q406-V406</f>
        <v/>
      </c>
    </row>
    <row r="407">
      <c r="A407" t="inlineStr">
        <is>
          <t>2023-06-20</t>
        </is>
      </c>
      <c r="B407" t="inlineStr">
        <is>
          <t>CW</t>
        </is>
      </c>
      <c r="C407" t="n">
        <v>-9.897144469873924</v>
      </c>
      <c r="D407">
        <f>SUMPRODUCT(Risk_Inputs!B407:AJ407,Risk_Coefs!$B$2:$AJ$2)</f>
        <v/>
      </c>
      <c r="E407">
        <f>1/(1+EXP(-MAX(-25,MIN(25,D407))))</f>
        <v/>
      </c>
      <c r="F407">
        <f>SUMPRODUCT(Risk_Inputs!B407:AJ407,Risk_Coefs!$B$3:$AJ$3)</f>
        <v/>
      </c>
      <c r="G407">
        <f>MAX(0,F407)</f>
        <v/>
      </c>
      <c r="H407">
        <f>(SUMPRODUCT(--ISNUMBER($E$2:$E$800),--($E$2:$E$800&lt;E407))+(SUMPRODUCT(--ISNUMBER($E$2:$E$800),--($E$2:$E$800=E407))+1)/2)/COUNT($E$2:$E$800)</f>
        <v/>
      </c>
      <c r="I407">
        <f>(SUMPRODUCT(--ISNUMBER($G$2:$G$800),--($G$2:$G$800&lt;G407))+(SUMPRODUCT(--ISNUMBER($G$2:$G$800),--($G$2:$G$800=G407))+1)/2)/COUNT($G$2:$G$800)</f>
        <v/>
      </c>
      <c r="J407" t="n">
        <v>5.709422414550537</v>
      </c>
      <c r="K407" t="n">
        <v>1.608473911337766</v>
      </c>
      <c r="L407" t="n">
        <v>0.1176932130247089</v>
      </c>
      <c r="M407">
        <f>IF(OR(B407="NW",COUNT(Risk_Rank_Keys!B407)=0),0.5,(SUMPRODUCT(--ISNUMBER(Risk_Rank_Keys!$B$2:$B$800),--(Risk_Rank_Keys!$B$2:$B$800&lt;Risk_Rank_Keys!B407))+(SUMPRODUCT(--ISNUMBER(Risk_Rank_Keys!$B$2:$B$800),--(Risk_Rank_Keys!$B$2:$B$800=Risk_Rank_Keys!B407))+1)/2)/COUNT(Risk_Rank_Keys!$B$2:$B$800))</f>
        <v/>
      </c>
      <c r="N407">
        <f>IF(OR(B407="NW",COUNT(Risk_Rank_Keys!C407)=0),0.5,(SUMPRODUCT(--ISNUMBER(Risk_Rank_Keys!$C$2:$C$800),--(Risk_Rank_Keys!$C$2:$C$800&lt;Risk_Rank_Keys!C407))+(SUMPRODUCT(--ISNUMBER(Risk_Rank_Keys!$C$2:$C$800),--(Risk_Rank_Keys!$C$2:$C$800=Risk_Rank_Keys!C407))+1)/2)/COUNT(Risk_Rank_Keys!$C$2:$C$800))</f>
        <v/>
      </c>
      <c r="O407">
        <f>IF(OR(B407="NW",COUNT(Risk_Rank_Keys!D407)=0),0.5,(SUMPRODUCT(--ISNUMBER(Risk_Rank_Keys!$D$2:$D$800),--(Risk_Rank_Keys!$D$2:$D$800&lt;Risk_Rank_Keys!D407))+(SUMPRODUCT(--ISNUMBER(Risk_Rank_Keys!$D$2:$D$800),--(Risk_Rank_Keys!$D$2:$D$800=Risk_Rank_Keys!D407))+1)/2)/COUNT(Risk_Rank_Keys!$D$2:$D$800))</f>
        <v/>
      </c>
      <c r="P407">
        <f>AVERAGE(M407:O407)</f>
        <v/>
      </c>
      <c r="Q407">
        <f>0.4*H407+0.4*I407+0.2*P407</f>
        <v/>
      </c>
      <c r="R407">
        <f>PERCENTILE($Q$2:$Q$800,0.75)</f>
        <v/>
      </c>
      <c r="S407">
        <f>OR(Q407&gt;=R407,AND(B407="CW",COUNT(J407:L407)&lt;3))</f>
        <v/>
      </c>
      <c r="T407" t="n">
        <v>0.2927026666639703</v>
      </c>
      <c r="U407" t="n">
        <v>4.306879617603617</v>
      </c>
      <c r="V407" t="n">
        <v>0.2719346416865806</v>
      </c>
      <c r="W407">
        <f>Q407-V407</f>
        <v/>
      </c>
    </row>
    <row r="408">
      <c r="A408" t="inlineStr">
        <is>
          <t>2023-06-27</t>
        </is>
      </c>
      <c r="B408" t="inlineStr">
        <is>
          <t>CW</t>
        </is>
      </c>
      <c r="C408" t="n">
        <v>34.42892800016912</v>
      </c>
      <c r="D408">
        <f>SUMPRODUCT(Risk_Inputs!B408:AJ408,Risk_Coefs!$B$2:$AJ$2)</f>
        <v/>
      </c>
      <c r="E408">
        <f>1/(1+EXP(-MAX(-25,MIN(25,D408))))</f>
        <v/>
      </c>
      <c r="F408">
        <f>SUMPRODUCT(Risk_Inputs!B408:AJ408,Risk_Coefs!$B$3:$AJ$3)</f>
        <v/>
      </c>
      <c r="G408">
        <f>MAX(0,F408)</f>
        <v/>
      </c>
      <c r="H408">
        <f>(SUMPRODUCT(--ISNUMBER($E$2:$E$800),--($E$2:$E$800&lt;E408))+(SUMPRODUCT(--ISNUMBER($E$2:$E$800),--($E$2:$E$800=E408))+1)/2)/COUNT($E$2:$E$800)</f>
        <v/>
      </c>
      <c r="I408">
        <f>(SUMPRODUCT(--ISNUMBER($G$2:$G$800),--($G$2:$G$800&lt;G408))+(SUMPRODUCT(--ISNUMBER($G$2:$G$800),--($G$2:$G$800=G408))+1)/2)/COUNT($G$2:$G$800)</f>
        <v/>
      </c>
      <c r="J408" t="n">
        <v>2.559071909920281</v>
      </c>
      <c r="K408" t="n">
        <v>1.594827586206892</v>
      </c>
      <c r="L408" t="n">
        <v>0.2155172413793103</v>
      </c>
      <c r="M408">
        <f>IF(OR(B408="NW",COUNT(Risk_Rank_Keys!B408)=0),0.5,(SUMPRODUCT(--ISNUMBER(Risk_Rank_Keys!$B$2:$B$800),--(Risk_Rank_Keys!$B$2:$B$800&lt;Risk_Rank_Keys!B408))+(SUMPRODUCT(--ISNUMBER(Risk_Rank_Keys!$B$2:$B$800),--(Risk_Rank_Keys!$B$2:$B$800=Risk_Rank_Keys!B408))+1)/2)/COUNT(Risk_Rank_Keys!$B$2:$B$800))</f>
        <v/>
      </c>
      <c r="N408">
        <f>IF(OR(B408="NW",COUNT(Risk_Rank_Keys!C408)=0),0.5,(SUMPRODUCT(--ISNUMBER(Risk_Rank_Keys!$C$2:$C$800),--(Risk_Rank_Keys!$C$2:$C$800&lt;Risk_Rank_Keys!C408))+(SUMPRODUCT(--ISNUMBER(Risk_Rank_Keys!$C$2:$C$800),--(Risk_Rank_Keys!$C$2:$C$800=Risk_Rank_Keys!C408))+1)/2)/COUNT(Risk_Rank_Keys!$C$2:$C$800))</f>
        <v/>
      </c>
      <c r="O408">
        <f>IF(OR(B408="NW",COUNT(Risk_Rank_Keys!D408)=0),0.5,(SUMPRODUCT(--ISNUMBER(Risk_Rank_Keys!$D$2:$D$800),--(Risk_Rank_Keys!$D$2:$D$800&lt;Risk_Rank_Keys!D408))+(SUMPRODUCT(--ISNUMBER(Risk_Rank_Keys!$D$2:$D$800),--(Risk_Rank_Keys!$D$2:$D$800=Risk_Rank_Keys!D408))+1)/2)/COUNT(Risk_Rank_Keys!$D$2:$D$800))</f>
        <v/>
      </c>
      <c r="P408">
        <f>AVERAGE(M408:O408)</f>
        <v/>
      </c>
      <c r="Q408">
        <f>0.4*H408+0.4*I408+0.2*P408</f>
        <v/>
      </c>
      <c r="R408">
        <f>PERCENTILE($Q$2:$Q$800,0.75)</f>
        <v/>
      </c>
      <c r="S408">
        <f>OR(Q408&gt;=R408,AND(B408="CW",COUNT(J408:L408)&lt;3))</f>
        <v/>
      </c>
      <c r="T408" t="n">
        <v>0.2615373272041848</v>
      </c>
      <c r="U408" t="n">
        <v>4.880635874138911</v>
      </c>
      <c r="V408" t="n">
        <v>0.2232818917649852</v>
      </c>
      <c r="W408">
        <f>Q408-V408</f>
        <v/>
      </c>
    </row>
    <row r="409">
      <c r="A409" t="inlineStr">
        <is>
          <t>2023-06-30</t>
        </is>
      </c>
      <c r="B409" t="inlineStr">
        <is>
          <t>CW</t>
        </is>
      </c>
      <c r="C409" t="n">
        <v>3.778407321468327</v>
      </c>
      <c r="D409">
        <f>SUMPRODUCT(Risk_Inputs!B409:AJ409,Risk_Coefs!$B$2:$AJ$2)</f>
        <v/>
      </c>
      <c r="E409">
        <f>1/(1+EXP(-MAX(-25,MIN(25,D409))))</f>
        <v/>
      </c>
      <c r="F409">
        <f>SUMPRODUCT(Risk_Inputs!B409:AJ409,Risk_Coefs!$B$3:$AJ$3)</f>
        <v/>
      </c>
      <c r="G409">
        <f>MAX(0,F409)</f>
        <v/>
      </c>
      <c r="H409">
        <f>(SUMPRODUCT(--ISNUMBER($E$2:$E$800),--($E$2:$E$800&lt;E409))+(SUMPRODUCT(--ISNUMBER($E$2:$E$800),--($E$2:$E$800=E409))+1)/2)/COUNT($E$2:$E$800)</f>
        <v/>
      </c>
      <c r="I409">
        <f>(SUMPRODUCT(--ISNUMBER($G$2:$G$800),--($G$2:$G$800&lt;G409))+(SUMPRODUCT(--ISNUMBER($G$2:$G$800),--($G$2:$G$800=G409))+1)/2)/COUNT($G$2:$G$800)</f>
        <v/>
      </c>
      <c r="J409" t="n">
        <v>11.68616106988601</v>
      </c>
      <c r="K409" t="n">
        <v>1.601708489054992</v>
      </c>
      <c r="L409" t="n">
        <v>0.1067805659370009</v>
      </c>
      <c r="M409">
        <f>IF(OR(B409="NW",COUNT(Risk_Rank_Keys!B409)=0),0.5,(SUMPRODUCT(--ISNUMBER(Risk_Rank_Keys!$B$2:$B$800),--(Risk_Rank_Keys!$B$2:$B$800&lt;Risk_Rank_Keys!B409))+(SUMPRODUCT(--ISNUMBER(Risk_Rank_Keys!$B$2:$B$800),--(Risk_Rank_Keys!$B$2:$B$800=Risk_Rank_Keys!B409))+1)/2)/COUNT(Risk_Rank_Keys!$B$2:$B$800))</f>
        <v/>
      </c>
      <c r="N409">
        <f>IF(OR(B409="NW",COUNT(Risk_Rank_Keys!C409)=0),0.5,(SUMPRODUCT(--ISNUMBER(Risk_Rank_Keys!$C$2:$C$800),--(Risk_Rank_Keys!$C$2:$C$800&lt;Risk_Rank_Keys!C409))+(SUMPRODUCT(--ISNUMBER(Risk_Rank_Keys!$C$2:$C$800),--(Risk_Rank_Keys!$C$2:$C$800=Risk_Rank_Keys!C409))+1)/2)/COUNT(Risk_Rank_Keys!$C$2:$C$800))</f>
        <v/>
      </c>
      <c r="O409">
        <f>IF(OR(B409="NW",COUNT(Risk_Rank_Keys!D409)=0),0.5,(SUMPRODUCT(--ISNUMBER(Risk_Rank_Keys!$D$2:$D$800),--(Risk_Rank_Keys!$D$2:$D$800&lt;Risk_Rank_Keys!D409))+(SUMPRODUCT(--ISNUMBER(Risk_Rank_Keys!$D$2:$D$800),--(Risk_Rank_Keys!$D$2:$D$800=Risk_Rank_Keys!D409))+1)/2)/COUNT(Risk_Rank_Keys!$D$2:$D$800))</f>
        <v/>
      </c>
      <c r="P409">
        <f>AVERAGE(M409:O409)</f>
        <v/>
      </c>
      <c r="Q409">
        <f>0.4*H409+0.4*I409+0.2*P409</f>
        <v/>
      </c>
      <c r="R409">
        <f>PERCENTILE($Q$2:$Q$800,0.75)</f>
        <v/>
      </c>
      <c r="S409">
        <f>OR(Q409&gt;=R409,AND(B409="CW",COUNT(J409:L409)&lt;3))</f>
        <v/>
      </c>
      <c r="T409" t="n">
        <v>0.2573544583008653</v>
      </c>
      <c r="U409" t="n">
        <v>9.35660660673863</v>
      </c>
      <c r="V409" t="n">
        <v>0.4648418612526467</v>
      </c>
      <c r="W409">
        <f>Q409-V409</f>
        <v/>
      </c>
    </row>
    <row r="410">
      <c r="A410" t="inlineStr">
        <is>
          <t>2023-07-04</t>
        </is>
      </c>
      <c r="B410" t="inlineStr">
        <is>
          <t>CW</t>
        </is>
      </c>
      <c r="C410" t="n">
        <v>12.75048310388646</v>
      </c>
      <c r="D410">
        <f>SUMPRODUCT(Risk_Inputs!B410:AJ410,Risk_Coefs!$B$2:$AJ$2)</f>
        <v/>
      </c>
      <c r="E410">
        <f>1/(1+EXP(-MAX(-25,MIN(25,D410))))</f>
        <v/>
      </c>
      <c r="F410">
        <f>SUMPRODUCT(Risk_Inputs!B410:AJ410,Risk_Coefs!$B$3:$AJ$3)</f>
        <v/>
      </c>
      <c r="G410">
        <f>MAX(0,F410)</f>
        <v/>
      </c>
      <c r="H410">
        <f>(SUMPRODUCT(--ISNUMBER($E$2:$E$800),--($E$2:$E$800&lt;E410))+(SUMPRODUCT(--ISNUMBER($E$2:$E$800),--($E$2:$E$800=E410))+1)/2)/COUNT($E$2:$E$800)</f>
        <v/>
      </c>
      <c r="I410">
        <f>(SUMPRODUCT(--ISNUMBER($G$2:$G$800),--($G$2:$G$800&lt;G410))+(SUMPRODUCT(--ISNUMBER($G$2:$G$800),--($G$2:$G$800=G410))+1)/2)/COUNT($G$2:$G$800)</f>
        <v/>
      </c>
      <c r="J410" t="n">
        <v>10.13095483604754</v>
      </c>
      <c r="K410" t="n">
        <v>4.849965108164681</v>
      </c>
      <c r="L410" t="n">
        <v>0.2093510118632319</v>
      </c>
      <c r="M410">
        <f>IF(OR(B410="NW",COUNT(Risk_Rank_Keys!B410)=0),0.5,(SUMPRODUCT(--ISNUMBER(Risk_Rank_Keys!$B$2:$B$800),--(Risk_Rank_Keys!$B$2:$B$800&lt;Risk_Rank_Keys!B410))+(SUMPRODUCT(--ISNUMBER(Risk_Rank_Keys!$B$2:$B$800),--(Risk_Rank_Keys!$B$2:$B$800=Risk_Rank_Keys!B410))+1)/2)/COUNT(Risk_Rank_Keys!$B$2:$B$800))</f>
        <v/>
      </c>
      <c r="N410">
        <f>IF(OR(B410="NW",COUNT(Risk_Rank_Keys!C410)=0),0.5,(SUMPRODUCT(--ISNUMBER(Risk_Rank_Keys!$C$2:$C$800),--(Risk_Rank_Keys!$C$2:$C$800&lt;Risk_Rank_Keys!C410))+(SUMPRODUCT(--ISNUMBER(Risk_Rank_Keys!$C$2:$C$800),--(Risk_Rank_Keys!$C$2:$C$800=Risk_Rank_Keys!C410))+1)/2)/COUNT(Risk_Rank_Keys!$C$2:$C$800))</f>
        <v/>
      </c>
      <c r="O410">
        <f>IF(OR(B410="NW",COUNT(Risk_Rank_Keys!D410)=0),0.5,(SUMPRODUCT(--ISNUMBER(Risk_Rank_Keys!$D$2:$D$800),--(Risk_Rank_Keys!$D$2:$D$800&lt;Risk_Rank_Keys!D410))+(SUMPRODUCT(--ISNUMBER(Risk_Rank_Keys!$D$2:$D$800),--(Risk_Rank_Keys!$D$2:$D$800=Risk_Rank_Keys!D410))+1)/2)/COUNT(Risk_Rank_Keys!$D$2:$D$800))</f>
        <v/>
      </c>
      <c r="P410">
        <f>AVERAGE(M410:O410)</f>
        <v/>
      </c>
      <c r="Q410">
        <f>0.4*H410+0.4*I410+0.2*P410</f>
        <v/>
      </c>
      <c r="R410">
        <f>PERCENTILE($Q$2:$Q$800,0.75)</f>
        <v/>
      </c>
      <c r="S410">
        <f>OR(Q410&gt;=R410,AND(B410="CW",COUNT(J410:L410)&lt;3))</f>
        <v/>
      </c>
      <c r="T410" t="n">
        <v>0.2080802559352507</v>
      </c>
      <c r="U410" t="n">
        <v>5.551105953135409</v>
      </c>
      <c r="V410" t="n">
        <v>0.2340786280386513</v>
      </c>
      <c r="W410">
        <f>Q410-V410</f>
        <v/>
      </c>
    </row>
    <row r="411">
      <c r="A411" t="inlineStr">
        <is>
          <t>2023-07-07</t>
        </is>
      </c>
      <c r="B411" t="inlineStr">
        <is>
          <t>CW</t>
        </is>
      </c>
      <c r="C411" t="n">
        <v>24.30088731129125</v>
      </c>
      <c r="D411">
        <f>SUMPRODUCT(Risk_Inputs!B411:AJ411,Risk_Coefs!$B$2:$AJ$2)</f>
        <v/>
      </c>
      <c r="E411">
        <f>1/(1+EXP(-MAX(-25,MIN(25,D411))))</f>
        <v/>
      </c>
      <c r="F411">
        <f>SUMPRODUCT(Risk_Inputs!B411:AJ411,Risk_Coefs!$B$3:$AJ$3)</f>
        <v/>
      </c>
      <c r="G411">
        <f>MAX(0,F411)</f>
        <v/>
      </c>
      <c r="H411">
        <f>(SUMPRODUCT(--ISNUMBER($E$2:$E$800),--($E$2:$E$800&lt;E411))+(SUMPRODUCT(--ISNUMBER($E$2:$E$800),--($E$2:$E$800=E411))+1)/2)/COUNT($E$2:$E$800)</f>
        <v/>
      </c>
      <c r="I411">
        <f>(SUMPRODUCT(--ISNUMBER($G$2:$G$800),--($G$2:$G$800&lt;G411))+(SUMPRODUCT(--ISNUMBER($G$2:$G$800),--($G$2:$G$800=G411))+1)/2)/COUNT($G$2:$G$800)</f>
        <v/>
      </c>
      <c r="J411" t="n">
        <v>5.732780449930296</v>
      </c>
      <c r="K411" t="n">
        <v>2.508875739644962</v>
      </c>
      <c r="L411" t="n">
        <v>0.1656804733727784</v>
      </c>
      <c r="M411">
        <f>IF(OR(B411="NW",COUNT(Risk_Rank_Keys!B411)=0),0.5,(SUMPRODUCT(--ISNUMBER(Risk_Rank_Keys!$B$2:$B$800),--(Risk_Rank_Keys!$B$2:$B$800&lt;Risk_Rank_Keys!B411))+(SUMPRODUCT(--ISNUMBER(Risk_Rank_Keys!$B$2:$B$800),--(Risk_Rank_Keys!$B$2:$B$800=Risk_Rank_Keys!B411))+1)/2)/COUNT(Risk_Rank_Keys!$B$2:$B$800))</f>
        <v/>
      </c>
      <c r="N411">
        <f>IF(OR(B411="NW",COUNT(Risk_Rank_Keys!C411)=0),0.5,(SUMPRODUCT(--ISNUMBER(Risk_Rank_Keys!$C$2:$C$800),--(Risk_Rank_Keys!$C$2:$C$800&lt;Risk_Rank_Keys!C411))+(SUMPRODUCT(--ISNUMBER(Risk_Rank_Keys!$C$2:$C$800),--(Risk_Rank_Keys!$C$2:$C$800=Risk_Rank_Keys!C411))+1)/2)/COUNT(Risk_Rank_Keys!$C$2:$C$800))</f>
        <v/>
      </c>
      <c r="O411">
        <f>IF(OR(B411="NW",COUNT(Risk_Rank_Keys!D411)=0),0.5,(SUMPRODUCT(--ISNUMBER(Risk_Rank_Keys!$D$2:$D$800),--(Risk_Rank_Keys!$D$2:$D$800&lt;Risk_Rank_Keys!D411))+(SUMPRODUCT(--ISNUMBER(Risk_Rank_Keys!$D$2:$D$800),--(Risk_Rank_Keys!$D$2:$D$800=Risk_Rank_Keys!D411))+1)/2)/COUNT(Risk_Rank_Keys!$D$2:$D$800))</f>
        <v/>
      </c>
      <c r="P411">
        <f>AVERAGE(M411:O411)</f>
        <v/>
      </c>
      <c r="Q411">
        <f>0.4*H411+0.4*I411+0.2*P411</f>
        <v/>
      </c>
      <c r="R411">
        <f>PERCENTILE($Q$2:$Q$800,0.75)</f>
        <v/>
      </c>
      <c r="S411">
        <f>OR(Q411&gt;=R411,AND(B411="CW",COUNT(J411:L411)&lt;3))</f>
        <v/>
      </c>
      <c r="T411" t="n">
        <v>0.2379573426647537</v>
      </c>
      <c r="U411" t="n">
        <v>6.561381058674228</v>
      </c>
      <c r="V411" t="n">
        <v>0.2765635100593548</v>
      </c>
      <c r="W411">
        <f>Q411-V411</f>
        <v/>
      </c>
    </row>
    <row r="412">
      <c r="A412" t="inlineStr">
        <is>
          <t>2023-07-18</t>
        </is>
      </c>
      <c r="B412" t="inlineStr">
        <is>
          <t>CW</t>
        </is>
      </c>
      <c r="C412" t="n">
        <v>26.68971372063338</v>
      </c>
      <c r="D412">
        <f>SUMPRODUCT(Risk_Inputs!B412:AJ412,Risk_Coefs!$B$2:$AJ$2)</f>
        <v/>
      </c>
      <c r="E412">
        <f>1/(1+EXP(-MAX(-25,MIN(25,D412))))</f>
        <v/>
      </c>
      <c r="F412">
        <f>SUMPRODUCT(Risk_Inputs!B412:AJ412,Risk_Coefs!$B$3:$AJ$3)</f>
        <v/>
      </c>
      <c r="G412">
        <f>MAX(0,F412)</f>
        <v/>
      </c>
      <c r="H412">
        <f>(SUMPRODUCT(--ISNUMBER($E$2:$E$800),--($E$2:$E$800&lt;E412))+(SUMPRODUCT(--ISNUMBER($E$2:$E$800),--($E$2:$E$800=E412))+1)/2)/COUNT($E$2:$E$800)</f>
        <v/>
      </c>
      <c r="I412">
        <f>(SUMPRODUCT(--ISNUMBER($G$2:$G$800),--($G$2:$G$800&lt;G412))+(SUMPRODUCT(--ISNUMBER($G$2:$G$800),--($G$2:$G$800=G412))+1)/2)/COUNT($G$2:$G$800)</f>
        <v/>
      </c>
      <c r="J412" t="n">
        <v>5.309989607591769</v>
      </c>
      <c r="K412" t="n">
        <v>4.263683096462056</v>
      </c>
      <c r="L412" t="n">
        <v>0.1511944360447621</v>
      </c>
      <c r="M412">
        <f>IF(OR(B412="NW",COUNT(Risk_Rank_Keys!B412)=0),0.5,(SUMPRODUCT(--ISNUMBER(Risk_Rank_Keys!$B$2:$B$800),--(Risk_Rank_Keys!$B$2:$B$800&lt;Risk_Rank_Keys!B412))+(SUMPRODUCT(--ISNUMBER(Risk_Rank_Keys!$B$2:$B$800),--(Risk_Rank_Keys!$B$2:$B$800=Risk_Rank_Keys!B412))+1)/2)/COUNT(Risk_Rank_Keys!$B$2:$B$800))</f>
        <v/>
      </c>
      <c r="N412">
        <f>IF(OR(B412="NW",COUNT(Risk_Rank_Keys!C412)=0),0.5,(SUMPRODUCT(--ISNUMBER(Risk_Rank_Keys!$C$2:$C$800),--(Risk_Rank_Keys!$C$2:$C$800&lt;Risk_Rank_Keys!C412))+(SUMPRODUCT(--ISNUMBER(Risk_Rank_Keys!$C$2:$C$800),--(Risk_Rank_Keys!$C$2:$C$800=Risk_Rank_Keys!C412))+1)/2)/COUNT(Risk_Rank_Keys!$C$2:$C$800))</f>
        <v/>
      </c>
      <c r="O412">
        <f>IF(OR(B412="NW",COUNT(Risk_Rank_Keys!D412)=0),0.5,(SUMPRODUCT(--ISNUMBER(Risk_Rank_Keys!$D$2:$D$800),--(Risk_Rank_Keys!$D$2:$D$800&lt;Risk_Rank_Keys!D412))+(SUMPRODUCT(--ISNUMBER(Risk_Rank_Keys!$D$2:$D$800),--(Risk_Rank_Keys!$D$2:$D$800=Risk_Rank_Keys!D412))+1)/2)/COUNT(Risk_Rank_Keys!$D$2:$D$800))</f>
        <v/>
      </c>
      <c r="P412">
        <f>AVERAGE(M412:O412)</f>
        <v/>
      </c>
      <c r="Q412">
        <f>0.4*H412+0.4*I412+0.2*P412</f>
        <v/>
      </c>
      <c r="R412">
        <f>PERCENTILE($Q$2:$Q$800,0.75)</f>
        <v/>
      </c>
      <c r="S412">
        <f>OR(Q412&gt;=R412,AND(B412="CW",COUNT(J412:L412)&lt;3))</f>
        <v/>
      </c>
      <c r="T412" t="n">
        <v>0.28446374372824</v>
      </c>
      <c r="U412" t="n">
        <v>8.734560280104185</v>
      </c>
      <c r="V412" t="n">
        <v>0.5079176725439576</v>
      </c>
      <c r="W412">
        <f>Q412-V412</f>
        <v/>
      </c>
    </row>
    <row r="413">
      <c r="A413" t="inlineStr">
        <is>
          <t>2023-07-25</t>
        </is>
      </c>
      <c r="B413" t="inlineStr">
        <is>
          <t>CW</t>
        </is>
      </c>
      <c r="C413" t="n">
        <v>16.68399818617221</v>
      </c>
      <c r="D413">
        <f>SUMPRODUCT(Risk_Inputs!B413:AJ413,Risk_Coefs!$B$2:$AJ$2)</f>
        <v/>
      </c>
      <c r="E413">
        <f>1/(1+EXP(-MAX(-25,MIN(25,D413))))</f>
        <v/>
      </c>
      <c r="F413">
        <f>SUMPRODUCT(Risk_Inputs!B413:AJ413,Risk_Coefs!$B$3:$AJ$3)</f>
        <v/>
      </c>
      <c r="G413">
        <f>MAX(0,F413)</f>
        <v/>
      </c>
      <c r="H413">
        <f>(SUMPRODUCT(--ISNUMBER($E$2:$E$800),--($E$2:$E$800&lt;E413))+(SUMPRODUCT(--ISNUMBER($E$2:$E$800),--($E$2:$E$800=E413))+1)/2)/COUNT($E$2:$E$800)</f>
        <v/>
      </c>
      <c r="I413">
        <f>(SUMPRODUCT(--ISNUMBER($G$2:$G$800),--($G$2:$G$800&lt;G413))+(SUMPRODUCT(--ISNUMBER($G$2:$G$800),--($G$2:$G$800=G413))+1)/2)/COUNT($G$2:$G$800)</f>
        <v/>
      </c>
      <c r="J413" t="n">
        <v>3.475701800006873</v>
      </c>
      <c r="K413" t="n">
        <v>2.032884902840064</v>
      </c>
      <c r="L413" t="n">
        <v>0.2391629297458843</v>
      </c>
      <c r="M413">
        <f>IF(OR(B413="NW",COUNT(Risk_Rank_Keys!B413)=0),0.5,(SUMPRODUCT(--ISNUMBER(Risk_Rank_Keys!$B$2:$B$800),--(Risk_Rank_Keys!$B$2:$B$800&lt;Risk_Rank_Keys!B413))+(SUMPRODUCT(--ISNUMBER(Risk_Rank_Keys!$B$2:$B$800),--(Risk_Rank_Keys!$B$2:$B$800=Risk_Rank_Keys!B413))+1)/2)/COUNT(Risk_Rank_Keys!$B$2:$B$800))</f>
        <v/>
      </c>
      <c r="N413">
        <f>IF(OR(B413="NW",COUNT(Risk_Rank_Keys!C413)=0),0.5,(SUMPRODUCT(--ISNUMBER(Risk_Rank_Keys!$C$2:$C$800),--(Risk_Rank_Keys!$C$2:$C$800&lt;Risk_Rank_Keys!C413))+(SUMPRODUCT(--ISNUMBER(Risk_Rank_Keys!$C$2:$C$800),--(Risk_Rank_Keys!$C$2:$C$800=Risk_Rank_Keys!C413))+1)/2)/COUNT(Risk_Rank_Keys!$C$2:$C$800))</f>
        <v/>
      </c>
      <c r="O413">
        <f>IF(OR(B413="NW",COUNT(Risk_Rank_Keys!D413)=0),0.5,(SUMPRODUCT(--ISNUMBER(Risk_Rank_Keys!$D$2:$D$800),--(Risk_Rank_Keys!$D$2:$D$800&lt;Risk_Rank_Keys!D413))+(SUMPRODUCT(--ISNUMBER(Risk_Rank_Keys!$D$2:$D$800),--(Risk_Rank_Keys!$D$2:$D$800=Risk_Rank_Keys!D413))+1)/2)/COUNT(Risk_Rank_Keys!$D$2:$D$800))</f>
        <v/>
      </c>
      <c r="P413">
        <f>AVERAGE(M413:O413)</f>
        <v/>
      </c>
      <c r="Q413">
        <f>0.4*H413+0.4*I413+0.2*P413</f>
        <v/>
      </c>
      <c r="R413">
        <f>PERCENTILE($Q$2:$Q$800,0.75)</f>
        <v/>
      </c>
      <c r="S413">
        <f>OR(Q413&gt;=R413,AND(B413="CW",COUNT(J413:L413)&lt;3))</f>
        <v/>
      </c>
      <c r="T413" t="n">
        <v>0.2908874781070587</v>
      </c>
      <c r="U413" t="n">
        <v>5.758443525541293</v>
      </c>
      <c r="V413" t="n">
        <v>0.3620638070949915</v>
      </c>
      <c r="W413">
        <f>Q413-V413</f>
        <v/>
      </c>
    </row>
    <row r="414">
      <c r="A414" t="inlineStr">
        <is>
          <t>2023-07-28</t>
        </is>
      </c>
      <c r="B414" t="inlineStr">
        <is>
          <t>CW</t>
        </is>
      </c>
      <c r="C414" t="n">
        <v>26.01863409393171</v>
      </c>
      <c r="D414">
        <f>SUMPRODUCT(Risk_Inputs!B414:AJ414,Risk_Coefs!$B$2:$AJ$2)</f>
        <v/>
      </c>
      <c r="E414">
        <f>1/(1+EXP(-MAX(-25,MIN(25,D414))))</f>
        <v/>
      </c>
      <c r="F414">
        <f>SUMPRODUCT(Risk_Inputs!B414:AJ414,Risk_Coefs!$B$3:$AJ$3)</f>
        <v/>
      </c>
      <c r="G414">
        <f>MAX(0,F414)</f>
        <v/>
      </c>
      <c r="H414">
        <f>(SUMPRODUCT(--ISNUMBER($E$2:$E$800),--($E$2:$E$800&lt;E414))+(SUMPRODUCT(--ISNUMBER($E$2:$E$800),--($E$2:$E$800=E414))+1)/2)/COUNT($E$2:$E$800)</f>
        <v/>
      </c>
      <c r="I414">
        <f>(SUMPRODUCT(--ISNUMBER($G$2:$G$800),--($G$2:$G$800&lt;G414))+(SUMPRODUCT(--ISNUMBER($G$2:$G$800),--($G$2:$G$800=G414))+1)/2)/COUNT($G$2:$G$800)</f>
        <v/>
      </c>
      <c r="J414" t="n">
        <v>5.517669255139337</v>
      </c>
      <c r="K414" t="n">
        <v>1.294277929155324</v>
      </c>
      <c r="L414" t="n">
        <v>0.2497729336966381</v>
      </c>
      <c r="M414">
        <f>IF(OR(B414="NW",COUNT(Risk_Rank_Keys!B414)=0),0.5,(SUMPRODUCT(--ISNUMBER(Risk_Rank_Keys!$B$2:$B$800),--(Risk_Rank_Keys!$B$2:$B$800&lt;Risk_Rank_Keys!B414))+(SUMPRODUCT(--ISNUMBER(Risk_Rank_Keys!$B$2:$B$800),--(Risk_Rank_Keys!$B$2:$B$800=Risk_Rank_Keys!B414))+1)/2)/COUNT(Risk_Rank_Keys!$B$2:$B$800))</f>
        <v/>
      </c>
      <c r="N414">
        <f>IF(OR(B414="NW",COUNT(Risk_Rank_Keys!C414)=0),0.5,(SUMPRODUCT(--ISNUMBER(Risk_Rank_Keys!$C$2:$C$800),--(Risk_Rank_Keys!$C$2:$C$800&lt;Risk_Rank_Keys!C414))+(SUMPRODUCT(--ISNUMBER(Risk_Rank_Keys!$C$2:$C$800),--(Risk_Rank_Keys!$C$2:$C$800=Risk_Rank_Keys!C414))+1)/2)/COUNT(Risk_Rank_Keys!$C$2:$C$800))</f>
        <v/>
      </c>
      <c r="O414">
        <f>IF(OR(B414="NW",COUNT(Risk_Rank_Keys!D414)=0),0.5,(SUMPRODUCT(--ISNUMBER(Risk_Rank_Keys!$D$2:$D$800),--(Risk_Rank_Keys!$D$2:$D$800&lt;Risk_Rank_Keys!D414))+(SUMPRODUCT(--ISNUMBER(Risk_Rank_Keys!$D$2:$D$800),--(Risk_Rank_Keys!$D$2:$D$800=Risk_Rank_Keys!D414))+1)/2)/COUNT(Risk_Rank_Keys!$D$2:$D$800))</f>
        <v/>
      </c>
      <c r="P414">
        <f>AVERAGE(M414:O414)</f>
        <v/>
      </c>
      <c r="Q414">
        <f>0.4*H414+0.4*I414+0.2*P414</f>
        <v/>
      </c>
      <c r="R414">
        <f>PERCENTILE($Q$2:$Q$800,0.75)</f>
        <v/>
      </c>
      <c r="S414">
        <f>OR(Q414&gt;=R414,AND(B414="CW",COUNT(J414:L414)&lt;3))</f>
        <v/>
      </c>
      <c r="T414" t="n">
        <v>0.2407076193618031</v>
      </c>
      <c r="U414" t="n">
        <v>4.651241799158123</v>
      </c>
      <c r="V414" t="n">
        <v>0.1873238805596722</v>
      </c>
      <c r="W414">
        <f>Q414-V414</f>
        <v/>
      </c>
    </row>
    <row r="415">
      <c r="A415" t="inlineStr">
        <is>
          <t>2023-08-01</t>
        </is>
      </c>
      <c r="B415" t="inlineStr">
        <is>
          <t>CW</t>
        </is>
      </c>
      <c r="C415" t="n">
        <v>20.30550568683415</v>
      </c>
      <c r="D415">
        <f>SUMPRODUCT(Risk_Inputs!B415:AJ415,Risk_Coefs!$B$2:$AJ$2)</f>
        <v/>
      </c>
      <c r="E415">
        <f>1/(1+EXP(-MAX(-25,MIN(25,D415))))</f>
        <v/>
      </c>
      <c r="F415">
        <f>SUMPRODUCT(Risk_Inputs!B415:AJ415,Risk_Coefs!$B$3:$AJ$3)</f>
        <v/>
      </c>
      <c r="G415">
        <f>MAX(0,F415)</f>
        <v/>
      </c>
      <c r="H415">
        <f>(SUMPRODUCT(--ISNUMBER($E$2:$E$800),--($E$2:$E$800&lt;E415))+(SUMPRODUCT(--ISNUMBER($E$2:$E$800),--($E$2:$E$800=E415))+1)/2)/COUNT($E$2:$E$800)</f>
        <v/>
      </c>
      <c r="I415">
        <f>(SUMPRODUCT(--ISNUMBER($G$2:$G$800),--($G$2:$G$800&lt;G415))+(SUMPRODUCT(--ISNUMBER($G$2:$G$800),--($G$2:$G$800=G415))+1)/2)/COUNT($G$2:$G$800)</f>
        <v/>
      </c>
      <c r="J415" t="n">
        <v>4.578314472028224</v>
      </c>
      <c r="K415" t="n">
        <v>1.038781163434903</v>
      </c>
      <c r="L415" t="n">
        <v>0.2077562326869835</v>
      </c>
      <c r="M415">
        <f>IF(OR(B415="NW",COUNT(Risk_Rank_Keys!B415)=0),0.5,(SUMPRODUCT(--ISNUMBER(Risk_Rank_Keys!$B$2:$B$800),--(Risk_Rank_Keys!$B$2:$B$800&lt;Risk_Rank_Keys!B415))+(SUMPRODUCT(--ISNUMBER(Risk_Rank_Keys!$B$2:$B$800),--(Risk_Rank_Keys!$B$2:$B$800=Risk_Rank_Keys!B415))+1)/2)/COUNT(Risk_Rank_Keys!$B$2:$B$800))</f>
        <v/>
      </c>
      <c r="N415">
        <f>IF(OR(B415="NW",COUNT(Risk_Rank_Keys!C415)=0),0.5,(SUMPRODUCT(--ISNUMBER(Risk_Rank_Keys!$C$2:$C$800),--(Risk_Rank_Keys!$C$2:$C$800&lt;Risk_Rank_Keys!C415))+(SUMPRODUCT(--ISNUMBER(Risk_Rank_Keys!$C$2:$C$800),--(Risk_Rank_Keys!$C$2:$C$800=Risk_Rank_Keys!C415))+1)/2)/COUNT(Risk_Rank_Keys!$C$2:$C$800))</f>
        <v/>
      </c>
      <c r="O415">
        <f>IF(OR(B415="NW",COUNT(Risk_Rank_Keys!D415)=0),0.5,(SUMPRODUCT(--ISNUMBER(Risk_Rank_Keys!$D$2:$D$800),--(Risk_Rank_Keys!$D$2:$D$800&lt;Risk_Rank_Keys!D415))+(SUMPRODUCT(--ISNUMBER(Risk_Rank_Keys!$D$2:$D$800),--(Risk_Rank_Keys!$D$2:$D$800=Risk_Rank_Keys!D415))+1)/2)/COUNT(Risk_Rank_Keys!$D$2:$D$800))</f>
        <v/>
      </c>
      <c r="P415">
        <f>AVERAGE(M415:O415)</f>
        <v/>
      </c>
      <c r="Q415">
        <f>0.4*H415+0.4*I415+0.2*P415</f>
        <v/>
      </c>
      <c r="R415">
        <f>PERCENTILE($Q$2:$Q$800,0.75)</f>
        <v/>
      </c>
      <c r="S415">
        <f>OR(Q415&gt;=R415,AND(B415="CW",COUNT(J415:L415)&lt;3))</f>
        <v/>
      </c>
      <c r="T415" t="n">
        <v>0.2727996589071274</v>
      </c>
      <c r="U415" t="n">
        <v>6.265906556335319</v>
      </c>
      <c r="V415" t="n">
        <v>0.3189582049621534</v>
      </c>
      <c r="W415">
        <f>Q415-V415</f>
        <v/>
      </c>
    </row>
    <row r="416">
      <c r="A416" t="inlineStr">
        <is>
          <t>2023-08-02</t>
        </is>
      </c>
      <c r="B416" t="inlineStr">
        <is>
          <t>CW</t>
        </is>
      </c>
      <c r="C416" t="n">
        <v>4.4025439655117</v>
      </c>
      <c r="D416">
        <f>SUMPRODUCT(Risk_Inputs!B416:AJ416,Risk_Coefs!$B$2:$AJ$2)</f>
        <v/>
      </c>
      <c r="E416">
        <f>1/(1+EXP(-MAX(-25,MIN(25,D416))))</f>
        <v/>
      </c>
      <c r="F416">
        <f>SUMPRODUCT(Risk_Inputs!B416:AJ416,Risk_Coefs!$B$3:$AJ$3)</f>
        <v/>
      </c>
      <c r="G416">
        <f>MAX(0,F416)</f>
        <v/>
      </c>
      <c r="H416">
        <f>(SUMPRODUCT(--ISNUMBER($E$2:$E$800),--($E$2:$E$800&lt;E416))+(SUMPRODUCT(--ISNUMBER($E$2:$E$800),--($E$2:$E$800=E416))+1)/2)/COUNT($E$2:$E$800)</f>
        <v/>
      </c>
      <c r="I416">
        <f>(SUMPRODUCT(--ISNUMBER($G$2:$G$800),--($G$2:$G$800&lt;G416))+(SUMPRODUCT(--ISNUMBER($G$2:$G$800),--($G$2:$G$800=G416))+1)/2)/COUNT($G$2:$G$800)</f>
        <v/>
      </c>
      <c r="J416" t="n">
        <v>5.31985636387892</v>
      </c>
      <c r="K416" t="n">
        <v>3.702290076335895</v>
      </c>
      <c r="L416" t="n">
        <v>0.2290076335877949</v>
      </c>
      <c r="M416">
        <f>IF(OR(B416="NW",COUNT(Risk_Rank_Keys!B416)=0),0.5,(SUMPRODUCT(--ISNUMBER(Risk_Rank_Keys!$B$2:$B$800),--(Risk_Rank_Keys!$B$2:$B$800&lt;Risk_Rank_Keys!B416))+(SUMPRODUCT(--ISNUMBER(Risk_Rank_Keys!$B$2:$B$800),--(Risk_Rank_Keys!$B$2:$B$800=Risk_Rank_Keys!B416))+1)/2)/COUNT(Risk_Rank_Keys!$B$2:$B$800))</f>
        <v/>
      </c>
      <c r="N416">
        <f>IF(OR(B416="NW",COUNT(Risk_Rank_Keys!C416)=0),0.5,(SUMPRODUCT(--ISNUMBER(Risk_Rank_Keys!$C$2:$C$800),--(Risk_Rank_Keys!$C$2:$C$800&lt;Risk_Rank_Keys!C416))+(SUMPRODUCT(--ISNUMBER(Risk_Rank_Keys!$C$2:$C$800),--(Risk_Rank_Keys!$C$2:$C$800=Risk_Rank_Keys!C416))+1)/2)/COUNT(Risk_Rank_Keys!$C$2:$C$800))</f>
        <v/>
      </c>
      <c r="O416">
        <f>IF(OR(B416="NW",COUNT(Risk_Rank_Keys!D416)=0),0.5,(SUMPRODUCT(--ISNUMBER(Risk_Rank_Keys!$D$2:$D$800),--(Risk_Rank_Keys!$D$2:$D$800&lt;Risk_Rank_Keys!D416))+(SUMPRODUCT(--ISNUMBER(Risk_Rank_Keys!$D$2:$D$800),--(Risk_Rank_Keys!$D$2:$D$800=Risk_Rank_Keys!D416))+1)/2)/COUNT(Risk_Rank_Keys!$D$2:$D$800))</f>
        <v/>
      </c>
      <c r="P416">
        <f>AVERAGE(M416:O416)</f>
        <v/>
      </c>
      <c r="Q416">
        <f>0.4*H416+0.4*I416+0.2*P416</f>
        <v/>
      </c>
      <c r="R416">
        <f>PERCENTILE($Q$2:$Q$800,0.75)</f>
        <v/>
      </c>
      <c r="S416">
        <f>OR(Q416&gt;=R416,AND(B416="CW",COUNT(J416:L416)&lt;3))</f>
        <v/>
      </c>
      <c r="T416" t="n">
        <v>0.3806539130865745</v>
      </c>
      <c r="U416" t="n">
        <v>11.02409131354148</v>
      </c>
      <c r="V416" t="n">
        <v>0.7927252161436105</v>
      </c>
      <c r="W416">
        <f>Q416-V416</f>
        <v/>
      </c>
    </row>
    <row r="417">
      <c r="A417" t="inlineStr">
        <is>
          <t>2023-08-03</t>
        </is>
      </c>
      <c r="B417" t="inlineStr">
        <is>
          <t>NW</t>
        </is>
      </c>
      <c r="C417" t="n">
        <v>9.964276128117328</v>
      </c>
      <c r="D417">
        <f>SUMPRODUCT(Risk_Inputs!B417:AJ417,Risk_Coefs!$B$2:$AJ$2)</f>
        <v/>
      </c>
      <c r="E417">
        <f>1/(1+EXP(-MAX(-25,MIN(25,D417))))</f>
        <v/>
      </c>
      <c r="F417">
        <f>SUMPRODUCT(Risk_Inputs!B417:AJ417,Risk_Coefs!$B$3:$AJ$3)</f>
        <v/>
      </c>
      <c r="G417">
        <f>MAX(0,F417)</f>
        <v/>
      </c>
      <c r="H417">
        <f>(SUMPRODUCT(--ISNUMBER($E$2:$E$800),--($E$2:$E$800&lt;E417))+(SUMPRODUCT(--ISNUMBER($E$2:$E$800),--($E$2:$E$800=E417))+1)/2)/COUNT($E$2:$E$800)</f>
        <v/>
      </c>
      <c r="I417">
        <f>(SUMPRODUCT(--ISNUMBER($G$2:$G$800),--($G$2:$G$800&lt;G417))+(SUMPRODUCT(--ISNUMBER($G$2:$G$800),--($G$2:$G$800=G417))+1)/2)/COUNT($G$2:$G$800)</f>
        <v/>
      </c>
      <c r="M417">
        <f>IF(OR(B417="NW",COUNT(Risk_Rank_Keys!B417)=0),0.5,(SUMPRODUCT(--ISNUMBER(Risk_Rank_Keys!$B$2:$B$800),--(Risk_Rank_Keys!$B$2:$B$800&lt;Risk_Rank_Keys!B417))+(SUMPRODUCT(--ISNUMBER(Risk_Rank_Keys!$B$2:$B$800),--(Risk_Rank_Keys!$B$2:$B$800=Risk_Rank_Keys!B417))+1)/2)/COUNT(Risk_Rank_Keys!$B$2:$B$800))</f>
        <v/>
      </c>
      <c r="N417">
        <f>IF(OR(B417="NW",COUNT(Risk_Rank_Keys!C417)=0),0.5,(SUMPRODUCT(--ISNUMBER(Risk_Rank_Keys!$C$2:$C$800),--(Risk_Rank_Keys!$C$2:$C$800&lt;Risk_Rank_Keys!C417))+(SUMPRODUCT(--ISNUMBER(Risk_Rank_Keys!$C$2:$C$800),--(Risk_Rank_Keys!$C$2:$C$800=Risk_Rank_Keys!C417))+1)/2)/COUNT(Risk_Rank_Keys!$C$2:$C$800))</f>
        <v/>
      </c>
      <c r="O417">
        <f>IF(OR(B417="NW",COUNT(Risk_Rank_Keys!D417)=0),0.5,(SUMPRODUCT(--ISNUMBER(Risk_Rank_Keys!$D$2:$D$800),--(Risk_Rank_Keys!$D$2:$D$800&lt;Risk_Rank_Keys!D417))+(SUMPRODUCT(--ISNUMBER(Risk_Rank_Keys!$D$2:$D$800),--(Risk_Rank_Keys!$D$2:$D$800=Risk_Rank_Keys!D417))+1)/2)/COUNT(Risk_Rank_Keys!$D$2:$D$800))</f>
        <v/>
      </c>
      <c r="P417">
        <f>AVERAGE(M417:O417)</f>
        <v/>
      </c>
      <c r="Q417">
        <f>0.4*H417+0.4*I417+0.2*P417</f>
        <v/>
      </c>
      <c r="R417">
        <f>PERCENTILE($Q$2:$Q$800,0.75)</f>
        <v/>
      </c>
      <c r="S417">
        <f>OR(Q417&gt;=R417,AND(B417="CW",COUNT(J417:L417)&lt;3))</f>
        <v/>
      </c>
      <c r="T417" t="n">
        <v>0.3427546768642374</v>
      </c>
      <c r="U417" t="n">
        <v>9.75827320290238</v>
      </c>
      <c r="V417" t="n">
        <v>0.7217772215269087</v>
      </c>
      <c r="W417">
        <f>Q417-V417</f>
        <v/>
      </c>
    </row>
    <row r="418">
      <c r="A418" t="inlineStr">
        <is>
          <t>2023-08-08</t>
        </is>
      </c>
      <c r="B418" t="inlineStr">
        <is>
          <t>CW</t>
        </is>
      </c>
      <c r="C418" t="n">
        <v>13.54429558123556</v>
      </c>
      <c r="D418">
        <f>SUMPRODUCT(Risk_Inputs!B418:AJ418,Risk_Coefs!$B$2:$AJ$2)</f>
        <v/>
      </c>
      <c r="E418">
        <f>1/(1+EXP(-MAX(-25,MIN(25,D418))))</f>
        <v/>
      </c>
      <c r="F418">
        <f>SUMPRODUCT(Risk_Inputs!B418:AJ418,Risk_Coefs!$B$3:$AJ$3)</f>
        <v/>
      </c>
      <c r="G418">
        <f>MAX(0,F418)</f>
        <v/>
      </c>
      <c r="H418">
        <f>(SUMPRODUCT(--ISNUMBER($E$2:$E$800),--($E$2:$E$800&lt;E418))+(SUMPRODUCT(--ISNUMBER($E$2:$E$800),--($E$2:$E$800=E418))+1)/2)/COUNT($E$2:$E$800)</f>
        <v/>
      </c>
      <c r="I418">
        <f>(SUMPRODUCT(--ISNUMBER($G$2:$G$800),--($G$2:$G$800&lt;G418))+(SUMPRODUCT(--ISNUMBER($G$2:$G$800),--($G$2:$G$800=G418))+1)/2)/COUNT($G$2:$G$800)</f>
        <v/>
      </c>
      <c r="J418" t="n">
        <v>2.9061763896097</v>
      </c>
      <c r="K418" t="n">
        <v>1.118881118881115</v>
      </c>
      <c r="L418" t="n">
        <v>0.1748251748251748</v>
      </c>
      <c r="M418">
        <f>IF(OR(B418="NW",COUNT(Risk_Rank_Keys!B418)=0),0.5,(SUMPRODUCT(--ISNUMBER(Risk_Rank_Keys!$B$2:$B$800),--(Risk_Rank_Keys!$B$2:$B$800&lt;Risk_Rank_Keys!B418))+(SUMPRODUCT(--ISNUMBER(Risk_Rank_Keys!$B$2:$B$800),--(Risk_Rank_Keys!$B$2:$B$800=Risk_Rank_Keys!B418))+1)/2)/COUNT(Risk_Rank_Keys!$B$2:$B$800))</f>
        <v/>
      </c>
      <c r="N418">
        <f>IF(OR(B418="NW",COUNT(Risk_Rank_Keys!C418)=0),0.5,(SUMPRODUCT(--ISNUMBER(Risk_Rank_Keys!$C$2:$C$800),--(Risk_Rank_Keys!$C$2:$C$800&lt;Risk_Rank_Keys!C418))+(SUMPRODUCT(--ISNUMBER(Risk_Rank_Keys!$C$2:$C$800),--(Risk_Rank_Keys!$C$2:$C$800=Risk_Rank_Keys!C418))+1)/2)/COUNT(Risk_Rank_Keys!$C$2:$C$800))</f>
        <v/>
      </c>
      <c r="O418">
        <f>IF(OR(B418="NW",COUNT(Risk_Rank_Keys!D418)=0),0.5,(SUMPRODUCT(--ISNUMBER(Risk_Rank_Keys!$D$2:$D$800),--(Risk_Rank_Keys!$D$2:$D$800&lt;Risk_Rank_Keys!D418))+(SUMPRODUCT(--ISNUMBER(Risk_Rank_Keys!$D$2:$D$800),--(Risk_Rank_Keys!$D$2:$D$800=Risk_Rank_Keys!D418))+1)/2)/COUNT(Risk_Rank_Keys!$D$2:$D$800))</f>
        <v/>
      </c>
      <c r="P418">
        <f>AVERAGE(M418:O418)</f>
        <v/>
      </c>
      <c r="Q418">
        <f>0.4*H418+0.4*I418+0.2*P418</f>
        <v/>
      </c>
      <c r="R418">
        <f>PERCENTILE($Q$2:$Q$800,0.75)</f>
        <v/>
      </c>
      <c r="S418">
        <f>OR(Q418&gt;=R418,AND(B418="CW",COUNT(J418:L418)&lt;3))</f>
        <v/>
      </c>
      <c r="T418" t="n">
        <v>0.266602232383416</v>
      </c>
      <c r="U418" t="n">
        <v>5.502249834350202</v>
      </c>
      <c r="V418" t="n">
        <v>0.2474891615449112</v>
      </c>
      <c r="W418">
        <f>Q418-V418</f>
        <v/>
      </c>
    </row>
    <row r="419">
      <c r="A419" t="inlineStr">
        <is>
          <t>2023-08-10</t>
        </is>
      </c>
      <c r="B419" t="inlineStr">
        <is>
          <t>CW</t>
        </is>
      </c>
      <c r="C419" t="n">
        <v>10.61181786030588</v>
      </c>
      <c r="D419">
        <f>SUMPRODUCT(Risk_Inputs!B419:AJ419,Risk_Coefs!$B$2:$AJ$2)</f>
        <v/>
      </c>
      <c r="E419">
        <f>1/(1+EXP(-MAX(-25,MIN(25,D419))))</f>
        <v/>
      </c>
      <c r="F419">
        <f>SUMPRODUCT(Risk_Inputs!B419:AJ419,Risk_Coefs!$B$3:$AJ$3)</f>
        <v/>
      </c>
      <c r="G419">
        <f>MAX(0,F419)</f>
        <v/>
      </c>
      <c r="H419">
        <f>(SUMPRODUCT(--ISNUMBER($E$2:$E$800),--($E$2:$E$800&lt;E419))+(SUMPRODUCT(--ISNUMBER($E$2:$E$800),--($E$2:$E$800=E419))+1)/2)/COUNT($E$2:$E$800)</f>
        <v/>
      </c>
      <c r="I419">
        <f>(SUMPRODUCT(--ISNUMBER($G$2:$G$800),--($G$2:$G$800&lt;G419))+(SUMPRODUCT(--ISNUMBER($G$2:$G$800),--($G$2:$G$800=G419))+1)/2)/COUNT($G$2:$G$800)</f>
        <v/>
      </c>
      <c r="J419" t="n">
        <v>22.68615277044152</v>
      </c>
      <c r="K419" t="n">
        <v>15.16825715720744</v>
      </c>
      <c r="L419" t="n">
        <v>0.301356102461072</v>
      </c>
      <c r="M419">
        <f>IF(OR(B419="NW",COUNT(Risk_Rank_Keys!B419)=0),0.5,(SUMPRODUCT(--ISNUMBER(Risk_Rank_Keys!$B$2:$B$800),--(Risk_Rank_Keys!$B$2:$B$800&lt;Risk_Rank_Keys!B419))+(SUMPRODUCT(--ISNUMBER(Risk_Rank_Keys!$B$2:$B$800),--(Risk_Rank_Keys!$B$2:$B$800=Risk_Rank_Keys!B419))+1)/2)/COUNT(Risk_Rank_Keys!$B$2:$B$800))</f>
        <v/>
      </c>
      <c r="N419">
        <f>IF(OR(B419="NW",COUNT(Risk_Rank_Keys!C419)=0),0.5,(SUMPRODUCT(--ISNUMBER(Risk_Rank_Keys!$C$2:$C$800),--(Risk_Rank_Keys!$C$2:$C$800&lt;Risk_Rank_Keys!C419))+(SUMPRODUCT(--ISNUMBER(Risk_Rank_Keys!$C$2:$C$800),--(Risk_Rank_Keys!$C$2:$C$800=Risk_Rank_Keys!C419))+1)/2)/COUNT(Risk_Rank_Keys!$C$2:$C$800))</f>
        <v/>
      </c>
      <c r="O419">
        <f>IF(OR(B419="NW",COUNT(Risk_Rank_Keys!D419)=0),0.5,(SUMPRODUCT(--ISNUMBER(Risk_Rank_Keys!$D$2:$D$800),--(Risk_Rank_Keys!$D$2:$D$800&lt;Risk_Rank_Keys!D419))+(SUMPRODUCT(--ISNUMBER(Risk_Rank_Keys!$D$2:$D$800),--(Risk_Rank_Keys!$D$2:$D$800=Risk_Rank_Keys!D419))+1)/2)/COUNT(Risk_Rank_Keys!$D$2:$D$800))</f>
        <v/>
      </c>
      <c r="P419">
        <f>AVERAGE(M419:O419)</f>
        <v/>
      </c>
      <c r="Q419">
        <f>0.4*H419+0.4*I419+0.2*P419</f>
        <v/>
      </c>
      <c r="R419">
        <f>PERCENTILE($Q$2:$Q$800,0.75)</f>
        <v/>
      </c>
      <c r="S419">
        <f>OR(Q419&gt;=R419,AND(B419="CW",COUNT(J419:L419)&lt;3))</f>
        <v/>
      </c>
      <c r="T419" t="n">
        <v>0.2393952213478633</v>
      </c>
      <c r="U419" t="n">
        <v>7.596996690895424</v>
      </c>
      <c r="V419" t="n">
        <v>0.4550378814987819</v>
      </c>
      <c r="W419">
        <f>Q419-V419</f>
        <v/>
      </c>
    </row>
    <row r="420">
      <c r="A420" t="inlineStr">
        <is>
          <t>2023-09-11</t>
        </is>
      </c>
      <c r="B420" t="inlineStr">
        <is>
          <t>CW</t>
        </is>
      </c>
      <c r="C420" t="n">
        <v>-8.184657141034121</v>
      </c>
      <c r="D420">
        <f>SUMPRODUCT(Risk_Inputs!B420:AJ420,Risk_Coefs!$B$2:$AJ$2)</f>
        <v/>
      </c>
      <c r="E420">
        <f>1/(1+EXP(-MAX(-25,MIN(25,D420))))</f>
        <v/>
      </c>
      <c r="F420">
        <f>SUMPRODUCT(Risk_Inputs!B420:AJ420,Risk_Coefs!$B$3:$AJ$3)</f>
        <v/>
      </c>
      <c r="G420">
        <f>MAX(0,F420)</f>
        <v/>
      </c>
      <c r="H420">
        <f>(SUMPRODUCT(--ISNUMBER($E$2:$E$800),--($E$2:$E$800&lt;E420))+(SUMPRODUCT(--ISNUMBER($E$2:$E$800),--($E$2:$E$800=E420))+1)/2)/COUNT($E$2:$E$800)</f>
        <v/>
      </c>
      <c r="I420">
        <f>(SUMPRODUCT(--ISNUMBER($G$2:$G$800),--($G$2:$G$800&lt;G420))+(SUMPRODUCT(--ISNUMBER($G$2:$G$800),--($G$2:$G$800=G420))+1)/2)/COUNT($G$2:$G$800)</f>
        <v/>
      </c>
      <c r="J420" t="n">
        <v>3.620328142522446</v>
      </c>
      <c r="K420" t="n">
        <v>1.089588377723978</v>
      </c>
      <c r="L420" t="n">
        <v>0.2421307506053303</v>
      </c>
      <c r="M420">
        <f>IF(OR(B420="NW",COUNT(Risk_Rank_Keys!B420)=0),0.5,(SUMPRODUCT(--ISNUMBER(Risk_Rank_Keys!$B$2:$B$800),--(Risk_Rank_Keys!$B$2:$B$800&lt;Risk_Rank_Keys!B420))+(SUMPRODUCT(--ISNUMBER(Risk_Rank_Keys!$B$2:$B$800),--(Risk_Rank_Keys!$B$2:$B$800=Risk_Rank_Keys!B420))+1)/2)/COUNT(Risk_Rank_Keys!$B$2:$B$800))</f>
        <v/>
      </c>
      <c r="N420">
        <f>IF(OR(B420="NW",COUNT(Risk_Rank_Keys!C420)=0),0.5,(SUMPRODUCT(--ISNUMBER(Risk_Rank_Keys!$C$2:$C$800),--(Risk_Rank_Keys!$C$2:$C$800&lt;Risk_Rank_Keys!C420))+(SUMPRODUCT(--ISNUMBER(Risk_Rank_Keys!$C$2:$C$800),--(Risk_Rank_Keys!$C$2:$C$800=Risk_Rank_Keys!C420))+1)/2)/COUNT(Risk_Rank_Keys!$C$2:$C$800))</f>
        <v/>
      </c>
      <c r="O420">
        <f>IF(OR(B420="NW",COUNT(Risk_Rank_Keys!D420)=0),0.5,(SUMPRODUCT(--ISNUMBER(Risk_Rank_Keys!$D$2:$D$800),--(Risk_Rank_Keys!$D$2:$D$800&lt;Risk_Rank_Keys!D420))+(SUMPRODUCT(--ISNUMBER(Risk_Rank_Keys!$D$2:$D$800),--(Risk_Rank_Keys!$D$2:$D$800=Risk_Rank_Keys!D420))+1)/2)/COUNT(Risk_Rank_Keys!$D$2:$D$800))</f>
        <v/>
      </c>
      <c r="P420">
        <f>AVERAGE(M420:O420)</f>
        <v/>
      </c>
      <c r="Q420">
        <f>0.4*H420+0.4*I420+0.2*P420</f>
        <v/>
      </c>
      <c r="R420">
        <f>PERCENTILE($Q$2:$Q$800,0.75)</f>
        <v/>
      </c>
      <c r="S420">
        <f>OR(Q420&gt;=R420,AND(B420="CW",COUNT(J420:L420)&lt;3))</f>
        <v/>
      </c>
      <c r="T420" t="n">
        <v>0.3774360188641518</v>
      </c>
      <c r="U420" t="n">
        <v>10.53614919385708</v>
      </c>
      <c r="V420" t="n">
        <v>0.7385119358286655</v>
      </c>
      <c r="W420">
        <f>Q420-V420</f>
        <v/>
      </c>
    </row>
    <row r="421">
      <c r="A421" t="inlineStr">
        <is>
          <t>2023-09-12</t>
        </is>
      </c>
      <c r="B421" t="inlineStr">
        <is>
          <t>CW</t>
        </is>
      </c>
      <c r="C421" t="n">
        <v>-36.65327987977494</v>
      </c>
      <c r="D421">
        <f>SUMPRODUCT(Risk_Inputs!B421:AJ421,Risk_Coefs!$B$2:$AJ$2)</f>
        <v/>
      </c>
      <c r="E421">
        <f>1/(1+EXP(-MAX(-25,MIN(25,D421))))</f>
        <v/>
      </c>
      <c r="F421">
        <f>SUMPRODUCT(Risk_Inputs!B421:AJ421,Risk_Coefs!$B$3:$AJ$3)</f>
        <v/>
      </c>
      <c r="G421">
        <f>MAX(0,F421)</f>
        <v/>
      </c>
      <c r="H421">
        <f>(SUMPRODUCT(--ISNUMBER($E$2:$E$800),--($E$2:$E$800&lt;E421))+(SUMPRODUCT(--ISNUMBER($E$2:$E$800),--($E$2:$E$800=E421))+1)/2)/COUNT($E$2:$E$800)</f>
        <v/>
      </c>
      <c r="I421">
        <f>(SUMPRODUCT(--ISNUMBER($G$2:$G$800),--($G$2:$G$800&lt;G421))+(SUMPRODUCT(--ISNUMBER($G$2:$G$800),--($G$2:$G$800=G421))+1)/2)/COUNT($G$2:$G$800)</f>
        <v/>
      </c>
      <c r="J421" t="n">
        <v>4.45872565137104</v>
      </c>
      <c r="K421" t="n">
        <v>3.404791929382079</v>
      </c>
      <c r="L421" t="n">
        <v>0.1261034047919222</v>
      </c>
      <c r="M421">
        <f>IF(OR(B421="NW",COUNT(Risk_Rank_Keys!B421)=0),0.5,(SUMPRODUCT(--ISNUMBER(Risk_Rank_Keys!$B$2:$B$800),--(Risk_Rank_Keys!$B$2:$B$800&lt;Risk_Rank_Keys!B421))+(SUMPRODUCT(--ISNUMBER(Risk_Rank_Keys!$B$2:$B$800),--(Risk_Rank_Keys!$B$2:$B$800=Risk_Rank_Keys!B421))+1)/2)/COUNT(Risk_Rank_Keys!$B$2:$B$800))</f>
        <v/>
      </c>
      <c r="N421">
        <f>IF(OR(B421="NW",COUNT(Risk_Rank_Keys!C421)=0),0.5,(SUMPRODUCT(--ISNUMBER(Risk_Rank_Keys!$C$2:$C$800),--(Risk_Rank_Keys!$C$2:$C$800&lt;Risk_Rank_Keys!C421))+(SUMPRODUCT(--ISNUMBER(Risk_Rank_Keys!$C$2:$C$800),--(Risk_Rank_Keys!$C$2:$C$800=Risk_Rank_Keys!C421))+1)/2)/COUNT(Risk_Rank_Keys!$C$2:$C$800))</f>
        <v/>
      </c>
      <c r="O421">
        <f>IF(OR(B421="NW",COUNT(Risk_Rank_Keys!D421)=0),0.5,(SUMPRODUCT(--ISNUMBER(Risk_Rank_Keys!$D$2:$D$800),--(Risk_Rank_Keys!$D$2:$D$800&lt;Risk_Rank_Keys!D421))+(SUMPRODUCT(--ISNUMBER(Risk_Rank_Keys!$D$2:$D$800),--(Risk_Rank_Keys!$D$2:$D$800=Risk_Rank_Keys!D421))+1)/2)/COUNT(Risk_Rank_Keys!$D$2:$D$800))</f>
        <v/>
      </c>
      <c r="P421">
        <f>AVERAGE(M421:O421)</f>
        <v/>
      </c>
      <c r="Q421">
        <f>0.4*H421+0.4*I421+0.2*P421</f>
        <v/>
      </c>
      <c r="R421">
        <f>PERCENTILE($Q$2:$Q$800,0.75)</f>
        <v/>
      </c>
      <c r="S421">
        <f>OR(Q421&gt;=R421,AND(B421="CW",COUNT(J421:L421)&lt;3))</f>
        <v/>
      </c>
      <c r="T421" t="n">
        <v>0.3170812428081479</v>
      </c>
      <c r="U421" t="n">
        <v>10.46012497193368</v>
      </c>
      <c r="V421" t="n">
        <v>0.6396884995132804</v>
      </c>
      <c r="W421">
        <f>Q421-V421</f>
        <v/>
      </c>
    </row>
    <row r="422">
      <c r="A422" t="inlineStr">
        <is>
          <t>2023-09-18</t>
        </is>
      </c>
      <c r="B422" t="inlineStr">
        <is>
          <t>CW</t>
        </is>
      </c>
      <c r="C422" t="n">
        <v>19.01538684445127</v>
      </c>
      <c r="D422">
        <f>SUMPRODUCT(Risk_Inputs!B422:AJ422,Risk_Coefs!$B$2:$AJ$2)</f>
        <v/>
      </c>
      <c r="E422">
        <f>1/(1+EXP(-MAX(-25,MIN(25,D422))))</f>
        <v/>
      </c>
      <c r="F422">
        <f>SUMPRODUCT(Risk_Inputs!B422:AJ422,Risk_Coefs!$B$3:$AJ$3)</f>
        <v/>
      </c>
      <c r="G422">
        <f>MAX(0,F422)</f>
        <v/>
      </c>
      <c r="H422">
        <f>(SUMPRODUCT(--ISNUMBER($E$2:$E$800),--($E$2:$E$800&lt;E422))+(SUMPRODUCT(--ISNUMBER($E$2:$E$800),--($E$2:$E$800=E422))+1)/2)/COUNT($E$2:$E$800)</f>
        <v/>
      </c>
      <c r="I422">
        <f>(SUMPRODUCT(--ISNUMBER($G$2:$G$800),--($G$2:$G$800&lt;G422))+(SUMPRODUCT(--ISNUMBER($G$2:$G$800),--($G$2:$G$800=G422))+1)/2)/COUNT($G$2:$G$800)</f>
        <v/>
      </c>
      <c r="J422" t="n">
        <v>4.092190859779896</v>
      </c>
      <c r="K422" t="n">
        <v>0.8633980881899511</v>
      </c>
      <c r="L422" t="n">
        <v>0.2775208140610563</v>
      </c>
      <c r="M422">
        <f>IF(OR(B422="NW",COUNT(Risk_Rank_Keys!B422)=0),0.5,(SUMPRODUCT(--ISNUMBER(Risk_Rank_Keys!$B$2:$B$800),--(Risk_Rank_Keys!$B$2:$B$800&lt;Risk_Rank_Keys!B422))+(SUMPRODUCT(--ISNUMBER(Risk_Rank_Keys!$B$2:$B$800),--(Risk_Rank_Keys!$B$2:$B$800=Risk_Rank_Keys!B422))+1)/2)/COUNT(Risk_Rank_Keys!$B$2:$B$800))</f>
        <v/>
      </c>
      <c r="N422">
        <f>IF(OR(B422="NW",COUNT(Risk_Rank_Keys!C422)=0),0.5,(SUMPRODUCT(--ISNUMBER(Risk_Rank_Keys!$C$2:$C$800),--(Risk_Rank_Keys!$C$2:$C$800&lt;Risk_Rank_Keys!C422))+(SUMPRODUCT(--ISNUMBER(Risk_Rank_Keys!$C$2:$C$800),--(Risk_Rank_Keys!$C$2:$C$800=Risk_Rank_Keys!C422))+1)/2)/COUNT(Risk_Rank_Keys!$C$2:$C$800))</f>
        <v/>
      </c>
      <c r="O422">
        <f>IF(OR(B422="NW",COUNT(Risk_Rank_Keys!D422)=0),0.5,(SUMPRODUCT(--ISNUMBER(Risk_Rank_Keys!$D$2:$D$800),--(Risk_Rank_Keys!$D$2:$D$800&lt;Risk_Rank_Keys!D422))+(SUMPRODUCT(--ISNUMBER(Risk_Rank_Keys!$D$2:$D$800),--(Risk_Rank_Keys!$D$2:$D$800=Risk_Rank_Keys!D422))+1)/2)/COUNT(Risk_Rank_Keys!$D$2:$D$800))</f>
        <v/>
      </c>
      <c r="P422">
        <f>AVERAGE(M422:O422)</f>
        <v/>
      </c>
      <c r="Q422">
        <f>0.4*H422+0.4*I422+0.2*P422</f>
        <v/>
      </c>
      <c r="R422">
        <f>PERCENTILE($Q$2:$Q$800,0.75)</f>
        <v/>
      </c>
      <c r="S422">
        <f>OR(Q422&gt;=R422,AND(B422="CW",COUNT(J422:L422)&lt;3))</f>
        <v/>
      </c>
      <c r="T422" t="n">
        <v>0.3583947674863882</v>
      </c>
      <c r="U422" t="n">
        <v>7.968649194114931</v>
      </c>
      <c r="V422" t="n">
        <v>0.6052602945685828</v>
      </c>
      <c r="W422">
        <f>Q422-V422</f>
        <v/>
      </c>
    </row>
    <row r="423">
      <c r="A423" t="inlineStr">
        <is>
          <t>2023-09-25</t>
        </is>
      </c>
      <c r="B423" t="inlineStr">
        <is>
          <t>CW</t>
        </is>
      </c>
      <c r="C423" t="n">
        <v>1.231871611930523</v>
      </c>
      <c r="D423">
        <f>SUMPRODUCT(Risk_Inputs!B423:AJ423,Risk_Coefs!$B$2:$AJ$2)</f>
        <v/>
      </c>
      <c r="E423">
        <f>1/(1+EXP(-MAX(-25,MIN(25,D423))))</f>
        <v/>
      </c>
      <c r="F423">
        <f>SUMPRODUCT(Risk_Inputs!B423:AJ423,Risk_Coefs!$B$3:$AJ$3)</f>
        <v/>
      </c>
      <c r="G423">
        <f>MAX(0,F423)</f>
        <v/>
      </c>
      <c r="H423">
        <f>(SUMPRODUCT(--ISNUMBER($E$2:$E$800),--($E$2:$E$800&lt;E423))+(SUMPRODUCT(--ISNUMBER($E$2:$E$800),--($E$2:$E$800=E423))+1)/2)/COUNT($E$2:$E$800)</f>
        <v/>
      </c>
      <c r="I423">
        <f>(SUMPRODUCT(--ISNUMBER($G$2:$G$800),--($G$2:$G$800&lt;G423))+(SUMPRODUCT(--ISNUMBER($G$2:$G$800),--($G$2:$G$800=G423))+1)/2)/COUNT($G$2:$G$800)</f>
        <v/>
      </c>
      <c r="J423" t="n">
        <v>8.436802756700999</v>
      </c>
      <c r="K423" t="n">
        <v>1.850828729281765</v>
      </c>
      <c r="L423" t="n">
        <v>0.1104972375690545</v>
      </c>
      <c r="M423">
        <f>IF(OR(B423="NW",COUNT(Risk_Rank_Keys!B423)=0),0.5,(SUMPRODUCT(--ISNUMBER(Risk_Rank_Keys!$B$2:$B$800),--(Risk_Rank_Keys!$B$2:$B$800&lt;Risk_Rank_Keys!B423))+(SUMPRODUCT(--ISNUMBER(Risk_Rank_Keys!$B$2:$B$800),--(Risk_Rank_Keys!$B$2:$B$800=Risk_Rank_Keys!B423))+1)/2)/COUNT(Risk_Rank_Keys!$B$2:$B$800))</f>
        <v/>
      </c>
      <c r="N423">
        <f>IF(OR(B423="NW",COUNT(Risk_Rank_Keys!C423)=0),0.5,(SUMPRODUCT(--ISNUMBER(Risk_Rank_Keys!$C$2:$C$800),--(Risk_Rank_Keys!$C$2:$C$800&lt;Risk_Rank_Keys!C423))+(SUMPRODUCT(--ISNUMBER(Risk_Rank_Keys!$C$2:$C$800),--(Risk_Rank_Keys!$C$2:$C$800=Risk_Rank_Keys!C423))+1)/2)/COUNT(Risk_Rank_Keys!$C$2:$C$800))</f>
        <v/>
      </c>
      <c r="O423">
        <f>IF(OR(B423="NW",COUNT(Risk_Rank_Keys!D423)=0),0.5,(SUMPRODUCT(--ISNUMBER(Risk_Rank_Keys!$D$2:$D$800),--(Risk_Rank_Keys!$D$2:$D$800&lt;Risk_Rank_Keys!D423))+(SUMPRODUCT(--ISNUMBER(Risk_Rank_Keys!$D$2:$D$800),--(Risk_Rank_Keys!$D$2:$D$800=Risk_Rank_Keys!D423))+1)/2)/COUNT(Risk_Rank_Keys!$D$2:$D$800))</f>
        <v/>
      </c>
      <c r="P423">
        <f>AVERAGE(M423:O423)</f>
        <v/>
      </c>
      <c r="Q423">
        <f>0.4*H423+0.4*I423+0.2*P423</f>
        <v/>
      </c>
      <c r="R423">
        <f>PERCENTILE($Q$2:$Q$800,0.75)</f>
        <v/>
      </c>
      <c r="S423">
        <f>OR(Q423&gt;=R423,AND(B423="CW",COUNT(J423:L423)&lt;3))</f>
        <v/>
      </c>
      <c r="T423" t="n">
        <v>0.2880160327537022</v>
      </c>
      <c r="U423" t="n">
        <v>6.16972761723288</v>
      </c>
      <c r="V423" t="n">
        <v>0.3641798878072254</v>
      </c>
      <c r="W423">
        <f>Q423-V423</f>
        <v/>
      </c>
    </row>
    <row r="424">
      <c r="A424" t="inlineStr">
        <is>
          <t>2023-09-26</t>
        </is>
      </c>
      <c r="B424" t="inlineStr">
        <is>
          <t>CW</t>
        </is>
      </c>
      <c r="C424" t="n">
        <v>23.14041347495627</v>
      </c>
      <c r="D424">
        <f>SUMPRODUCT(Risk_Inputs!B424:AJ424,Risk_Coefs!$B$2:$AJ$2)</f>
        <v/>
      </c>
      <c r="E424">
        <f>1/(1+EXP(-MAX(-25,MIN(25,D424))))</f>
        <v/>
      </c>
      <c r="F424">
        <f>SUMPRODUCT(Risk_Inputs!B424:AJ424,Risk_Coefs!$B$3:$AJ$3)</f>
        <v/>
      </c>
      <c r="G424">
        <f>MAX(0,F424)</f>
        <v/>
      </c>
      <c r="H424">
        <f>(SUMPRODUCT(--ISNUMBER($E$2:$E$800),--($E$2:$E$800&lt;E424))+(SUMPRODUCT(--ISNUMBER($E$2:$E$800),--($E$2:$E$800=E424))+1)/2)/COUNT($E$2:$E$800)</f>
        <v/>
      </c>
      <c r="I424">
        <f>(SUMPRODUCT(--ISNUMBER($G$2:$G$800),--($G$2:$G$800&lt;G424))+(SUMPRODUCT(--ISNUMBER($G$2:$G$800),--($G$2:$G$800=G424))+1)/2)/COUNT($G$2:$G$800)</f>
        <v/>
      </c>
      <c r="J424" t="n">
        <v>6.909270106739171</v>
      </c>
      <c r="K424" t="n">
        <v>1.732336956521728</v>
      </c>
      <c r="L424" t="n">
        <v>0.1698369565217391</v>
      </c>
      <c r="M424">
        <f>IF(OR(B424="NW",COUNT(Risk_Rank_Keys!B424)=0),0.5,(SUMPRODUCT(--ISNUMBER(Risk_Rank_Keys!$B$2:$B$800),--(Risk_Rank_Keys!$B$2:$B$800&lt;Risk_Rank_Keys!B424))+(SUMPRODUCT(--ISNUMBER(Risk_Rank_Keys!$B$2:$B$800),--(Risk_Rank_Keys!$B$2:$B$800=Risk_Rank_Keys!B424))+1)/2)/COUNT(Risk_Rank_Keys!$B$2:$B$800))</f>
        <v/>
      </c>
      <c r="N424">
        <f>IF(OR(B424="NW",COUNT(Risk_Rank_Keys!C424)=0),0.5,(SUMPRODUCT(--ISNUMBER(Risk_Rank_Keys!$C$2:$C$800),--(Risk_Rank_Keys!$C$2:$C$800&lt;Risk_Rank_Keys!C424))+(SUMPRODUCT(--ISNUMBER(Risk_Rank_Keys!$C$2:$C$800),--(Risk_Rank_Keys!$C$2:$C$800=Risk_Rank_Keys!C424))+1)/2)/COUNT(Risk_Rank_Keys!$C$2:$C$800))</f>
        <v/>
      </c>
      <c r="O424">
        <f>IF(OR(B424="NW",COUNT(Risk_Rank_Keys!D424)=0),0.5,(SUMPRODUCT(--ISNUMBER(Risk_Rank_Keys!$D$2:$D$800),--(Risk_Rank_Keys!$D$2:$D$800&lt;Risk_Rank_Keys!D424))+(SUMPRODUCT(--ISNUMBER(Risk_Rank_Keys!$D$2:$D$800),--(Risk_Rank_Keys!$D$2:$D$800=Risk_Rank_Keys!D424))+1)/2)/COUNT(Risk_Rank_Keys!$D$2:$D$800))</f>
        <v/>
      </c>
      <c r="P424">
        <f>AVERAGE(M424:O424)</f>
        <v/>
      </c>
      <c r="Q424">
        <f>0.4*H424+0.4*I424+0.2*P424</f>
        <v/>
      </c>
      <c r="R424">
        <f>PERCENTILE($Q$2:$Q$800,0.75)</f>
        <v/>
      </c>
      <c r="S424">
        <f>OR(Q424&gt;=R424,AND(B424="CW",COUNT(J424:L424)&lt;3))</f>
        <v/>
      </c>
      <c r="T424" t="n">
        <v>0.2271042245022247</v>
      </c>
      <c r="U424" t="n">
        <v>3.964600501169284</v>
      </c>
      <c r="V424" t="n">
        <v>0.1300514532053956</v>
      </c>
      <c r="W424">
        <f>Q424-V424</f>
        <v/>
      </c>
    </row>
    <row r="425">
      <c r="A425" t="inlineStr">
        <is>
          <t>2023-10-17</t>
        </is>
      </c>
      <c r="B425" t="inlineStr">
        <is>
          <t>CW</t>
        </is>
      </c>
      <c r="C425" t="n">
        <v>-2.287748326724479</v>
      </c>
      <c r="D425">
        <f>SUMPRODUCT(Risk_Inputs!B425:AJ425,Risk_Coefs!$B$2:$AJ$2)</f>
        <v/>
      </c>
      <c r="E425">
        <f>1/(1+EXP(-MAX(-25,MIN(25,D425))))</f>
        <v/>
      </c>
      <c r="F425">
        <f>SUMPRODUCT(Risk_Inputs!B425:AJ425,Risk_Coefs!$B$3:$AJ$3)</f>
        <v/>
      </c>
      <c r="G425">
        <f>MAX(0,F425)</f>
        <v/>
      </c>
      <c r="H425">
        <f>(SUMPRODUCT(--ISNUMBER($E$2:$E$800),--($E$2:$E$800&lt;E425))+(SUMPRODUCT(--ISNUMBER($E$2:$E$800),--($E$2:$E$800=E425))+1)/2)/COUNT($E$2:$E$800)</f>
        <v/>
      </c>
      <c r="I425">
        <f>(SUMPRODUCT(--ISNUMBER($G$2:$G$800),--($G$2:$G$800&lt;G425))+(SUMPRODUCT(--ISNUMBER($G$2:$G$800),--($G$2:$G$800=G425))+1)/2)/COUNT($G$2:$G$800)</f>
        <v/>
      </c>
      <c r="J425" t="n">
        <v>2.673655164063689</v>
      </c>
      <c r="K425" t="n">
        <v>0.8318890814558176</v>
      </c>
      <c r="L425" t="n">
        <v>0.242634315424611</v>
      </c>
      <c r="M425">
        <f>IF(OR(B425="NW",COUNT(Risk_Rank_Keys!B425)=0),0.5,(SUMPRODUCT(--ISNUMBER(Risk_Rank_Keys!$B$2:$B$800),--(Risk_Rank_Keys!$B$2:$B$800&lt;Risk_Rank_Keys!B425))+(SUMPRODUCT(--ISNUMBER(Risk_Rank_Keys!$B$2:$B$800),--(Risk_Rank_Keys!$B$2:$B$800=Risk_Rank_Keys!B425))+1)/2)/COUNT(Risk_Rank_Keys!$B$2:$B$800))</f>
        <v/>
      </c>
      <c r="N425">
        <f>IF(OR(B425="NW",COUNT(Risk_Rank_Keys!C425)=0),0.5,(SUMPRODUCT(--ISNUMBER(Risk_Rank_Keys!$C$2:$C$800),--(Risk_Rank_Keys!$C$2:$C$800&lt;Risk_Rank_Keys!C425))+(SUMPRODUCT(--ISNUMBER(Risk_Rank_Keys!$C$2:$C$800),--(Risk_Rank_Keys!$C$2:$C$800=Risk_Rank_Keys!C425))+1)/2)/COUNT(Risk_Rank_Keys!$C$2:$C$800))</f>
        <v/>
      </c>
      <c r="O425">
        <f>IF(OR(B425="NW",COUNT(Risk_Rank_Keys!D425)=0),0.5,(SUMPRODUCT(--ISNUMBER(Risk_Rank_Keys!$D$2:$D$800),--(Risk_Rank_Keys!$D$2:$D$800&lt;Risk_Rank_Keys!D425))+(SUMPRODUCT(--ISNUMBER(Risk_Rank_Keys!$D$2:$D$800),--(Risk_Rank_Keys!$D$2:$D$800=Risk_Rank_Keys!D425))+1)/2)/COUNT(Risk_Rank_Keys!$D$2:$D$800))</f>
        <v/>
      </c>
      <c r="P425">
        <f>AVERAGE(M425:O425)</f>
        <v/>
      </c>
      <c r="Q425">
        <f>0.4*H425+0.4*I425+0.2*P425</f>
        <v/>
      </c>
      <c r="R425">
        <f>PERCENTILE($Q$2:$Q$800,0.75)</f>
        <v/>
      </c>
      <c r="S425">
        <f>OR(Q425&gt;=R425,AND(B425="CW",COUNT(J425:L425)&lt;3))</f>
        <v/>
      </c>
      <c r="T425" t="n">
        <v>0.2655635521569512</v>
      </c>
      <c r="U425" t="n">
        <v>5.251730907717929</v>
      </c>
      <c r="V425" t="n">
        <v>0.2549142960546336</v>
      </c>
      <c r="W425">
        <f>Q425-V425</f>
        <v/>
      </c>
    </row>
    <row r="426">
      <c r="A426" t="inlineStr">
        <is>
          <t>2023-10-18</t>
        </is>
      </c>
      <c r="B426" t="inlineStr">
        <is>
          <t>CW</t>
        </is>
      </c>
      <c r="C426" t="n">
        <v>24.66603388536391</v>
      </c>
      <c r="D426">
        <f>SUMPRODUCT(Risk_Inputs!B426:AJ426,Risk_Coefs!$B$2:$AJ$2)</f>
        <v/>
      </c>
      <c r="E426">
        <f>1/(1+EXP(-MAX(-25,MIN(25,D426))))</f>
        <v/>
      </c>
      <c r="F426">
        <f>SUMPRODUCT(Risk_Inputs!B426:AJ426,Risk_Coefs!$B$3:$AJ$3)</f>
        <v/>
      </c>
      <c r="G426">
        <f>MAX(0,F426)</f>
        <v/>
      </c>
      <c r="H426">
        <f>(SUMPRODUCT(--ISNUMBER($E$2:$E$800),--($E$2:$E$800&lt;E426))+(SUMPRODUCT(--ISNUMBER($E$2:$E$800),--($E$2:$E$800=E426))+1)/2)/COUNT($E$2:$E$800)</f>
        <v/>
      </c>
      <c r="I426">
        <f>(SUMPRODUCT(--ISNUMBER($G$2:$G$800),--($G$2:$G$800&lt;G426))+(SUMPRODUCT(--ISNUMBER($G$2:$G$800),--($G$2:$G$800=G426))+1)/2)/COUNT($G$2:$G$800)</f>
        <v/>
      </c>
      <c r="J426" t="n">
        <v>4.919886994760944</v>
      </c>
      <c r="K426" t="n">
        <v>2.363782051282054</v>
      </c>
      <c r="L426" t="n">
        <v>0.2403846153846188</v>
      </c>
      <c r="M426">
        <f>IF(OR(B426="NW",COUNT(Risk_Rank_Keys!B426)=0),0.5,(SUMPRODUCT(--ISNUMBER(Risk_Rank_Keys!$B$2:$B$800),--(Risk_Rank_Keys!$B$2:$B$800&lt;Risk_Rank_Keys!B426))+(SUMPRODUCT(--ISNUMBER(Risk_Rank_Keys!$B$2:$B$800),--(Risk_Rank_Keys!$B$2:$B$800=Risk_Rank_Keys!B426))+1)/2)/COUNT(Risk_Rank_Keys!$B$2:$B$800))</f>
        <v/>
      </c>
      <c r="N426">
        <f>IF(OR(B426="NW",COUNT(Risk_Rank_Keys!C426)=0),0.5,(SUMPRODUCT(--ISNUMBER(Risk_Rank_Keys!$C$2:$C$800),--(Risk_Rank_Keys!$C$2:$C$800&lt;Risk_Rank_Keys!C426))+(SUMPRODUCT(--ISNUMBER(Risk_Rank_Keys!$C$2:$C$800),--(Risk_Rank_Keys!$C$2:$C$800=Risk_Rank_Keys!C426))+1)/2)/COUNT(Risk_Rank_Keys!$C$2:$C$800))</f>
        <v/>
      </c>
      <c r="O426">
        <f>IF(OR(B426="NW",COUNT(Risk_Rank_Keys!D426)=0),0.5,(SUMPRODUCT(--ISNUMBER(Risk_Rank_Keys!$D$2:$D$800),--(Risk_Rank_Keys!$D$2:$D$800&lt;Risk_Rank_Keys!D426))+(SUMPRODUCT(--ISNUMBER(Risk_Rank_Keys!$D$2:$D$800),--(Risk_Rank_Keys!$D$2:$D$800=Risk_Rank_Keys!D426))+1)/2)/COUNT(Risk_Rank_Keys!$D$2:$D$800))</f>
        <v/>
      </c>
      <c r="P426">
        <f>AVERAGE(M426:O426)</f>
        <v/>
      </c>
      <c r="Q426">
        <f>0.4*H426+0.4*I426+0.2*P426</f>
        <v/>
      </c>
      <c r="R426">
        <f>PERCENTILE($Q$2:$Q$800,0.75)</f>
        <v/>
      </c>
      <c r="S426">
        <f>OR(Q426&gt;=R426,AND(B426="CW",COUNT(J426:L426)&lt;3))</f>
        <v/>
      </c>
      <c r="T426" t="n">
        <v>0.3641557198348229</v>
      </c>
      <c r="U426" t="n">
        <v>10.94259365392162</v>
      </c>
      <c r="V426" t="n">
        <v>0.7619859552474065</v>
      </c>
      <c r="W426">
        <f>Q426-V426</f>
        <v/>
      </c>
    </row>
    <row r="427">
      <c r="A427" t="inlineStr">
        <is>
          <t>2023-10-25</t>
        </is>
      </c>
      <c r="B427" t="inlineStr">
        <is>
          <t>CW</t>
        </is>
      </c>
      <c r="C427" t="n">
        <v>35.91809822575617</v>
      </c>
      <c r="D427">
        <f>SUMPRODUCT(Risk_Inputs!B427:AJ427,Risk_Coefs!$B$2:$AJ$2)</f>
        <v/>
      </c>
      <c r="E427">
        <f>1/(1+EXP(-MAX(-25,MIN(25,D427))))</f>
        <v/>
      </c>
      <c r="F427">
        <f>SUMPRODUCT(Risk_Inputs!B427:AJ427,Risk_Coefs!$B$3:$AJ$3)</f>
        <v/>
      </c>
      <c r="G427">
        <f>MAX(0,F427)</f>
        <v/>
      </c>
      <c r="H427">
        <f>(SUMPRODUCT(--ISNUMBER($E$2:$E$800),--($E$2:$E$800&lt;E427))+(SUMPRODUCT(--ISNUMBER($E$2:$E$800),--($E$2:$E$800=E427))+1)/2)/COUNT($E$2:$E$800)</f>
        <v/>
      </c>
      <c r="I427">
        <f>(SUMPRODUCT(--ISNUMBER($G$2:$G$800),--($G$2:$G$800&lt;G427))+(SUMPRODUCT(--ISNUMBER($G$2:$G$800),--($G$2:$G$800=G427))+1)/2)/COUNT($G$2:$G$800)</f>
        <v/>
      </c>
      <c r="J427" t="n">
        <v>9.672624898752376</v>
      </c>
      <c r="K427" t="n">
        <v>2.641509433962275</v>
      </c>
      <c r="L427" t="n">
        <v>0.2515723270440287</v>
      </c>
      <c r="M427">
        <f>IF(OR(B427="NW",COUNT(Risk_Rank_Keys!B427)=0),0.5,(SUMPRODUCT(--ISNUMBER(Risk_Rank_Keys!$B$2:$B$800),--(Risk_Rank_Keys!$B$2:$B$800&lt;Risk_Rank_Keys!B427))+(SUMPRODUCT(--ISNUMBER(Risk_Rank_Keys!$B$2:$B$800),--(Risk_Rank_Keys!$B$2:$B$800=Risk_Rank_Keys!B427))+1)/2)/COUNT(Risk_Rank_Keys!$B$2:$B$800))</f>
        <v/>
      </c>
      <c r="N427">
        <f>IF(OR(B427="NW",COUNT(Risk_Rank_Keys!C427)=0),0.5,(SUMPRODUCT(--ISNUMBER(Risk_Rank_Keys!$C$2:$C$800),--(Risk_Rank_Keys!$C$2:$C$800&lt;Risk_Rank_Keys!C427))+(SUMPRODUCT(--ISNUMBER(Risk_Rank_Keys!$C$2:$C$800),--(Risk_Rank_Keys!$C$2:$C$800=Risk_Rank_Keys!C427))+1)/2)/COUNT(Risk_Rank_Keys!$C$2:$C$800))</f>
        <v/>
      </c>
      <c r="O427">
        <f>IF(OR(B427="NW",COUNT(Risk_Rank_Keys!D427)=0),0.5,(SUMPRODUCT(--ISNUMBER(Risk_Rank_Keys!$D$2:$D$800),--(Risk_Rank_Keys!$D$2:$D$800&lt;Risk_Rank_Keys!D427))+(SUMPRODUCT(--ISNUMBER(Risk_Rank_Keys!$D$2:$D$800),--(Risk_Rank_Keys!$D$2:$D$800=Risk_Rank_Keys!D427))+1)/2)/COUNT(Risk_Rank_Keys!$D$2:$D$800))</f>
        <v/>
      </c>
      <c r="P427">
        <f>AVERAGE(M427:O427)</f>
        <v/>
      </c>
      <c r="Q427">
        <f>0.4*H427+0.4*I427+0.2*P427</f>
        <v/>
      </c>
      <c r="R427">
        <f>PERCENTILE($Q$2:$Q$800,0.75)</f>
        <v/>
      </c>
      <c r="S427">
        <f>OR(Q427&gt;=R427,AND(B427="CW",COUNT(J427:L427)&lt;3))</f>
        <v/>
      </c>
      <c r="T427" t="n">
        <v>0.4253473950198347</v>
      </c>
      <c r="U427" t="n">
        <v>16.58821760027083</v>
      </c>
      <c r="V427" t="n">
        <v>0.8841194449826579</v>
      </c>
      <c r="W427">
        <f>Q427-V427</f>
        <v/>
      </c>
    </row>
    <row r="428">
      <c r="A428" t="inlineStr">
        <is>
          <t>2023-10-26</t>
        </is>
      </c>
      <c r="B428" t="inlineStr">
        <is>
          <t>CW</t>
        </is>
      </c>
      <c r="C428" t="n">
        <v>-4.351627320590604</v>
      </c>
      <c r="D428">
        <f>SUMPRODUCT(Risk_Inputs!B428:AJ428,Risk_Coefs!$B$2:$AJ$2)</f>
        <v/>
      </c>
      <c r="E428">
        <f>1/(1+EXP(-MAX(-25,MIN(25,D428))))</f>
        <v/>
      </c>
      <c r="F428">
        <f>SUMPRODUCT(Risk_Inputs!B428:AJ428,Risk_Coefs!$B$3:$AJ$3)</f>
        <v/>
      </c>
      <c r="G428">
        <f>MAX(0,F428)</f>
        <v/>
      </c>
      <c r="H428">
        <f>(SUMPRODUCT(--ISNUMBER($E$2:$E$800),--($E$2:$E$800&lt;E428))+(SUMPRODUCT(--ISNUMBER($E$2:$E$800),--($E$2:$E$800=E428))+1)/2)/COUNT($E$2:$E$800)</f>
        <v/>
      </c>
      <c r="I428">
        <f>(SUMPRODUCT(--ISNUMBER($G$2:$G$800),--($G$2:$G$800&lt;G428))+(SUMPRODUCT(--ISNUMBER($G$2:$G$800),--($G$2:$G$800=G428))+1)/2)/COUNT($G$2:$G$800)</f>
        <v/>
      </c>
      <c r="J428" t="n">
        <v>12.52255902176677</v>
      </c>
      <c r="K428" t="n">
        <v>6.298828124999989</v>
      </c>
      <c r="L428" t="n">
        <v>0.1953125000000027</v>
      </c>
      <c r="M428">
        <f>IF(OR(B428="NW",COUNT(Risk_Rank_Keys!B428)=0),0.5,(SUMPRODUCT(--ISNUMBER(Risk_Rank_Keys!$B$2:$B$800),--(Risk_Rank_Keys!$B$2:$B$800&lt;Risk_Rank_Keys!B428))+(SUMPRODUCT(--ISNUMBER(Risk_Rank_Keys!$B$2:$B$800),--(Risk_Rank_Keys!$B$2:$B$800=Risk_Rank_Keys!B428))+1)/2)/COUNT(Risk_Rank_Keys!$B$2:$B$800))</f>
        <v/>
      </c>
      <c r="N428">
        <f>IF(OR(B428="NW",COUNT(Risk_Rank_Keys!C428)=0),0.5,(SUMPRODUCT(--ISNUMBER(Risk_Rank_Keys!$C$2:$C$800),--(Risk_Rank_Keys!$C$2:$C$800&lt;Risk_Rank_Keys!C428))+(SUMPRODUCT(--ISNUMBER(Risk_Rank_Keys!$C$2:$C$800),--(Risk_Rank_Keys!$C$2:$C$800=Risk_Rank_Keys!C428))+1)/2)/COUNT(Risk_Rank_Keys!$C$2:$C$800))</f>
        <v/>
      </c>
      <c r="O428">
        <f>IF(OR(B428="NW",COUNT(Risk_Rank_Keys!D428)=0),0.5,(SUMPRODUCT(--ISNUMBER(Risk_Rank_Keys!$D$2:$D$800),--(Risk_Rank_Keys!$D$2:$D$800&lt;Risk_Rank_Keys!D428))+(SUMPRODUCT(--ISNUMBER(Risk_Rank_Keys!$D$2:$D$800),--(Risk_Rank_Keys!$D$2:$D$800=Risk_Rank_Keys!D428))+1)/2)/COUNT(Risk_Rank_Keys!$D$2:$D$800))</f>
        <v/>
      </c>
      <c r="P428">
        <f>AVERAGE(M428:O428)</f>
        <v/>
      </c>
      <c r="Q428">
        <f>0.4*H428+0.4*I428+0.2*P428</f>
        <v/>
      </c>
      <c r="R428">
        <f>PERCENTILE($Q$2:$Q$800,0.75)</f>
        <v/>
      </c>
      <c r="S428">
        <f>OR(Q428&gt;=R428,AND(B428="CW",COUNT(J428:L428)&lt;3))</f>
        <v/>
      </c>
      <c r="T428" t="n">
        <v>0.2769522551309542</v>
      </c>
      <c r="U428" t="n">
        <v>7.664371545945978</v>
      </c>
      <c r="V428" t="n">
        <v>0.4918083913585612</v>
      </c>
      <c r="W428">
        <f>Q428-V428</f>
        <v/>
      </c>
    </row>
    <row r="429">
      <c r="A429" t="inlineStr">
        <is>
          <t>2023-11-13</t>
        </is>
      </c>
      <c r="B429" t="inlineStr">
        <is>
          <t>CW</t>
        </is>
      </c>
      <c r="C429" t="n">
        <v>9.135426391833992</v>
      </c>
      <c r="D429">
        <f>SUMPRODUCT(Risk_Inputs!B429:AJ429,Risk_Coefs!$B$2:$AJ$2)</f>
        <v/>
      </c>
      <c r="E429">
        <f>1/(1+EXP(-MAX(-25,MIN(25,D429))))</f>
        <v/>
      </c>
      <c r="F429">
        <f>SUMPRODUCT(Risk_Inputs!B429:AJ429,Risk_Coefs!$B$3:$AJ$3)</f>
        <v/>
      </c>
      <c r="G429">
        <f>MAX(0,F429)</f>
        <v/>
      </c>
      <c r="H429">
        <f>(SUMPRODUCT(--ISNUMBER($E$2:$E$800),--($E$2:$E$800&lt;E429))+(SUMPRODUCT(--ISNUMBER($E$2:$E$800),--($E$2:$E$800=E429))+1)/2)/COUNT($E$2:$E$800)</f>
        <v/>
      </c>
      <c r="I429">
        <f>(SUMPRODUCT(--ISNUMBER($G$2:$G$800),--($G$2:$G$800&lt;G429))+(SUMPRODUCT(--ISNUMBER($G$2:$G$800),--($G$2:$G$800=G429))+1)/2)/COUNT($G$2:$G$800)</f>
        <v/>
      </c>
      <c r="J429" t="n">
        <v>1.925822454576268</v>
      </c>
      <c r="K429" t="n">
        <v>2.360515021459235</v>
      </c>
      <c r="L429" t="n">
        <v>0.2503576537911312</v>
      </c>
      <c r="M429">
        <f>IF(OR(B429="NW",COUNT(Risk_Rank_Keys!B429)=0),0.5,(SUMPRODUCT(--ISNUMBER(Risk_Rank_Keys!$B$2:$B$800),--(Risk_Rank_Keys!$B$2:$B$800&lt;Risk_Rank_Keys!B429))+(SUMPRODUCT(--ISNUMBER(Risk_Rank_Keys!$B$2:$B$800),--(Risk_Rank_Keys!$B$2:$B$800=Risk_Rank_Keys!B429))+1)/2)/COUNT(Risk_Rank_Keys!$B$2:$B$800))</f>
        <v/>
      </c>
      <c r="N429">
        <f>IF(OR(B429="NW",COUNT(Risk_Rank_Keys!C429)=0),0.5,(SUMPRODUCT(--ISNUMBER(Risk_Rank_Keys!$C$2:$C$800),--(Risk_Rank_Keys!$C$2:$C$800&lt;Risk_Rank_Keys!C429))+(SUMPRODUCT(--ISNUMBER(Risk_Rank_Keys!$C$2:$C$800),--(Risk_Rank_Keys!$C$2:$C$800=Risk_Rank_Keys!C429))+1)/2)/COUNT(Risk_Rank_Keys!$C$2:$C$800))</f>
        <v/>
      </c>
      <c r="O429">
        <f>IF(OR(B429="NW",COUNT(Risk_Rank_Keys!D429)=0),0.5,(SUMPRODUCT(--ISNUMBER(Risk_Rank_Keys!$D$2:$D$800),--(Risk_Rank_Keys!$D$2:$D$800&lt;Risk_Rank_Keys!D429))+(SUMPRODUCT(--ISNUMBER(Risk_Rank_Keys!$D$2:$D$800),--(Risk_Rank_Keys!$D$2:$D$800=Risk_Rank_Keys!D429))+1)/2)/COUNT(Risk_Rank_Keys!$D$2:$D$800))</f>
        <v/>
      </c>
      <c r="P429">
        <f>AVERAGE(M429:O429)</f>
        <v/>
      </c>
      <c r="Q429">
        <f>0.4*H429+0.4*I429+0.2*P429</f>
        <v/>
      </c>
      <c r="R429">
        <f>PERCENTILE($Q$2:$Q$800,0.75)</f>
        <v/>
      </c>
      <c r="S429">
        <f>OR(Q429&gt;=R429,AND(B429="CW",COUNT(J429:L429)&lt;3))</f>
        <v/>
      </c>
      <c r="T429" t="n">
        <v>0.2643014774764355</v>
      </c>
      <c r="U429" t="n">
        <v>4.927359023259105</v>
      </c>
      <c r="V429" t="n">
        <v>0.2608806102933176</v>
      </c>
      <c r="W429">
        <f>Q429-V429</f>
        <v/>
      </c>
    </row>
    <row r="430">
      <c r="A430" t="inlineStr">
        <is>
          <t>2023-11-20</t>
        </is>
      </c>
      <c r="B430" t="inlineStr">
        <is>
          <t>CW</t>
        </is>
      </c>
      <c r="C430" t="n">
        <v>11.41246687312679</v>
      </c>
      <c r="D430">
        <f>SUMPRODUCT(Risk_Inputs!B430:AJ430,Risk_Coefs!$B$2:$AJ$2)</f>
        <v/>
      </c>
      <c r="E430">
        <f>1/(1+EXP(-MAX(-25,MIN(25,D430))))</f>
        <v/>
      </c>
      <c r="F430">
        <f>SUMPRODUCT(Risk_Inputs!B430:AJ430,Risk_Coefs!$B$3:$AJ$3)</f>
        <v/>
      </c>
      <c r="G430">
        <f>MAX(0,F430)</f>
        <v/>
      </c>
      <c r="H430">
        <f>(SUMPRODUCT(--ISNUMBER($E$2:$E$800),--($E$2:$E$800&lt;E430))+(SUMPRODUCT(--ISNUMBER($E$2:$E$800),--($E$2:$E$800=E430))+1)/2)/COUNT($E$2:$E$800)</f>
        <v/>
      </c>
      <c r="I430">
        <f>(SUMPRODUCT(--ISNUMBER($G$2:$G$800),--($G$2:$G$800&lt;G430))+(SUMPRODUCT(--ISNUMBER($G$2:$G$800),--($G$2:$G$800=G430))+1)/2)/COUNT($G$2:$G$800)</f>
        <v/>
      </c>
      <c r="J430" t="n">
        <v>4.326944974417519</v>
      </c>
      <c r="K430" t="n">
        <v>1.618303571428559</v>
      </c>
      <c r="L430" t="n">
        <v>0.1953125000000047</v>
      </c>
      <c r="M430">
        <f>IF(OR(B430="NW",COUNT(Risk_Rank_Keys!B430)=0),0.5,(SUMPRODUCT(--ISNUMBER(Risk_Rank_Keys!$B$2:$B$800),--(Risk_Rank_Keys!$B$2:$B$800&lt;Risk_Rank_Keys!B430))+(SUMPRODUCT(--ISNUMBER(Risk_Rank_Keys!$B$2:$B$800),--(Risk_Rank_Keys!$B$2:$B$800=Risk_Rank_Keys!B430))+1)/2)/COUNT(Risk_Rank_Keys!$B$2:$B$800))</f>
        <v/>
      </c>
      <c r="N430">
        <f>IF(OR(B430="NW",COUNT(Risk_Rank_Keys!C430)=0),0.5,(SUMPRODUCT(--ISNUMBER(Risk_Rank_Keys!$C$2:$C$800),--(Risk_Rank_Keys!$C$2:$C$800&lt;Risk_Rank_Keys!C430))+(SUMPRODUCT(--ISNUMBER(Risk_Rank_Keys!$C$2:$C$800),--(Risk_Rank_Keys!$C$2:$C$800=Risk_Rank_Keys!C430))+1)/2)/COUNT(Risk_Rank_Keys!$C$2:$C$800))</f>
        <v/>
      </c>
      <c r="O430">
        <f>IF(OR(B430="NW",COUNT(Risk_Rank_Keys!D430)=0),0.5,(SUMPRODUCT(--ISNUMBER(Risk_Rank_Keys!$D$2:$D$800),--(Risk_Rank_Keys!$D$2:$D$800&lt;Risk_Rank_Keys!D430))+(SUMPRODUCT(--ISNUMBER(Risk_Rank_Keys!$D$2:$D$800),--(Risk_Rank_Keys!$D$2:$D$800=Risk_Rank_Keys!D430))+1)/2)/COUNT(Risk_Rank_Keys!$D$2:$D$800))</f>
        <v/>
      </c>
      <c r="P430">
        <f>AVERAGE(M430:O430)</f>
        <v/>
      </c>
      <c r="Q430">
        <f>0.4*H430+0.4*I430+0.2*P430</f>
        <v/>
      </c>
      <c r="R430">
        <f>PERCENTILE($Q$2:$Q$800,0.75)</f>
        <v/>
      </c>
      <c r="S430">
        <f>OR(Q430&gt;=R430,AND(B430="CW",COUNT(J430:L430)&lt;3))</f>
        <v/>
      </c>
      <c r="T430" t="n">
        <v>0.3256907209368861</v>
      </c>
      <c r="U430" t="n">
        <v>6.235987354153329</v>
      </c>
      <c r="V430" t="n">
        <v>0.439451918338183</v>
      </c>
      <c r="W430">
        <f>Q430-V430</f>
        <v/>
      </c>
    </row>
    <row r="431">
      <c r="A431" t="inlineStr">
        <is>
          <t>2023-11-21</t>
        </is>
      </c>
      <c r="B431" t="inlineStr">
        <is>
          <t>CW</t>
        </is>
      </c>
      <c r="C431" t="n">
        <v>7.478630086596625</v>
      </c>
      <c r="D431">
        <f>SUMPRODUCT(Risk_Inputs!B431:AJ431,Risk_Coefs!$B$2:$AJ$2)</f>
        <v/>
      </c>
      <c r="E431">
        <f>1/(1+EXP(-MAX(-25,MIN(25,D431))))</f>
        <v/>
      </c>
      <c r="F431">
        <f>SUMPRODUCT(Risk_Inputs!B431:AJ431,Risk_Coefs!$B$3:$AJ$3)</f>
        <v/>
      </c>
      <c r="G431">
        <f>MAX(0,F431)</f>
        <v/>
      </c>
      <c r="H431">
        <f>(SUMPRODUCT(--ISNUMBER($E$2:$E$800),--($E$2:$E$800&lt;E431))+(SUMPRODUCT(--ISNUMBER($E$2:$E$800),--($E$2:$E$800=E431))+1)/2)/COUNT($E$2:$E$800)</f>
        <v/>
      </c>
      <c r="I431">
        <f>(SUMPRODUCT(--ISNUMBER($G$2:$G$800),--($G$2:$G$800&lt;G431))+(SUMPRODUCT(--ISNUMBER($G$2:$G$800),--($G$2:$G$800=G431))+1)/2)/COUNT($G$2:$G$800)</f>
        <v/>
      </c>
      <c r="J431" t="n">
        <v>5.409627620446738</v>
      </c>
      <c r="K431" t="n">
        <v>2.555366269165247</v>
      </c>
      <c r="L431" t="n">
        <v>0.1703577512776831</v>
      </c>
      <c r="M431">
        <f>IF(OR(B431="NW",COUNT(Risk_Rank_Keys!B431)=0),0.5,(SUMPRODUCT(--ISNUMBER(Risk_Rank_Keys!$B$2:$B$800),--(Risk_Rank_Keys!$B$2:$B$800&lt;Risk_Rank_Keys!B431))+(SUMPRODUCT(--ISNUMBER(Risk_Rank_Keys!$B$2:$B$800),--(Risk_Rank_Keys!$B$2:$B$800=Risk_Rank_Keys!B431))+1)/2)/COUNT(Risk_Rank_Keys!$B$2:$B$800))</f>
        <v/>
      </c>
      <c r="N431">
        <f>IF(OR(B431="NW",COUNT(Risk_Rank_Keys!C431)=0),0.5,(SUMPRODUCT(--ISNUMBER(Risk_Rank_Keys!$C$2:$C$800),--(Risk_Rank_Keys!$C$2:$C$800&lt;Risk_Rank_Keys!C431))+(SUMPRODUCT(--ISNUMBER(Risk_Rank_Keys!$C$2:$C$800),--(Risk_Rank_Keys!$C$2:$C$800=Risk_Rank_Keys!C431))+1)/2)/COUNT(Risk_Rank_Keys!$C$2:$C$800))</f>
        <v/>
      </c>
      <c r="O431">
        <f>IF(OR(B431="NW",COUNT(Risk_Rank_Keys!D431)=0),0.5,(SUMPRODUCT(--ISNUMBER(Risk_Rank_Keys!$D$2:$D$800),--(Risk_Rank_Keys!$D$2:$D$800&lt;Risk_Rank_Keys!D431))+(SUMPRODUCT(--ISNUMBER(Risk_Rank_Keys!$D$2:$D$800),--(Risk_Rank_Keys!$D$2:$D$800=Risk_Rank_Keys!D431))+1)/2)/COUNT(Risk_Rank_Keys!$D$2:$D$800))</f>
        <v/>
      </c>
      <c r="P431">
        <f>AVERAGE(M431:O431)</f>
        <v/>
      </c>
      <c r="Q431">
        <f>0.4*H431+0.4*I431+0.2*P431</f>
        <v/>
      </c>
      <c r="R431">
        <f>PERCENTILE($Q$2:$Q$800,0.75)</f>
        <v/>
      </c>
      <c r="S431">
        <f>OR(Q431&gt;=R431,AND(B431="CW",COUNT(J431:L431)&lt;3))</f>
        <v/>
      </c>
      <c r="T431" t="n">
        <v>0.252400404514882</v>
      </c>
      <c r="U431" t="n">
        <v>5.511682933781428</v>
      </c>
      <c r="V431" t="n">
        <v>0.2429070741029728</v>
      </c>
      <c r="W431">
        <f>Q431-V431</f>
        <v/>
      </c>
    </row>
    <row r="432">
      <c r="A432" t="inlineStr">
        <is>
          <t>2023-12-05</t>
        </is>
      </c>
      <c r="B432" t="inlineStr">
        <is>
          <t>CW</t>
        </is>
      </c>
      <c r="C432" t="n">
        <v>38.79758999986596</v>
      </c>
      <c r="D432">
        <f>SUMPRODUCT(Risk_Inputs!B432:AJ432,Risk_Coefs!$B$2:$AJ$2)</f>
        <v/>
      </c>
      <c r="E432">
        <f>1/(1+EXP(-MAX(-25,MIN(25,D432))))</f>
        <v/>
      </c>
      <c r="F432">
        <f>SUMPRODUCT(Risk_Inputs!B432:AJ432,Risk_Coefs!$B$3:$AJ$3)</f>
        <v/>
      </c>
      <c r="G432">
        <f>MAX(0,F432)</f>
        <v/>
      </c>
      <c r="H432">
        <f>(SUMPRODUCT(--ISNUMBER($E$2:$E$800),--($E$2:$E$800&lt;E432))+(SUMPRODUCT(--ISNUMBER($E$2:$E$800),--($E$2:$E$800=E432))+1)/2)/COUNT($E$2:$E$800)</f>
        <v/>
      </c>
      <c r="I432">
        <f>(SUMPRODUCT(--ISNUMBER($G$2:$G$800),--($G$2:$G$800&lt;G432))+(SUMPRODUCT(--ISNUMBER($G$2:$G$800),--($G$2:$G$800=G432))+1)/2)/COUNT($G$2:$G$800)</f>
        <v/>
      </c>
      <c r="J432" t="n">
        <v>4.534102931333879</v>
      </c>
      <c r="K432" t="n">
        <v>2.571230020847816</v>
      </c>
      <c r="L432" t="n">
        <v>0.1853138753764214</v>
      </c>
      <c r="M432">
        <f>IF(OR(B432="NW",COUNT(Risk_Rank_Keys!B432)=0),0.5,(SUMPRODUCT(--ISNUMBER(Risk_Rank_Keys!$B$2:$B$800),--(Risk_Rank_Keys!$B$2:$B$800&lt;Risk_Rank_Keys!B432))+(SUMPRODUCT(--ISNUMBER(Risk_Rank_Keys!$B$2:$B$800),--(Risk_Rank_Keys!$B$2:$B$800=Risk_Rank_Keys!B432))+1)/2)/COUNT(Risk_Rank_Keys!$B$2:$B$800))</f>
        <v/>
      </c>
      <c r="N432">
        <f>IF(OR(B432="NW",COUNT(Risk_Rank_Keys!C432)=0),0.5,(SUMPRODUCT(--ISNUMBER(Risk_Rank_Keys!$C$2:$C$800),--(Risk_Rank_Keys!$C$2:$C$800&lt;Risk_Rank_Keys!C432))+(SUMPRODUCT(--ISNUMBER(Risk_Rank_Keys!$C$2:$C$800),--(Risk_Rank_Keys!$C$2:$C$800=Risk_Rank_Keys!C432))+1)/2)/COUNT(Risk_Rank_Keys!$C$2:$C$800))</f>
        <v/>
      </c>
      <c r="O432">
        <f>IF(OR(B432="NW",COUNT(Risk_Rank_Keys!D432)=0),0.5,(SUMPRODUCT(--ISNUMBER(Risk_Rank_Keys!$D$2:$D$800),--(Risk_Rank_Keys!$D$2:$D$800&lt;Risk_Rank_Keys!D432))+(SUMPRODUCT(--ISNUMBER(Risk_Rank_Keys!$D$2:$D$800),--(Risk_Rank_Keys!$D$2:$D$800=Risk_Rank_Keys!D432))+1)/2)/COUNT(Risk_Rank_Keys!$D$2:$D$800))</f>
        <v/>
      </c>
      <c r="P432">
        <f>AVERAGE(M432:O432)</f>
        <v/>
      </c>
      <c r="Q432">
        <f>0.4*H432+0.4*I432+0.2*P432</f>
        <v/>
      </c>
      <c r="R432">
        <f>PERCENTILE($Q$2:$Q$800,0.75)</f>
        <v/>
      </c>
      <c r="S432">
        <f>OR(Q432&gt;=R432,AND(B432="CW",COUNT(J432:L432)&lt;3))</f>
        <v/>
      </c>
      <c r="T432" t="n">
        <v>0.3342797201772393</v>
      </c>
      <c r="U432" t="n">
        <v>9.552112329677485</v>
      </c>
      <c r="V432" t="n">
        <v>0.6443374999781806</v>
      </c>
      <c r="W432">
        <f>Q432-V432</f>
        <v/>
      </c>
    </row>
    <row r="433">
      <c r="A433" t="inlineStr">
        <is>
          <t>2023-12-06</t>
        </is>
      </c>
      <c r="B433" t="inlineStr">
        <is>
          <t>CW</t>
        </is>
      </c>
      <c r="C433" t="n">
        <v>24.93431050027472</v>
      </c>
      <c r="D433">
        <f>SUMPRODUCT(Risk_Inputs!B433:AJ433,Risk_Coefs!$B$2:$AJ$2)</f>
        <v/>
      </c>
      <c r="E433">
        <f>1/(1+EXP(-MAX(-25,MIN(25,D433))))</f>
        <v/>
      </c>
      <c r="F433">
        <f>SUMPRODUCT(Risk_Inputs!B433:AJ433,Risk_Coefs!$B$3:$AJ$3)</f>
        <v/>
      </c>
      <c r="G433">
        <f>MAX(0,F433)</f>
        <v/>
      </c>
      <c r="H433">
        <f>(SUMPRODUCT(--ISNUMBER($E$2:$E$800),--($E$2:$E$800&lt;E433))+(SUMPRODUCT(--ISNUMBER($E$2:$E$800),--($E$2:$E$800=E433))+1)/2)/COUNT($E$2:$E$800)</f>
        <v/>
      </c>
      <c r="I433">
        <f>(SUMPRODUCT(--ISNUMBER($G$2:$G$800),--($G$2:$G$800&lt;G433))+(SUMPRODUCT(--ISNUMBER($G$2:$G$800),--($G$2:$G$800=G433))+1)/2)/COUNT($G$2:$G$800)</f>
        <v/>
      </c>
      <c r="J433" t="n">
        <v>6.3718284045143</v>
      </c>
      <c r="K433" t="n">
        <v>6.658047834518431</v>
      </c>
      <c r="L433" t="n">
        <v>0.2585649644473211</v>
      </c>
      <c r="M433">
        <f>IF(OR(B433="NW",COUNT(Risk_Rank_Keys!B433)=0),0.5,(SUMPRODUCT(--ISNUMBER(Risk_Rank_Keys!$B$2:$B$800),--(Risk_Rank_Keys!$B$2:$B$800&lt;Risk_Rank_Keys!B433))+(SUMPRODUCT(--ISNUMBER(Risk_Rank_Keys!$B$2:$B$800),--(Risk_Rank_Keys!$B$2:$B$800=Risk_Rank_Keys!B433))+1)/2)/COUNT(Risk_Rank_Keys!$B$2:$B$800))</f>
        <v/>
      </c>
      <c r="N433">
        <f>IF(OR(B433="NW",COUNT(Risk_Rank_Keys!C433)=0),0.5,(SUMPRODUCT(--ISNUMBER(Risk_Rank_Keys!$C$2:$C$800),--(Risk_Rank_Keys!$C$2:$C$800&lt;Risk_Rank_Keys!C433))+(SUMPRODUCT(--ISNUMBER(Risk_Rank_Keys!$C$2:$C$800),--(Risk_Rank_Keys!$C$2:$C$800=Risk_Rank_Keys!C433))+1)/2)/COUNT(Risk_Rank_Keys!$C$2:$C$800))</f>
        <v/>
      </c>
      <c r="O433">
        <f>IF(OR(B433="NW",COUNT(Risk_Rank_Keys!D433)=0),0.5,(SUMPRODUCT(--ISNUMBER(Risk_Rank_Keys!$D$2:$D$800),--(Risk_Rank_Keys!$D$2:$D$800&lt;Risk_Rank_Keys!D433))+(SUMPRODUCT(--ISNUMBER(Risk_Rank_Keys!$D$2:$D$800),--(Risk_Rank_Keys!$D$2:$D$800=Risk_Rank_Keys!D433))+1)/2)/COUNT(Risk_Rank_Keys!$D$2:$D$800))</f>
        <v/>
      </c>
      <c r="P433">
        <f>AVERAGE(M433:O433)</f>
        <v/>
      </c>
      <c r="Q433">
        <f>0.4*H433+0.4*I433+0.2*P433</f>
        <v/>
      </c>
      <c r="R433">
        <f>PERCENTILE($Q$2:$Q$800,0.75)</f>
        <v/>
      </c>
      <c r="S433">
        <f>OR(Q433&gt;=R433,AND(B433="CW",COUNT(J433:L433)&lt;3))</f>
        <v/>
      </c>
      <c r="T433" t="n">
        <v>0.265914187106908</v>
      </c>
      <c r="U433" t="n">
        <v>8.848448971593887</v>
      </c>
      <c r="V433" t="n">
        <v>0.5237911871475793</v>
      </c>
      <c r="W433">
        <f>Q433-V433</f>
        <v/>
      </c>
    </row>
    <row r="434">
      <c r="A434" t="inlineStr">
        <is>
          <t>2023-12-07</t>
        </is>
      </c>
      <c r="B434" t="inlineStr">
        <is>
          <t>NW</t>
        </is>
      </c>
      <c r="C434" t="n">
        <v>31.50177055787631</v>
      </c>
      <c r="D434">
        <f>SUMPRODUCT(Risk_Inputs!B434:AJ434,Risk_Coefs!$B$2:$AJ$2)</f>
        <v/>
      </c>
      <c r="E434">
        <f>1/(1+EXP(-MAX(-25,MIN(25,D434))))</f>
        <v/>
      </c>
      <c r="F434">
        <f>SUMPRODUCT(Risk_Inputs!B434:AJ434,Risk_Coefs!$B$3:$AJ$3)</f>
        <v/>
      </c>
      <c r="G434">
        <f>MAX(0,F434)</f>
        <v/>
      </c>
      <c r="H434">
        <f>(SUMPRODUCT(--ISNUMBER($E$2:$E$800),--($E$2:$E$800&lt;E434))+(SUMPRODUCT(--ISNUMBER($E$2:$E$800),--($E$2:$E$800=E434))+1)/2)/COUNT($E$2:$E$800)</f>
        <v/>
      </c>
      <c r="I434">
        <f>(SUMPRODUCT(--ISNUMBER($G$2:$G$800),--($G$2:$G$800&lt;G434))+(SUMPRODUCT(--ISNUMBER($G$2:$G$800),--($G$2:$G$800=G434))+1)/2)/COUNT($G$2:$G$800)</f>
        <v/>
      </c>
      <c r="M434">
        <f>IF(OR(B434="NW",COUNT(Risk_Rank_Keys!B434)=0),0.5,(SUMPRODUCT(--ISNUMBER(Risk_Rank_Keys!$B$2:$B$800),--(Risk_Rank_Keys!$B$2:$B$800&lt;Risk_Rank_Keys!B434))+(SUMPRODUCT(--ISNUMBER(Risk_Rank_Keys!$B$2:$B$800),--(Risk_Rank_Keys!$B$2:$B$800=Risk_Rank_Keys!B434))+1)/2)/COUNT(Risk_Rank_Keys!$B$2:$B$800))</f>
        <v/>
      </c>
      <c r="N434">
        <f>IF(OR(B434="NW",COUNT(Risk_Rank_Keys!C434)=0),0.5,(SUMPRODUCT(--ISNUMBER(Risk_Rank_Keys!$C$2:$C$800),--(Risk_Rank_Keys!$C$2:$C$800&lt;Risk_Rank_Keys!C434))+(SUMPRODUCT(--ISNUMBER(Risk_Rank_Keys!$C$2:$C$800),--(Risk_Rank_Keys!$C$2:$C$800=Risk_Rank_Keys!C434))+1)/2)/COUNT(Risk_Rank_Keys!$C$2:$C$800))</f>
        <v/>
      </c>
      <c r="O434">
        <f>IF(OR(B434="NW",COUNT(Risk_Rank_Keys!D434)=0),0.5,(SUMPRODUCT(--ISNUMBER(Risk_Rank_Keys!$D$2:$D$800),--(Risk_Rank_Keys!$D$2:$D$800&lt;Risk_Rank_Keys!D434))+(SUMPRODUCT(--ISNUMBER(Risk_Rank_Keys!$D$2:$D$800),--(Risk_Rank_Keys!$D$2:$D$800=Risk_Rank_Keys!D434))+1)/2)/COUNT(Risk_Rank_Keys!$D$2:$D$800))</f>
        <v/>
      </c>
      <c r="P434">
        <f>AVERAGE(M434:O434)</f>
        <v/>
      </c>
      <c r="Q434">
        <f>0.4*H434+0.4*I434+0.2*P434</f>
        <v/>
      </c>
      <c r="R434">
        <f>PERCENTILE($Q$2:$Q$800,0.75)</f>
        <v/>
      </c>
      <c r="S434">
        <f>OR(Q434&gt;=R434,AND(B434="CW",COUNT(J434:L434)&lt;3))</f>
        <v/>
      </c>
      <c r="T434" t="n">
        <v>0.3538037195524265</v>
      </c>
      <c r="U434" t="n">
        <v>10.1369181358093</v>
      </c>
      <c r="V434" t="n">
        <v>0.7528160200250313</v>
      </c>
      <c r="W434">
        <f>Q434-V434</f>
        <v/>
      </c>
    </row>
    <row r="435">
      <c r="A435" t="inlineStr">
        <is>
          <t>2023-12-12</t>
        </is>
      </c>
      <c r="B435" t="inlineStr">
        <is>
          <t>CW</t>
        </is>
      </c>
      <c r="C435" t="n">
        <v>-6.366300852132221</v>
      </c>
      <c r="D435">
        <f>SUMPRODUCT(Risk_Inputs!B435:AJ435,Risk_Coefs!$B$2:$AJ$2)</f>
        <v/>
      </c>
      <c r="E435">
        <f>1/(1+EXP(-MAX(-25,MIN(25,D435))))</f>
        <v/>
      </c>
      <c r="F435">
        <f>SUMPRODUCT(Risk_Inputs!B435:AJ435,Risk_Coefs!$B$3:$AJ$3)</f>
        <v/>
      </c>
      <c r="G435">
        <f>MAX(0,F435)</f>
        <v/>
      </c>
      <c r="H435">
        <f>(SUMPRODUCT(--ISNUMBER($E$2:$E$800),--($E$2:$E$800&lt;E435))+(SUMPRODUCT(--ISNUMBER($E$2:$E$800),--($E$2:$E$800=E435))+1)/2)/COUNT($E$2:$E$800)</f>
        <v/>
      </c>
      <c r="I435">
        <f>(SUMPRODUCT(--ISNUMBER($G$2:$G$800),--($G$2:$G$800&lt;G435))+(SUMPRODUCT(--ISNUMBER($G$2:$G$800),--($G$2:$G$800=G435))+1)/2)/COUNT($G$2:$G$800)</f>
        <v/>
      </c>
      <c r="J435" t="n">
        <v>5.084222280296069</v>
      </c>
      <c r="K435" t="n">
        <v>1.716992303137955</v>
      </c>
      <c r="L435" t="n">
        <v>0.1480165778567283</v>
      </c>
      <c r="M435">
        <f>IF(OR(B435="NW",COUNT(Risk_Rank_Keys!B435)=0),0.5,(SUMPRODUCT(--ISNUMBER(Risk_Rank_Keys!$B$2:$B$800),--(Risk_Rank_Keys!$B$2:$B$800&lt;Risk_Rank_Keys!B435))+(SUMPRODUCT(--ISNUMBER(Risk_Rank_Keys!$B$2:$B$800),--(Risk_Rank_Keys!$B$2:$B$800=Risk_Rank_Keys!B435))+1)/2)/COUNT(Risk_Rank_Keys!$B$2:$B$800))</f>
        <v/>
      </c>
      <c r="N435">
        <f>IF(OR(B435="NW",COUNT(Risk_Rank_Keys!C435)=0),0.5,(SUMPRODUCT(--ISNUMBER(Risk_Rank_Keys!$C$2:$C$800),--(Risk_Rank_Keys!$C$2:$C$800&lt;Risk_Rank_Keys!C435))+(SUMPRODUCT(--ISNUMBER(Risk_Rank_Keys!$C$2:$C$800),--(Risk_Rank_Keys!$C$2:$C$800=Risk_Rank_Keys!C435))+1)/2)/COUNT(Risk_Rank_Keys!$C$2:$C$800))</f>
        <v/>
      </c>
      <c r="O435">
        <f>IF(OR(B435="NW",COUNT(Risk_Rank_Keys!D435)=0),0.5,(SUMPRODUCT(--ISNUMBER(Risk_Rank_Keys!$D$2:$D$800),--(Risk_Rank_Keys!$D$2:$D$800&lt;Risk_Rank_Keys!D435))+(SUMPRODUCT(--ISNUMBER(Risk_Rank_Keys!$D$2:$D$800),--(Risk_Rank_Keys!$D$2:$D$800=Risk_Rank_Keys!D435))+1)/2)/COUNT(Risk_Rank_Keys!$D$2:$D$800))</f>
        <v/>
      </c>
      <c r="P435">
        <f>AVERAGE(M435:O435)</f>
        <v/>
      </c>
      <c r="Q435">
        <f>0.4*H435+0.4*I435+0.2*P435</f>
        <v/>
      </c>
      <c r="R435">
        <f>PERCENTILE($Q$2:$Q$800,0.75)</f>
        <v/>
      </c>
      <c r="S435">
        <f>OR(Q435&gt;=R435,AND(B435="CW",COUNT(J435:L435)&lt;3))</f>
        <v/>
      </c>
      <c r="T435" t="n">
        <v>0.2488365966762488</v>
      </c>
      <c r="U435" t="n">
        <v>5.997374627988154</v>
      </c>
      <c r="V435" t="n">
        <v>0.2391438856916101</v>
      </c>
      <c r="W435">
        <f>Q435-V435</f>
        <v/>
      </c>
    </row>
    <row r="436">
      <c r="A436" t="inlineStr">
        <is>
          <t>2023-12-18</t>
        </is>
      </c>
      <c r="B436" t="inlineStr">
        <is>
          <t>CW</t>
        </is>
      </c>
      <c r="C436" t="n">
        <v>23.97636789762173</v>
      </c>
      <c r="D436">
        <f>SUMPRODUCT(Risk_Inputs!B436:AJ436,Risk_Coefs!$B$2:$AJ$2)</f>
        <v/>
      </c>
      <c r="E436">
        <f>1/(1+EXP(-MAX(-25,MIN(25,D436))))</f>
        <v/>
      </c>
      <c r="F436">
        <f>SUMPRODUCT(Risk_Inputs!B436:AJ436,Risk_Coefs!$B$3:$AJ$3)</f>
        <v/>
      </c>
      <c r="G436">
        <f>MAX(0,F436)</f>
        <v/>
      </c>
      <c r="H436">
        <f>(SUMPRODUCT(--ISNUMBER($E$2:$E$800),--($E$2:$E$800&lt;E436))+(SUMPRODUCT(--ISNUMBER($E$2:$E$800),--($E$2:$E$800=E436))+1)/2)/COUNT($E$2:$E$800)</f>
        <v/>
      </c>
      <c r="I436">
        <f>(SUMPRODUCT(--ISNUMBER($G$2:$G$800),--($G$2:$G$800&lt;G436))+(SUMPRODUCT(--ISNUMBER($G$2:$G$800),--($G$2:$G$800=G436))+1)/2)/COUNT($G$2:$G$800)</f>
        <v/>
      </c>
      <c r="J436" t="n">
        <v>12.10314961731694</v>
      </c>
      <c r="K436" t="n">
        <v>1.381851681252892</v>
      </c>
      <c r="L436" t="n">
        <v>0.1842468908337132</v>
      </c>
      <c r="M436">
        <f>IF(OR(B436="NW",COUNT(Risk_Rank_Keys!B436)=0),0.5,(SUMPRODUCT(--ISNUMBER(Risk_Rank_Keys!$B$2:$B$800),--(Risk_Rank_Keys!$B$2:$B$800&lt;Risk_Rank_Keys!B436))+(SUMPRODUCT(--ISNUMBER(Risk_Rank_Keys!$B$2:$B$800),--(Risk_Rank_Keys!$B$2:$B$800=Risk_Rank_Keys!B436))+1)/2)/COUNT(Risk_Rank_Keys!$B$2:$B$800))</f>
        <v/>
      </c>
      <c r="N436">
        <f>IF(OR(B436="NW",COUNT(Risk_Rank_Keys!C436)=0),0.5,(SUMPRODUCT(--ISNUMBER(Risk_Rank_Keys!$C$2:$C$800),--(Risk_Rank_Keys!$C$2:$C$800&lt;Risk_Rank_Keys!C436))+(SUMPRODUCT(--ISNUMBER(Risk_Rank_Keys!$C$2:$C$800),--(Risk_Rank_Keys!$C$2:$C$800=Risk_Rank_Keys!C436))+1)/2)/COUNT(Risk_Rank_Keys!$C$2:$C$800))</f>
        <v/>
      </c>
      <c r="O436">
        <f>IF(OR(B436="NW",COUNT(Risk_Rank_Keys!D436)=0),0.5,(SUMPRODUCT(--ISNUMBER(Risk_Rank_Keys!$D$2:$D$800),--(Risk_Rank_Keys!$D$2:$D$800&lt;Risk_Rank_Keys!D436))+(SUMPRODUCT(--ISNUMBER(Risk_Rank_Keys!$D$2:$D$800),--(Risk_Rank_Keys!$D$2:$D$800=Risk_Rank_Keys!D436))+1)/2)/COUNT(Risk_Rank_Keys!$D$2:$D$800))</f>
        <v/>
      </c>
      <c r="P436">
        <f>AVERAGE(M436:O436)</f>
        <v/>
      </c>
      <c r="Q436">
        <f>0.4*H436+0.4*I436+0.2*P436</f>
        <v/>
      </c>
      <c r="R436">
        <f>PERCENTILE($Q$2:$Q$800,0.75)</f>
        <v/>
      </c>
      <c r="S436">
        <f>OR(Q436&gt;=R436,AND(B436="CW",COUNT(J436:L436)&lt;3))</f>
        <v/>
      </c>
      <c r="T436" t="n">
        <v>0.3181497339983508</v>
      </c>
      <c r="U436" t="n">
        <v>6.2290223529227</v>
      </c>
      <c r="V436" t="n">
        <v>0.4455542696618099</v>
      </c>
      <c r="W436">
        <f>Q436-V436</f>
        <v/>
      </c>
    </row>
    <row r="437">
      <c r="A437" t="inlineStr">
        <is>
          <t>2023-12-19</t>
        </is>
      </c>
      <c r="B437" t="inlineStr">
        <is>
          <t>CW</t>
        </is>
      </c>
      <c r="C437" t="n">
        <v>27.99161139823465</v>
      </c>
      <c r="D437">
        <f>SUMPRODUCT(Risk_Inputs!B437:AJ437,Risk_Coefs!$B$2:$AJ$2)</f>
        <v/>
      </c>
      <c r="E437">
        <f>1/(1+EXP(-MAX(-25,MIN(25,D437))))</f>
        <v/>
      </c>
      <c r="F437">
        <f>SUMPRODUCT(Risk_Inputs!B437:AJ437,Risk_Coefs!$B$3:$AJ$3)</f>
        <v/>
      </c>
      <c r="G437">
        <f>MAX(0,F437)</f>
        <v/>
      </c>
      <c r="H437">
        <f>(SUMPRODUCT(--ISNUMBER($E$2:$E$800),--($E$2:$E$800&lt;E437))+(SUMPRODUCT(--ISNUMBER($E$2:$E$800),--($E$2:$E$800=E437))+1)/2)/COUNT($E$2:$E$800)</f>
        <v/>
      </c>
      <c r="I437">
        <f>(SUMPRODUCT(--ISNUMBER($G$2:$G$800),--($G$2:$G$800&lt;G437))+(SUMPRODUCT(--ISNUMBER($G$2:$G$800),--($G$2:$G$800=G437))+1)/2)/COUNT($G$2:$G$800)</f>
        <v/>
      </c>
      <c r="J437" t="n">
        <v>5.461356236799145</v>
      </c>
      <c r="K437" t="n">
        <v>2.327447833065808</v>
      </c>
      <c r="L437" t="n">
        <v>0.2140181915462844</v>
      </c>
      <c r="M437">
        <f>IF(OR(B437="NW",COUNT(Risk_Rank_Keys!B437)=0),0.5,(SUMPRODUCT(--ISNUMBER(Risk_Rank_Keys!$B$2:$B$800),--(Risk_Rank_Keys!$B$2:$B$800&lt;Risk_Rank_Keys!B437))+(SUMPRODUCT(--ISNUMBER(Risk_Rank_Keys!$B$2:$B$800),--(Risk_Rank_Keys!$B$2:$B$800=Risk_Rank_Keys!B437))+1)/2)/COUNT(Risk_Rank_Keys!$B$2:$B$800))</f>
        <v/>
      </c>
      <c r="N437">
        <f>IF(OR(B437="NW",COUNT(Risk_Rank_Keys!C437)=0),0.5,(SUMPRODUCT(--ISNUMBER(Risk_Rank_Keys!$C$2:$C$800),--(Risk_Rank_Keys!$C$2:$C$800&lt;Risk_Rank_Keys!C437))+(SUMPRODUCT(--ISNUMBER(Risk_Rank_Keys!$C$2:$C$800),--(Risk_Rank_Keys!$C$2:$C$800=Risk_Rank_Keys!C437))+1)/2)/COUNT(Risk_Rank_Keys!$C$2:$C$800))</f>
        <v/>
      </c>
      <c r="O437">
        <f>IF(OR(B437="NW",COUNT(Risk_Rank_Keys!D437)=0),0.5,(SUMPRODUCT(--ISNUMBER(Risk_Rank_Keys!$D$2:$D$800),--(Risk_Rank_Keys!$D$2:$D$800&lt;Risk_Rank_Keys!D437))+(SUMPRODUCT(--ISNUMBER(Risk_Rank_Keys!$D$2:$D$800),--(Risk_Rank_Keys!$D$2:$D$800=Risk_Rank_Keys!D437))+1)/2)/COUNT(Risk_Rank_Keys!$D$2:$D$800))</f>
        <v/>
      </c>
      <c r="P437">
        <f>AVERAGE(M437:O437)</f>
        <v/>
      </c>
      <c r="Q437">
        <f>0.4*H437+0.4*I437+0.2*P437</f>
        <v/>
      </c>
      <c r="R437">
        <f>PERCENTILE($Q$2:$Q$800,0.75)</f>
        <v/>
      </c>
      <c r="S437">
        <f>OR(Q437&gt;=R437,AND(B437="CW",COUNT(J437:L437)&lt;3))</f>
        <v/>
      </c>
      <c r="T437" t="n">
        <v>0.2845957331774782</v>
      </c>
      <c r="U437" t="n">
        <v>5.041119580268115</v>
      </c>
      <c r="V437" t="n">
        <v>0.3119013830049068</v>
      </c>
      <c r="W437">
        <f>Q437-V437</f>
        <v/>
      </c>
    </row>
    <row r="438">
      <c r="A438" t="inlineStr">
        <is>
          <t>2023-12-21</t>
        </is>
      </c>
      <c r="B438" t="inlineStr">
        <is>
          <t>NW</t>
        </is>
      </c>
      <c r="C438" t="n">
        <v>-14.01326346130782</v>
      </c>
      <c r="D438">
        <f>SUMPRODUCT(Risk_Inputs!B438:AJ438,Risk_Coefs!$B$2:$AJ$2)</f>
        <v/>
      </c>
      <c r="E438">
        <f>1/(1+EXP(-MAX(-25,MIN(25,D438))))</f>
        <v/>
      </c>
      <c r="F438">
        <f>SUMPRODUCT(Risk_Inputs!B438:AJ438,Risk_Coefs!$B$3:$AJ$3)</f>
        <v/>
      </c>
      <c r="G438">
        <f>MAX(0,F438)</f>
        <v/>
      </c>
      <c r="H438">
        <f>(SUMPRODUCT(--ISNUMBER($E$2:$E$800),--($E$2:$E$800&lt;E438))+(SUMPRODUCT(--ISNUMBER($E$2:$E$800),--($E$2:$E$800=E438))+1)/2)/COUNT($E$2:$E$800)</f>
        <v/>
      </c>
      <c r="I438">
        <f>(SUMPRODUCT(--ISNUMBER($G$2:$G$800),--($G$2:$G$800&lt;G438))+(SUMPRODUCT(--ISNUMBER($G$2:$G$800),--($G$2:$G$800=G438))+1)/2)/COUNT($G$2:$G$800)</f>
        <v/>
      </c>
      <c r="M438">
        <f>IF(OR(B438="NW",COUNT(Risk_Rank_Keys!B438)=0),0.5,(SUMPRODUCT(--ISNUMBER(Risk_Rank_Keys!$B$2:$B$800),--(Risk_Rank_Keys!$B$2:$B$800&lt;Risk_Rank_Keys!B438))+(SUMPRODUCT(--ISNUMBER(Risk_Rank_Keys!$B$2:$B$800),--(Risk_Rank_Keys!$B$2:$B$800=Risk_Rank_Keys!B438))+1)/2)/COUNT(Risk_Rank_Keys!$B$2:$B$800))</f>
        <v/>
      </c>
      <c r="N438">
        <f>IF(OR(B438="NW",COUNT(Risk_Rank_Keys!C438)=0),0.5,(SUMPRODUCT(--ISNUMBER(Risk_Rank_Keys!$C$2:$C$800),--(Risk_Rank_Keys!$C$2:$C$800&lt;Risk_Rank_Keys!C438))+(SUMPRODUCT(--ISNUMBER(Risk_Rank_Keys!$C$2:$C$800),--(Risk_Rank_Keys!$C$2:$C$800=Risk_Rank_Keys!C438))+1)/2)/COUNT(Risk_Rank_Keys!$C$2:$C$800))</f>
        <v/>
      </c>
      <c r="O438">
        <f>IF(OR(B438="NW",COUNT(Risk_Rank_Keys!D438)=0),0.5,(SUMPRODUCT(--ISNUMBER(Risk_Rank_Keys!$D$2:$D$800),--(Risk_Rank_Keys!$D$2:$D$800&lt;Risk_Rank_Keys!D438))+(SUMPRODUCT(--ISNUMBER(Risk_Rank_Keys!$D$2:$D$800),--(Risk_Rank_Keys!$D$2:$D$800=Risk_Rank_Keys!D438))+1)/2)/COUNT(Risk_Rank_Keys!$D$2:$D$800))</f>
        <v/>
      </c>
      <c r="P438">
        <f>AVERAGE(M438:O438)</f>
        <v/>
      </c>
      <c r="Q438">
        <f>0.4*H438+0.4*I438+0.2*P438</f>
        <v/>
      </c>
      <c r="R438">
        <f>PERCENTILE($Q$2:$Q$800,0.75)</f>
        <v/>
      </c>
      <c r="S438">
        <f>OR(Q438&gt;=R438,AND(B438="CW",COUNT(J438:L438)&lt;3))</f>
        <v/>
      </c>
      <c r="T438" t="n">
        <v>0.3694650567657363</v>
      </c>
      <c r="U438" t="n">
        <v>10.4795660824024</v>
      </c>
      <c r="V438" t="n">
        <v>0.7843554443053818</v>
      </c>
      <c r="W438">
        <f>Q438-V438</f>
        <v/>
      </c>
    </row>
    <row r="439">
      <c r="A439" t="inlineStr">
        <is>
          <t>2023-12-28</t>
        </is>
      </c>
      <c r="B439" t="inlineStr">
        <is>
          <t>CW</t>
        </is>
      </c>
      <c r="C439" t="n">
        <v>52.95890119733269</v>
      </c>
      <c r="D439">
        <f>SUMPRODUCT(Risk_Inputs!B439:AJ439,Risk_Coefs!$B$2:$AJ$2)</f>
        <v/>
      </c>
      <c r="E439">
        <f>1/(1+EXP(-MAX(-25,MIN(25,D439))))</f>
        <v/>
      </c>
      <c r="F439">
        <f>SUMPRODUCT(Risk_Inputs!B439:AJ439,Risk_Coefs!$B$3:$AJ$3)</f>
        <v/>
      </c>
      <c r="G439">
        <f>MAX(0,F439)</f>
        <v/>
      </c>
      <c r="H439">
        <f>(SUMPRODUCT(--ISNUMBER($E$2:$E$800),--($E$2:$E$800&lt;E439))+(SUMPRODUCT(--ISNUMBER($E$2:$E$800),--($E$2:$E$800=E439))+1)/2)/COUNT($E$2:$E$800)</f>
        <v/>
      </c>
      <c r="I439">
        <f>(SUMPRODUCT(--ISNUMBER($G$2:$G$800),--($G$2:$G$800&lt;G439))+(SUMPRODUCT(--ISNUMBER($G$2:$G$800),--($G$2:$G$800=G439))+1)/2)/COUNT($G$2:$G$800)</f>
        <v/>
      </c>
      <c r="J439" t="n">
        <v>17.21392210470182</v>
      </c>
      <c r="K439" t="n">
        <v>13.12949640287771</v>
      </c>
      <c r="L439" t="n">
        <v>0.3147482014388566</v>
      </c>
      <c r="M439">
        <f>IF(OR(B439="NW",COUNT(Risk_Rank_Keys!B439)=0),0.5,(SUMPRODUCT(--ISNUMBER(Risk_Rank_Keys!$B$2:$B$800),--(Risk_Rank_Keys!$B$2:$B$800&lt;Risk_Rank_Keys!B439))+(SUMPRODUCT(--ISNUMBER(Risk_Rank_Keys!$B$2:$B$800),--(Risk_Rank_Keys!$B$2:$B$800=Risk_Rank_Keys!B439))+1)/2)/COUNT(Risk_Rank_Keys!$B$2:$B$800))</f>
        <v/>
      </c>
      <c r="N439">
        <f>IF(OR(B439="NW",COUNT(Risk_Rank_Keys!C439)=0),0.5,(SUMPRODUCT(--ISNUMBER(Risk_Rank_Keys!$C$2:$C$800),--(Risk_Rank_Keys!$C$2:$C$800&lt;Risk_Rank_Keys!C439))+(SUMPRODUCT(--ISNUMBER(Risk_Rank_Keys!$C$2:$C$800),--(Risk_Rank_Keys!$C$2:$C$800=Risk_Rank_Keys!C439))+1)/2)/COUNT(Risk_Rank_Keys!$C$2:$C$800))</f>
        <v/>
      </c>
      <c r="O439">
        <f>IF(OR(B439="NW",COUNT(Risk_Rank_Keys!D439)=0),0.5,(SUMPRODUCT(--ISNUMBER(Risk_Rank_Keys!$D$2:$D$800),--(Risk_Rank_Keys!$D$2:$D$800&lt;Risk_Rank_Keys!D439))+(SUMPRODUCT(--ISNUMBER(Risk_Rank_Keys!$D$2:$D$800),--(Risk_Rank_Keys!$D$2:$D$800=Risk_Rank_Keys!D439))+1)/2)/COUNT(Risk_Rank_Keys!$D$2:$D$800))</f>
        <v/>
      </c>
      <c r="P439">
        <f>AVERAGE(M439:O439)</f>
        <v/>
      </c>
      <c r="Q439">
        <f>0.4*H439+0.4*I439+0.2*P439</f>
        <v/>
      </c>
      <c r="R439">
        <f>PERCENTILE($Q$2:$Q$800,0.75)</f>
        <v/>
      </c>
      <c r="S439">
        <f>OR(Q439&gt;=R439,AND(B439="CW",COUNT(J439:L439)&lt;3))</f>
        <v/>
      </c>
      <c r="T439" t="n">
        <v>0.2713949135480129</v>
      </c>
      <c r="U439" t="n">
        <v>9.012974918430537</v>
      </c>
      <c r="V439" t="n">
        <v>0.5951411835691873</v>
      </c>
      <c r="W439">
        <f>Q439-V439</f>
        <v/>
      </c>
    </row>
    <row r="440">
      <c r="A440" t="inlineStr">
        <is>
          <t>2023-12-29</t>
        </is>
      </c>
      <c r="B440" t="inlineStr">
        <is>
          <t>CW</t>
        </is>
      </c>
      <c r="C440" t="n">
        <v>30.03622265890826</v>
      </c>
      <c r="D440">
        <f>SUMPRODUCT(Risk_Inputs!B440:AJ440,Risk_Coefs!$B$2:$AJ$2)</f>
        <v/>
      </c>
      <c r="E440">
        <f>1/(1+EXP(-MAX(-25,MIN(25,D440))))</f>
        <v/>
      </c>
      <c r="F440">
        <f>SUMPRODUCT(Risk_Inputs!B440:AJ440,Risk_Coefs!$B$3:$AJ$3)</f>
        <v/>
      </c>
      <c r="G440">
        <f>MAX(0,F440)</f>
        <v/>
      </c>
      <c r="H440">
        <f>(SUMPRODUCT(--ISNUMBER($E$2:$E$800),--($E$2:$E$800&lt;E440))+(SUMPRODUCT(--ISNUMBER($E$2:$E$800),--($E$2:$E$800=E440))+1)/2)/COUNT($E$2:$E$800)</f>
        <v/>
      </c>
      <c r="I440">
        <f>(SUMPRODUCT(--ISNUMBER($G$2:$G$800),--($G$2:$G$800&lt;G440))+(SUMPRODUCT(--ISNUMBER($G$2:$G$800),--($G$2:$G$800=G440))+1)/2)/COUNT($G$2:$G$800)</f>
        <v/>
      </c>
      <c r="J440" t="n">
        <v>7.904103010682362</v>
      </c>
      <c r="K440" t="n">
        <v>2.051610835069733</v>
      </c>
      <c r="L440" t="n">
        <v>0.2083667254367704</v>
      </c>
      <c r="M440">
        <f>IF(OR(B440="NW",COUNT(Risk_Rank_Keys!B440)=0),0.5,(SUMPRODUCT(--ISNUMBER(Risk_Rank_Keys!$B$2:$B$800),--(Risk_Rank_Keys!$B$2:$B$800&lt;Risk_Rank_Keys!B440))+(SUMPRODUCT(--ISNUMBER(Risk_Rank_Keys!$B$2:$B$800),--(Risk_Rank_Keys!$B$2:$B$800=Risk_Rank_Keys!B440))+1)/2)/COUNT(Risk_Rank_Keys!$B$2:$B$800))</f>
        <v/>
      </c>
      <c r="N440">
        <f>IF(OR(B440="NW",COUNT(Risk_Rank_Keys!C440)=0),0.5,(SUMPRODUCT(--ISNUMBER(Risk_Rank_Keys!$C$2:$C$800),--(Risk_Rank_Keys!$C$2:$C$800&lt;Risk_Rank_Keys!C440))+(SUMPRODUCT(--ISNUMBER(Risk_Rank_Keys!$C$2:$C$800),--(Risk_Rank_Keys!$C$2:$C$800=Risk_Rank_Keys!C440))+1)/2)/COUNT(Risk_Rank_Keys!$C$2:$C$800))</f>
        <v/>
      </c>
      <c r="O440">
        <f>IF(OR(B440="NW",COUNT(Risk_Rank_Keys!D440)=0),0.5,(SUMPRODUCT(--ISNUMBER(Risk_Rank_Keys!$D$2:$D$800),--(Risk_Rank_Keys!$D$2:$D$800&lt;Risk_Rank_Keys!D440))+(SUMPRODUCT(--ISNUMBER(Risk_Rank_Keys!$D$2:$D$800),--(Risk_Rank_Keys!$D$2:$D$800=Risk_Rank_Keys!D440))+1)/2)/COUNT(Risk_Rank_Keys!$D$2:$D$800))</f>
        <v/>
      </c>
      <c r="P440">
        <f>AVERAGE(M440:O440)</f>
        <v/>
      </c>
      <c r="Q440">
        <f>0.4*H440+0.4*I440+0.2*P440</f>
        <v/>
      </c>
      <c r="R440">
        <f>PERCENTILE($Q$2:$Q$800,0.75)</f>
        <v/>
      </c>
      <c r="S440">
        <f>OR(Q440&gt;=R440,AND(B440="CW",COUNT(J440:L440)&lt;3))</f>
        <v/>
      </c>
      <c r="T440" t="n">
        <v>0.2141038695790185</v>
      </c>
      <c r="U440" t="n">
        <v>5.762124632353475</v>
      </c>
      <c r="V440" t="n">
        <v>0.214487309508806</v>
      </c>
      <c r="W440">
        <f>Q440-V440</f>
        <v/>
      </c>
    </row>
    <row r="441">
      <c r="A441" t="inlineStr">
        <is>
          <t>2024-01-02</t>
        </is>
      </c>
      <c r="B441" t="inlineStr">
        <is>
          <t>CW</t>
        </is>
      </c>
      <c r="C441" t="n">
        <v>34.2927786208829</v>
      </c>
      <c r="D441">
        <f>SUMPRODUCT(Risk_Inputs!B441:AJ441,Risk_Coefs!$B$2:$AJ$2)</f>
        <v/>
      </c>
      <c r="E441">
        <f>1/(1+EXP(-MAX(-25,MIN(25,D441))))</f>
        <v/>
      </c>
      <c r="F441">
        <f>SUMPRODUCT(Risk_Inputs!B441:AJ441,Risk_Coefs!$B$3:$AJ$3)</f>
        <v/>
      </c>
      <c r="G441">
        <f>MAX(0,F441)</f>
        <v/>
      </c>
      <c r="H441">
        <f>(SUMPRODUCT(--ISNUMBER($E$2:$E$800),--($E$2:$E$800&lt;E441))+(SUMPRODUCT(--ISNUMBER($E$2:$E$800),--($E$2:$E$800=E441))+1)/2)/COUNT($E$2:$E$800)</f>
        <v/>
      </c>
      <c r="I441">
        <f>(SUMPRODUCT(--ISNUMBER($G$2:$G$800),--($G$2:$G$800&lt;G441))+(SUMPRODUCT(--ISNUMBER($G$2:$G$800),--($G$2:$G$800=G441))+1)/2)/COUNT($G$2:$G$800)</f>
        <v/>
      </c>
      <c r="J441" t="n">
        <v>14.16096294547962</v>
      </c>
      <c r="K441" t="n">
        <v>4.747283892300431</v>
      </c>
      <c r="L441" t="n">
        <v>0.1889466225791241</v>
      </c>
      <c r="M441">
        <f>IF(OR(B441="NW",COUNT(Risk_Rank_Keys!B441)=0),0.5,(SUMPRODUCT(--ISNUMBER(Risk_Rank_Keys!$B$2:$B$800),--(Risk_Rank_Keys!$B$2:$B$800&lt;Risk_Rank_Keys!B441))+(SUMPRODUCT(--ISNUMBER(Risk_Rank_Keys!$B$2:$B$800),--(Risk_Rank_Keys!$B$2:$B$800=Risk_Rank_Keys!B441))+1)/2)/COUNT(Risk_Rank_Keys!$B$2:$B$800))</f>
        <v/>
      </c>
      <c r="N441">
        <f>IF(OR(B441="NW",COUNT(Risk_Rank_Keys!C441)=0),0.5,(SUMPRODUCT(--ISNUMBER(Risk_Rank_Keys!$C$2:$C$800),--(Risk_Rank_Keys!$C$2:$C$800&lt;Risk_Rank_Keys!C441))+(SUMPRODUCT(--ISNUMBER(Risk_Rank_Keys!$C$2:$C$800),--(Risk_Rank_Keys!$C$2:$C$800=Risk_Rank_Keys!C441))+1)/2)/COUNT(Risk_Rank_Keys!$C$2:$C$800))</f>
        <v/>
      </c>
      <c r="O441">
        <f>IF(OR(B441="NW",COUNT(Risk_Rank_Keys!D441)=0),0.5,(SUMPRODUCT(--ISNUMBER(Risk_Rank_Keys!$D$2:$D$800),--(Risk_Rank_Keys!$D$2:$D$800&lt;Risk_Rank_Keys!D441))+(SUMPRODUCT(--ISNUMBER(Risk_Rank_Keys!$D$2:$D$800),--(Risk_Rank_Keys!$D$2:$D$800=Risk_Rank_Keys!D441))+1)/2)/COUNT(Risk_Rank_Keys!$D$2:$D$800))</f>
        <v/>
      </c>
      <c r="P441">
        <f>AVERAGE(M441:O441)</f>
        <v/>
      </c>
      <c r="Q441">
        <f>0.4*H441+0.4*I441+0.2*P441</f>
        <v/>
      </c>
      <c r="R441">
        <f>PERCENTILE($Q$2:$Q$800,0.75)</f>
        <v/>
      </c>
      <c r="S441">
        <f>OR(Q441&gt;=R441,AND(B441="CW",COUNT(J441:L441)&lt;3))</f>
        <v/>
      </c>
      <c r="T441" t="n">
        <v>0.2753756935117146</v>
      </c>
      <c r="U441" t="n">
        <v>6.40341802536688</v>
      </c>
      <c r="V441" t="n">
        <v>0.4081070073063202</v>
      </c>
      <c r="W441">
        <f>Q441-V441</f>
        <v/>
      </c>
    </row>
    <row r="442">
      <c r="A442" t="inlineStr">
        <is>
          <t>2024-01-03</t>
        </is>
      </c>
      <c r="B442" t="inlineStr">
        <is>
          <t>CW</t>
        </is>
      </c>
      <c r="C442" t="n">
        <v>23.56618306580929</v>
      </c>
      <c r="D442">
        <f>SUMPRODUCT(Risk_Inputs!B442:AJ442,Risk_Coefs!$B$2:$AJ$2)</f>
        <v/>
      </c>
      <c r="E442">
        <f>1/(1+EXP(-MAX(-25,MIN(25,D442))))</f>
        <v/>
      </c>
      <c r="F442">
        <f>SUMPRODUCT(Risk_Inputs!B442:AJ442,Risk_Coefs!$B$3:$AJ$3)</f>
        <v/>
      </c>
      <c r="G442">
        <f>MAX(0,F442)</f>
        <v/>
      </c>
      <c r="H442">
        <f>(SUMPRODUCT(--ISNUMBER($E$2:$E$800),--($E$2:$E$800&lt;E442))+(SUMPRODUCT(--ISNUMBER($E$2:$E$800),--($E$2:$E$800=E442))+1)/2)/COUNT($E$2:$E$800)</f>
        <v/>
      </c>
      <c r="I442">
        <f>(SUMPRODUCT(--ISNUMBER($G$2:$G$800),--($G$2:$G$800&lt;G442))+(SUMPRODUCT(--ISNUMBER($G$2:$G$800),--($G$2:$G$800=G442))+1)/2)/COUNT($G$2:$G$800)</f>
        <v/>
      </c>
      <c r="J442" t="n">
        <v>2.105117053761114</v>
      </c>
      <c r="K442" t="n">
        <v>2.692778457772324</v>
      </c>
      <c r="L442" t="n">
        <v>0.1835985312117485</v>
      </c>
      <c r="M442">
        <f>IF(OR(B442="NW",COUNT(Risk_Rank_Keys!B442)=0),0.5,(SUMPRODUCT(--ISNUMBER(Risk_Rank_Keys!$B$2:$B$800),--(Risk_Rank_Keys!$B$2:$B$800&lt;Risk_Rank_Keys!B442))+(SUMPRODUCT(--ISNUMBER(Risk_Rank_Keys!$B$2:$B$800),--(Risk_Rank_Keys!$B$2:$B$800=Risk_Rank_Keys!B442))+1)/2)/COUNT(Risk_Rank_Keys!$B$2:$B$800))</f>
        <v/>
      </c>
      <c r="N442">
        <f>IF(OR(B442="NW",COUNT(Risk_Rank_Keys!C442)=0),0.5,(SUMPRODUCT(--ISNUMBER(Risk_Rank_Keys!$C$2:$C$800),--(Risk_Rank_Keys!$C$2:$C$800&lt;Risk_Rank_Keys!C442))+(SUMPRODUCT(--ISNUMBER(Risk_Rank_Keys!$C$2:$C$800),--(Risk_Rank_Keys!$C$2:$C$800=Risk_Rank_Keys!C442))+1)/2)/COUNT(Risk_Rank_Keys!$C$2:$C$800))</f>
        <v/>
      </c>
      <c r="O442">
        <f>IF(OR(B442="NW",COUNT(Risk_Rank_Keys!D442)=0),0.5,(SUMPRODUCT(--ISNUMBER(Risk_Rank_Keys!$D$2:$D$800),--(Risk_Rank_Keys!$D$2:$D$800&lt;Risk_Rank_Keys!D442))+(SUMPRODUCT(--ISNUMBER(Risk_Rank_Keys!$D$2:$D$800),--(Risk_Rank_Keys!$D$2:$D$800=Risk_Rank_Keys!D442))+1)/2)/COUNT(Risk_Rank_Keys!$D$2:$D$800))</f>
        <v/>
      </c>
      <c r="P442">
        <f>AVERAGE(M442:O442)</f>
        <v/>
      </c>
      <c r="Q442">
        <f>0.4*H442+0.4*I442+0.2*P442</f>
        <v/>
      </c>
      <c r="R442">
        <f>PERCENTILE($Q$2:$Q$800,0.75)</f>
        <v/>
      </c>
      <c r="S442">
        <f>OR(Q442&gt;=R442,AND(B442="CW",COUNT(J442:L442)&lt;3))</f>
        <v/>
      </c>
      <c r="T442" t="n">
        <v>0.3010297496184456</v>
      </c>
      <c r="U442" t="n">
        <v>7.828437680536103</v>
      </c>
      <c r="V442" t="n">
        <v>0.4820271038472662</v>
      </c>
      <c r="W442">
        <f>Q442-V442</f>
        <v/>
      </c>
    </row>
    <row r="443">
      <c r="A443" t="inlineStr">
        <is>
          <t>2024-01-04</t>
        </is>
      </c>
      <c r="B443" t="inlineStr">
        <is>
          <t>NW</t>
        </is>
      </c>
      <c r="C443" t="n">
        <v>40.60307349951891</v>
      </c>
      <c r="D443">
        <f>SUMPRODUCT(Risk_Inputs!B443:AJ443,Risk_Coefs!$B$2:$AJ$2)</f>
        <v/>
      </c>
      <c r="E443">
        <f>1/(1+EXP(-MAX(-25,MIN(25,D443))))</f>
        <v/>
      </c>
      <c r="F443">
        <f>SUMPRODUCT(Risk_Inputs!B443:AJ443,Risk_Coefs!$B$3:$AJ$3)</f>
        <v/>
      </c>
      <c r="G443">
        <f>MAX(0,F443)</f>
        <v/>
      </c>
      <c r="H443">
        <f>(SUMPRODUCT(--ISNUMBER($E$2:$E$800),--($E$2:$E$800&lt;E443))+(SUMPRODUCT(--ISNUMBER($E$2:$E$800),--($E$2:$E$800=E443))+1)/2)/COUNT($E$2:$E$800)</f>
        <v/>
      </c>
      <c r="I443">
        <f>(SUMPRODUCT(--ISNUMBER($G$2:$G$800),--($G$2:$G$800&lt;G443))+(SUMPRODUCT(--ISNUMBER($G$2:$G$800),--($G$2:$G$800=G443))+1)/2)/COUNT($G$2:$G$800)</f>
        <v/>
      </c>
      <c r="M443">
        <f>IF(OR(B443="NW",COUNT(Risk_Rank_Keys!B443)=0),0.5,(SUMPRODUCT(--ISNUMBER(Risk_Rank_Keys!$B$2:$B$800),--(Risk_Rank_Keys!$B$2:$B$800&lt;Risk_Rank_Keys!B443))+(SUMPRODUCT(--ISNUMBER(Risk_Rank_Keys!$B$2:$B$800),--(Risk_Rank_Keys!$B$2:$B$800=Risk_Rank_Keys!B443))+1)/2)/COUNT(Risk_Rank_Keys!$B$2:$B$800))</f>
        <v/>
      </c>
      <c r="N443">
        <f>IF(OR(B443="NW",COUNT(Risk_Rank_Keys!C443)=0),0.5,(SUMPRODUCT(--ISNUMBER(Risk_Rank_Keys!$C$2:$C$800),--(Risk_Rank_Keys!$C$2:$C$800&lt;Risk_Rank_Keys!C443))+(SUMPRODUCT(--ISNUMBER(Risk_Rank_Keys!$C$2:$C$800),--(Risk_Rank_Keys!$C$2:$C$800=Risk_Rank_Keys!C443))+1)/2)/COUNT(Risk_Rank_Keys!$C$2:$C$800))</f>
        <v/>
      </c>
      <c r="O443">
        <f>IF(OR(B443="NW",COUNT(Risk_Rank_Keys!D443)=0),0.5,(SUMPRODUCT(--ISNUMBER(Risk_Rank_Keys!$D$2:$D$800),--(Risk_Rank_Keys!$D$2:$D$800&lt;Risk_Rank_Keys!D443))+(SUMPRODUCT(--ISNUMBER(Risk_Rank_Keys!$D$2:$D$800),--(Risk_Rank_Keys!$D$2:$D$800=Risk_Rank_Keys!D443))+1)/2)/COUNT(Risk_Rank_Keys!$D$2:$D$800))</f>
        <v/>
      </c>
      <c r="P443">
        <f>AVERAGE(M443:O443)</f>
        <v/>
      </c>
      <c r="Q443">
        <f>0.4*H443+0.4*I443+0.2*P443</f>
        <v/>
      </c>
      <c r="R443">
        <f>PERCENTILE($Q$2:$Q$800,0.75)</f>
        <v/>
      </c>
      <c r="S443">
        <f>OR(Q443&gt;=R443,AND(B443="CW",COUNT(J443:L443)&lt;3))</f>
        <v/>
      </c>
      <c r="T443" t="n">
        <v>0.3282282952928454</v>
      </c>
      <c r="U443" t="n">
        <v>9.445040064283925</v>
      </c>
      <c r="V443" t="n">
        <v>0.6792240300375469</v>
      </c>
      <c r="W443">
        <f>Q443-V443</f>
        <v/>
      </c>
    </row>
    <row r="444">
      <c r="A444" t="inlineStr">
        <is>
          <t>2024-01-08</t>
        </is>
      </c>
      <c r="B444" t="inlineStr">
        <is>
          <t>CW</t>
        </is>
      </c>
      <c r="C444" t="n">
        <v>-37.27554297647863</v>
      </c>
      <c r="D444">
        <f>SUMPRODUCT(Risk_Inputs!B444:AJ444,Risk_Coefs!$B$2:$AJ$2)</f>
        <v/>
      </c>
      <c r="E444">
        <f>1/(1+EXP(-MAX(-25,MIN(25,D444))))</f>
        <v/>
      </c>
      <c r="F444">
        <f>SUMPRODUCT(Risk_Inputs!B444:AJ444,Risk_Coefs!$B$3:$AJ$3)</f>
        <v/>
      </c>
      <c r="G444">
        <f>MAX(0,F444)</f>
        <v/>
      </c>
      <c r="H444">
        <f>(SUMPRODUCT(--ISNUMBER($E$2:$E$800),--($E$2:$E$800&lt;E444))+(SUMPRODUCT(--ISNUMBER($E$2:$E$800),--($E$2:$E$800=E444))+1)/2)/COUNT($E$2:$E$800)</f>
        <v/>
      </c>
      <c r="I444">
        <f>(SUMPRODUCT(--ISNUMBER($G$2:$G$800),--($G$2:$G$800&lt;G444))+(SUMPRODUCT(--ISNUMBER($G$2:$G$800),--($G$2:$G$800=G444))+1)/2)/COUNT($G$2:$G$800)</f>
        <v/>
      </c>
      <c r="J444" t="n">
        <v>3.336585545451199</v>
      </c>
      <c r="K444" t="n">
        <v>1.013847675568736</v>
      </c>
      <c r="L444" t="n">
        <v>0.2225519287833842</v>
      </c>
      <c r="M444">
        <f>IF(OR(B444="NW",COUNT(Risk_Rank_Keys!B444)=0),0.5,(SUMPRODUCT(--ISNUMBER(Risk_Rank_Keys!$B$2:$B$800),--(Risk_Rank_Keys!$B$2:$B$800&lt;Risk_Rank_Keys!B444))+(SUMPRODUCT(--ISNUMBER(Risk_Rank_Keys!$B$2:$B$800),--(Risk_Rank_Keys!$B$2:$B$800=Risk_Rank_Keys!B444))+1)/2)/COUNT(Risk_Rank_Keys!$B$2:$B$800))</f>
        <v/>
      </c>
      <c r="N444">
        <f>IF(OR(B444="NW",COUNT(Risk_Rank_Keys!C444)=0),0.5,(SUMPRODUCT(--ISNUMBER(Risk_Rank_Keys!$C$2:$C$800),--(Risk_Rank_Keys!$C$2:$C$800&lt;Risk_Rank_Keys!C444))+(SUMPRODUCT(--ISNUMBER(Risk_Rank_Keys!$C$2:$C$800),--(Risk_Rank_Keys!$C$2:$C$800=Risk_Rank_Keys!C444))+1)/2)/COUNT(Risk_Rank_Keys!$C$2:$C$800))</f>
        <v/>
      </c>
      <c r="O444">
        <f>IF(OR(B444="NW",COUNT(Risk_Rank_Keys!D444)=0),0.5,(SUMPRODUCT(--ISNUMBER(Risk_Rank_Keys!$D$2:$D$800),--(Risk_Rank_Keys!$D$2:$D$800&lt;Risk_Rank_Keys!D444))+(SUMPRODUCT(--ISNUMBER(Risk_Rank_Keys!$D$2:$D$800),--(Risk_Rank_Keys!$D$2:$D$800=Risk_Rank_Keys!D444))+1)/2)/COUNT(Risk_Rank_Keys!$D$2:$D$800))</f>
        <v/>
      </c>
      <c r="P444">
        <f>AVERAGE(M444:O444)</f>
        <v/>
      </c>
      <c r="Q444">
        <f>0.4*H444+0.4*I444+0.2*P444</f>
        <v/>
      </c>
      <c r="R444">
        <f>PERCENTILE($Q$2:$Q$800,0.75)</f>
        <v/>
      </c>
      <c r="S444">
        <f>OR(Q444&gt;=R444,AND(B444="CW",COUNT(J444:L444)&lt;3))</f>
        <v/>
      </c>
      <c r="T444" t="n">
        <v>0.3244446439147908</v>
      </c>
      <c r="U444" t="n">
        <v>5.716677057042579</v>
      </c>
      <c r="V444" t="n">
        <v>0.4075190454828182</v>
      </c>
      <c r="W444">
        <f>Q444-V444</f>
        <v/>
      </c>
    </row>
    <row r="445">
      <c r="A445" t="inlineStr">
        <is>
          <t>2024-01-10</t>
        </is>
      </c>
      <c r="B445" t="inlineStr">
        <is>
          <t>CW</t>
        </is>
      </c>
      <c r="C445" t="n">
        <v>-0.6238973040402833</v>
      </c>
      <c r="D445">
        <f>SUMPRODUCT(Risk_Inputs!B445:AJ445,Risk_Coefs!$B$2:$AJ$2)</f>
        <v/>
      </c>
      <c r="E445">
        <f>1/(1+EXP(-MAX(-25,MIN(25,D445))))</f>
        <v/>
      </c>
      <c r="F445">
        <f>SUMPRODUCT(Risk_Inputs!B445:AJ445,Risk_Coefs!$B$3:$AJ$3)</f>
        <v/>
      </c>
      <c r="G445">
        <f>MAX(0,F445)</f>
        <v/>
      </c>
      <c r="H445">
        <f>(SUMPRODUCT(--ISNUMBER($E$2:$E$800),--($E$2:$E$800&lt;E445))+(SUMPRODUCT(--ISNUMBER($E$2:$E$800),--($E$2:$E$800=E445))+1)/2)/COUNT($E$2:$E$800)</f>
        <v/>
      </c>
      <c r="I445">
        <f>(SUMPRODUCT(--ISNUMBER($G$2:$G$800),--($G$2:$G$800&lt;G445))+(SUMPRODUCT(--ISNUMBER($G$2:$G$800),--($G$2:$G$800=G445))+1)/2)/COUNT($G$2:$G$800)</f>
        <v/>
      </c>
      <c r="J445" t="n">
        <v>2.85443760617183</v>
      </c>
      <c r="K445" t="n">
        <v>1.515151515151519</v>
      </c>
      <c r="L445" t="n">
        <v>0.1893939393939376</v>
      </c>
      <c r="M445">
        <f>IF(OR(B445="NW",COUNT(Risk_Rank_Keys!B445)=0),0.5,(SUMPRODUCT(--ISNUMBER(Risk_Rank_Keys!$B$2:$B$800),--(Risk_Rank_Keys!$B$2:$B$800&lt;Risk_Rank_Keys!B445))+(SUMPRODUCT(--ISNUMBER(Risk_Rank_Keys!$B$2:$B$800),--(Risk_Rank_Keys!$B$2:$B$800=Risk_Rank_Keys!B445))+1)/2)/COUNT(Risk_Rank_Keys!$B$2:$B$800))</f>
        <v/>
      </c>
      <c r="N445">
        <f>IF(OR(B445="NW",COUNT(Risk_Rank_Keys!C445)=0),0.5,(SUMPRODUCT(--ISNUMBER(Risk_Rank_Keys!$C$2:$C$800),--(Risk_Rank_Keys!$C$2:$C$800&lt;Risk_Rank_Keys!C445))+(SUMPRODUCT(--ISNUMBER(Risk_Rank_Keys!$C$2:$C$800),--(Risk_Rank_Keys!$C$2:$C$800=Risk_Rank_Keys!C445))+1)/2)/COUNT(Risk_Rank_Keys!$C$2:$C$800))</f>
        <v/>
      </c>
      <c r="O445">
        <f>IF(OR(B445="NW",COUNT(Risk_Rank_Keys!D445)=0),0.5,(SUMPRODUCT(--ISNUMBER(Risk_Rank_Keys!$D$2:$D$800),--(Risk_Rank_Keys!$D$2:$D$800&lt;Risk_Rank_Keys!D445))+(SUMPRODUCT(--ISNUMBER(Risk_Rank_Keys!$D$2:$D$800),--(Risk_Rank_Keys!$D$2:$D$800=Risk_Rank_Keys!D445))+1)/2)/COUNT(Risk_Rank_Keys!$D$2:$D$800))</f>
        <v/>
      </c>
      <c r="P445">
        <f>AVERAGE(M445:O445)</f>
        <v/>
      </c>
      <c r="Q445">
        <f>0.4*H445+0.4*I445+0.2*P445</f>
        <v/>
      </c>
      <c r="R445">
        <f>PERCENTILE($Q$2:$Q$800,0.75)</f>
        <v/>
      </c>
      <c r="S445">
        <f>OR(Q445&gt;=R445,AND(B445="CW",COUNT(J445:L445)&lt;3))</f>
        <v/>
      </c>
      <c r="T445" t="n">
        <v>0.3143752394063031</v>
      </c>
      <c r="U445" t="n">
        <v>6.520391256054844</v>
      </c>
      <c r="V445" t="n">
        <v>0.4215502991012127</v>
      </c>
      <c r="W445">
        <f>Q445-V445</f>
        <v/>
      </c>
    </row>
    <row r="446">
      <c r="A446" t="inlineStr">
        <is>
          <t>2024-01-11</t>
        </is>
      </c>
      <c r="B446" t="inlineStr">
        <is>
          <t>NW</t>
        </is>
      </c>
      <c r="C446" t="n">
        <v>-3.572659844189832</v>
      </c>
      <c r="D446">
        <f>SUMPRODUCT(Risk_Inputs!B446:AJ446,Risk_Coefs!$B$2:$AJ$2)</f>
        <v/>
      </c>
      <c r="E446">
        <f>1/(1+EXP(-MAX(-25,MIN(25,D446))))</f>
        <v/>
      </c>
      <c r="F446">
        <f>SUMPRODUCT(Risk_Inputs!B446:AJ446,Risk_Coefs!$B$3:$AJ$3)</f>
        <v/>
      </c>
      <c r="G446">
        <f>MAX(0,F446)</f>
        <v/>
      </c>
      <c r="H446">
        <f>(SUMPRODUCT(--ISNUMBER($E$2:$E$800),--($E$2:$E$800&lt;E446))+(SUMPRODUCT(--ISNUMBER($E$2:$E$800),--($E$2:$E$800=E446))+1)/2)/COUNT($E$2:$E$800)</f>
        <v/>
      </c>
      <c r="I446">
        <f>(SUMPRODUCT(--ISNUMBER($G$2:$G$800),--($G$2:$G$800&lt;G446))+(SUMPRODUCT(--ISNUMBER($G$2:$G$800),--($G$2:$G$800=G446))+1)/2)/COUNT($G$2:$G$800)</f>
        <v/>
      </c>
      <c r="M446">
        <f>IF(OR(B446="NW",COUNT(Risk_Rank_Keys!B446)=0),0.5,(SUMPRODUCT(--ISNUMBER(Risk_Rank_Keys!$B$2:$B$800),--(Risk_Rank_Keys!$B$2:$B$800&lt;Risk_Rank_Keys!B446))+(SUMPRODUCT(--ISNUMBER(Risk_Rank_Keys!$B$2:$B$800),--(Risk_Rank_Keys!$B$2:$B$800=Risk_Rank_Keys!B446))+1)/2)/COUNT(Risk_Rank_Keys!$B$2:$B$800))</f>
        <v/>
      </c>
      <c r="N446">
        <f>IF(OR(B446="NW",COUNT(Risk_Rank_Keys!C446)=0),0.5,(SUMPRODUCT(--ISNUMBER(Risk_Rank_Keys!$C$2:$C$800),--(Risk_Rank_Keys!$C$2:$C$800&lt;Risk_Rank_Keys!C446))+(SUMPRODUCT(--ISNUMBER(Risk_Rank_Keys!$C$2:$C$800),--(Risk_Rank_Keys!$C$2:$C$800=Risk_Rank_Keys!C446))+1)/2)/COUNT(Risk_Rank_Keys!$C$2:$C$800))</f>
        <v/>
      </c>
      <c r="O446">
        <f>IF(OR(B446="NW",COUNT(Risk_Rank_Keys!D446)=0),0.5,(SUMPRODUCT(--ISNUMBER(Risk_Rank_Keys!$D$2:$D$800),--(Risk_Rank_Keys!$D$2:$D$800&lt;Risk_Rank_Keys!D446))+(SUMPRODUCT(--ISNUMBER(Risk_Rank_Keys!$D$2:$D$800),--(Risk_Rank_Keys!$D$2:$D$800=Risk_Rank_Keys!D446))+1)/2)/COUNT(Risk_Rank_Keys!$D$2:$D$800))</f>
        <v/>
      </c>
      <c r="P446">
        <f>AVERAGE(M446:O446)</f>
        <v/>
      </c>
      <c r="Q446">
        <f>0.4*H446+0.4*I446+0.2*P446</f>
        <v/>
      </c>
      <c r="R446">
        <f>PERCENTILE($Q$2:$Q$800,0.75)</f>
        <v/>
      </c>
      <c r="S446">
        <f>OR(Q446&gt;=R446,AND(B446="CW",COUNT(J446:L446)&lt;3))</f>
        <v/>
      </c>
      <c r="T446" t="n">
        <v>0.3255747818288681</v>
      </c>
      <c r="U446" t="n">
        <v>8.912844771016639</v>
      </c>
      <c r="V446" t="n">
        <v>0.6491864831038799</v>
      </c>
      <c r="W446">
        <f>Q446-V446</f>
        <v/>
      </c>
    </row>
    <row r="447">
      <c r="A447" t="inlineStr">
        <is>
          <t>2024-01-15</t>
        </is>
      </c>
      <c r="B447" t="inlineStr">
        <is>
          <t>CW</t>
        </is>
      </c>
      <c r="C447" t="n">
        <v>13.34292478267333</v>
      </c>
      <c r="D447">
        <f>SUMPRODUCT(Risk_Inputs!B447:AJ447,Risk_Coefs!$B$2:$AJ$2)</f>
        <v/>
      </c>
      <c r="E447">
        <f>1/(1+EXP(-MAX(-25,MIN(25,D447))))</f>
        <v/>
      </c>
      <c r="F447">
        <f>SUMPRODUCT(Risk_Inputs!B447:AJ447,Risk_Coefs!$B$3:$AJ$3)</f>
        <v/>
      </c>
      <c r="G447">
        <f>MAX(0,F447)</f>
        <v/>
      </c>
      <c r="H447">
        <f>(SUMPRODUCT(--ISNUMBER($E$2:$E$800),--($E$2:$E$800&lt;E447))+(SUMPRODUCT(--ISNUMBER($E$2:$E$800),--($E$2:$E$800=E447))+1)/2)/COUNT($E$2:$E$800)</f>
        <v/>
      </c>
      <c r="I447">
        <f>(SUMPRODUCT(--ISNUMBER($G$2:$G$800),--($G$2:$G$800&lt;G447))+(SUMPRODUCT(--ISNUMBER($G$2:$G$800),--($G$2:$G$800=G447))+1)/2)/COUNT($G$2:$G$800)</f>
        <v/>
      </c>
      <c r="J447" t="n">
        <v>4.424698439783258</v>
      </c>
      <c r="K447" t="n">
        <v>1.479654747225656</v>
      </c>
      <c r="L447" t="n">
        <v>0.2055076037813399</v>
      </c>
      <c r="M447">
        <f>IF(OR(B447="NW",COUNT(Risk_Rank_Keys!B447)=0),0.5,(SUMPRODUCT(--ISNUMBER(Risk_Rank_Keys!$B$2:$B$800),--(Risk_Rank_Keys!$B$2:$B$800&lt;Risk_Rank_Keys!B447))+(SUMPRODUCT(--ISNUMBER(Risk_Rank_Keys!$B$2:$B$800),--(Risk_Rank_Keys!$B$2:$B$800=Risk_Rank_Keys!B447))+1)/2)/COUNT(Risk_Rank_Keys!$B$2:$B$800))</f>
        <v/>
      </c>
      <c r="N447">
        <f>IF(OR(B447="NW",COUNT(Risk_Rank_Keys!C447)=0),0.5,(SUMPRODUCT(--ISNUMBER(Risk_Rank_Keys!$C$2:$C$800),--(Risk_Rank_Keys!$C$2:$C$800&lt;Risk_Rank_Keys!C447))+(SUMPRODUCT(--ISNUMBER(Risk_Rank_Keys!$C$2:$C$800),--(Risk_Rank_Keys!$C$2:$C$800=Risk_Rank_Keys!C447))+1)/2)/COUNT(Risk_Rank_Keys!$C$2:$C$800))</f>
        <v/>
      </c>
      <c r="O447">
        <f>IF(OR(B447="NW",COUNT(Risk_Rank_Keys!D447)=0),0.5,(SUMPRODUCT(--ISNUMBER(Risk_Rank_Keys!$D$2:$D$800),--(Risk_Rank_Keys!$D$2:$D$800&lt;Risk_Rank_Keys!D447))+(SUMPRODUCT(--ISNUMBER(Risk_Rank_Keys!$D$2:$D$800),--(Risk_Rank_Keys!$D$2:$D$800=Risk_Rank_Keys!D447))+1)/2)/COUNT(Risk_Rank_Keys!$D$2:$D$800))</f>
        <v/>
      </c>
      <c r="P447">
        <f>AVERAGE(M447:O447)</f>
        <v/>
      </c>
      <c r="Q447">
        <f>0.4*H447+0.4*I447+0.2*P447</f>
        <v/>
      </c>
      <c r="R447">
        <f>PERCENTILE($Q$2:$Q$800,0.75)</f>
        <v/>
      </c>
      <c r="S447">
        <f>OR(Q447&gt;=R447,AND(B447="CW",COUNT(J447:L447)&lt;3))</f>
        <v/>
      </c>
      <c r="T447" t="n">
        <v>0.3043594649314212</v>
      </c>
      <c r="U447" t="n">
        <v>9.46351310497262</v>
      </c>
      <c r="V447" t="n">
        <v>0.5634069551141624</v>
      </c>
      <c r="W447">
        <f>Q447-V447</f>
        <v/>
      </c>
    </row>
    <row r="448">
      <c r="A448" t="inlineStr">
        <is>
          <t>2024-01-16</t>
        </is>
      </c>
      <c r="B448" t="inlineStr">
        <is>
          <t>CW</t>
        </is>
      </c>
      <c r="C448" t="n">
        <v>10.72154002070835</v>
      </c>
      <c r="D448">
        <f>SUMPRODUCT(Risk_Inputs!B448:AJ448,Risk_Coefs!$B$2:$AJ$2)</f>
        <v/>
      </c>
      <c r="E448">
        <f>1/(1+EXP(-MAX(-25,MIN(25,D448))))</f>
        <v/>
      </c>
      <c r="F448">
        <f>SUMPRODUCT(Risk_Inputs!B448:AJ448,Risk_Coefs!$B$3:$AJ$3)</f>
        <v/>
      </c>
      <c r="G448">
        <f>MAX(0,F448)</f>
        <v/>
      </c>
      <c r="H448">
        <f>(SUMPRODUCT(--ISNUMBER($E$2:$E$800),--($E$2:$E$800&lt;E448))+(SUMPRODUCT(--ISNUMBER($E$2:$E$800),--($E$2:$E$800=E448))+1)/2)/COUNT($E$2:$E$800)</f>
        <v/>
      </c>
      <c r="I448">
        <f>(SUMPRODUCT(--ISNUMBER($G$2:$G$800),--($G$2:$G$800&lt;G448))+(SUMPRODUCT(--ISNUMBER($G$2:$G$800),--($G$2:$G$800=G448))+1)/2)/COUNT($G$2:$G$800)</f>
        <v/>
      </c>
      <c r="J448" t="n">
        <v>3.173538132329122</v>
      </c>
      <c r="K448" t="n">
        <v>1.94647201946472</v>
      </c>
      <c r="L448" t="n">
        <v>0.2189781021897824</v>
      </c>
      <c r="M448">
        <f>IF(OR(B448="NW",COUNT(Risk_Rank_Keys!B448)=0),0.5,(SUMPRODUCT(--ISNUMBER(Risk_Rank_Keys!$B$2:$B$800),--(Risk_Rank_Keys!$B$2:$B$800&lt;Risk_Rank_Keys!B448))+(SUMPRODUCT(--ISNUMBER(Risk_Rank_Keys!$B$2:$B$800),--(Risk_Rank_Keys!$B$2:$B$800=Risk_Rank_Keys!B448))+1)/2)/COUNT(Risk_Rank_Keys!$B$2:$B$800))</f>
        <v/>
      </c>
      <c r="N448">
        <f>IF(OR(B448="NW",COUNT(Risk_Rank_Keys!C448)=0),0.5,(SUMPRODUCT(--ISNUMBER(Risk_Rank_Keys!$C$2:$C$800),--(Risk_Rank_Keys!$C$2:$C$800&lt;Risk_Rank_Keys!C448))+(SUMPRODUCT(--ISNUMBER(Risk_Rank_Keys!$C$2:$C$800),--(Risk_Rank_Keys!$C$2:$C$800=Risk_Rank_Keys!C448))+1)/2)/COUNT(Risk_Rank_Keys!$C$2:$C$800))</f>
        <v/>
      </c>
      <c r="O448">
        <f>IF(OR(B448="NW",COUNT(Risk_Rank_Keys!D448)=0),0.5,(SUMPRODUCT(--ISNUMBER(Risk_Rank_Keys!$D$2:$D$800),--(Risk_Rank_Keys!$D$2:$D$800&lt;Risk_Rank_Keys!D448))+(SUMPRODUCT(--ISNUMBER(Risk_Rank_Keys!$D$2:$D$800),--(Risk_Rank_Keys!$D$2:$D$800=Risk_Rank_Keys!D448))+1)/2)/COUNT(Risk_Rank_Keys!$D$2:$D$800))</f>
        <v/>
      </c>
      <c r="P448">
        <f>AVERAGE(M448:O448)</f>
        <v/>
      </c>
      <c r="Q448">
        <f>0.4*H448+0.4*I448+0.2*P448</f>
        <v/>
      </c>
      <c r="R448">
        <f>PERCENTILE($Q$2:$Q$800,0.75)</f>
        <v/>
      </c>
      <c r="S448">
        <f>OR(Q448&gt;=R448,AND(B448="CW",COUNT(J448:L448)&lt;3))</f>
        <v/>
      </c>
      <c r="T448" t="n">
        <v>0.232470658390474</v>
      </c>
      <c r="U448" t="n">
        <v>3.742876215385196</v>
      </c>
      <c r="V448" t="n">
        <v>0.1399641229826451</v>
      </c>
      <c r="W448">
        <f>Q448-V448</f>
        <v/>
      </c>
    </row>
    <row r="449">
      <c r="A449" t="inlineStr">
        <is>
          <t>2024-01-17</t>
        </is>
      </c>
      <c r="B449" t="inlineStr">
        <is>
          <t>CW</t>
        </is>
      </c>
      <c r="C449" t="n">
        <v>55.02528327302542</v>
      </c>
      <c r="D449">
        <f>SUMPRODUCT(Risk_Inputs!B449:AJ449,Risk_Coefs!$B$2:$AJ$2)</f>
        <v/>
      </c>
      <c r="E449">
        <f>1/(1+EXP(-MAX(-25,MIN(25,D449))))</f>
        <v/>
      </c>
      <c r="F449">
        <f>SUMPRODUCT(Risk_Inputs!B449:AJ449,Risk_Coefs!$B$3:$AJ$3)</f>
        <v/>
      </c>
      <c r="G449">
        <f>MAX(0,F449)</f>
        <v/>
      </c>
      <c r="H449">
        <f>(SUMPRODUCT(--ISNUMBER($E$2:$E$800),--($E$2:$E$800&lt;E449))+(SUMPRODUCT(--ISNUMBER($E$2:$E$800),--($E$2:$E$800=E449))+1)/2)/COUNT($E$2:$E$800)</f>
        <v/>
      </c>
      <c r="I449">
        <f>(SUMPRODUCT(--ISNUMBER($G$2:$G$800),--($G$2:$G$800&lt;G449))+(SUMPRODUCT(--ISNUMBER($G$2:$G$800),--($G$2:$G$800=G449))+1)/2)/COUNT($G$2:$G$800)</f>
        <v/>
      </c>
      <c r="J449" t="n">
        <v>59.29161045434864</v>
      </c>
      <c r="K449" t="n">
        <v>21.87142530313428</v>
      </c>
      <c r="L449" t="n">
        <v>0.3431708991077556</v>
      </c>
      <c r="M449">
        <f>IF(OR(B449="NW",COUNT(Risk_Rank_Keys!B449)=0),0.5,(SUMPRODUCT(--ISNUMBER(Risk_Rank_Keys!$B$2:$B$800),--(Risk_Rank_Keys!$B$2:$B$800&lt;Risk_Rank_Keys!B449))+(SUMPRODUCT(--ISNUMBER(Risk_Rank_Keys!$B$2:$B$800),--(Risk_Rank_Keys!$B$2:$B$800=Risk_Rank_Keys!B449))+1)/2)/COUNT(Risk_Rank_Keys!$B$2:$B$800))</f>
        <v/>
      </c>
      <c r="N449">
        <f>IF(OR(B449="NW",COUNT(Risk_Rank_Keys!C449)=0),0.5,(SUMPRODUCT(--ISNUMBER(Risk_Rank_Keys!$C$2:$C$800),--(Risk_Rank_Keys!$C$2:$C$800&lt;Risk_Rank_Keys!C449))+(SUMPRODUCT(--ISNUMBER(Risk_Rank_Keys!$C$2:$C$800),--(Risk_Rank_Keys!$C$2:$C$800=Risk_Rank_Keys!C449))+1)/2)/COUNT(Risk_Rank_Keys!$C$2:$C$800))</f>
        <v/>
      </c>
      <c r="O449">
        <f>IF(OR(B449="NW",COUNT(Risk_Rank_Keys!D449)=0),0.5,(SUMPRODUCT(--ISNUMBER(Risk_Rank_Keys!$D$2:$D$800),--(Risk_Rank_Keys!$D$2:$D$800&lt;Risk_Rank_Keys!D449))+(SUMPRODUCT(--ISNUMBER(Risk_Rank_Keys!$D$2:$D$800),--(Risk_Rank_Keys!$D$2:$D$800=Risk_Rank_Keys!D449))+1)/2)/COUNT(Risk_Rank_Keys!$D$2:$D$800))</f>
        <v/>
      </c>
      <c r="P449">
        <f>AVERAGE(M449:O449)</f>
        <v/>
      </c>
      <c r="Q449">
        <f>0.4*H449+0.4*I449+0.2*P449</f>
        <v/>
      </c>
      <c r="R449">
        <f>PERCENTILE($Q$2:$Q$800,0.75)</f>
        <v/>
      </c>
      <c r="S449">
        <f>OR(Q449&gt;=R449,AND(B449="CW",COUNT(J449:L449)&lt;3))</f>
        <v/>
      </c>
      <c r="T449" t="n">
        <v>0.1301610654523338</v>
      </c>
      <c r="U449" t="n">
        <v>1.884611438419667</v>
      </c>
      <c r="V449" t="n">
        <v>0.1911307078990533</v>
      </c>
      <c r="W449">
        <f>Q449-V449</f>
        <v/>
      </c>
    </row>
    <row r="450">
      <c r="A450" t="inlineStr">
        <is>
          <t>2024-01-18</t>
        </is>
      </c>
      <c r="B450" t="inlineStr">
        <is>
          <t>NW</t>
        </is>
      </c>
      <c r="C450" t="n">
        <v>49.01461171340635</v>
      </c>
      <c r="D450">
        <f>SUMPRODUCT(Risk_Inputs!B450:AJ450,Risk_Coefs!$B$2:$AJ$2)</f>
        <v/>
      </c>
      <c r="E450">
        <f>1/(1+EXP(-MAX(-25,MIN(25,D450))))</f>
        <v/>
      </c>
      <c r="F450">
        <f>SUMPRODUCT(Risk_Inputs!B450:AJ450,Risk_Coefs!$B$3:$AJ$3)</f>
        <v/>
      </c>
      <c r="G450">
        <f>MAX(0,F450)</f>
        <v/>
      </c>
      <c r="H450">
        <f>(SUMPRODUCT(--ISNUMBER($E$2:$E$800),--($E$2:$E$800&lt;E450))+(SUMPRODUCT(--ISNUMBER($E$2:$E$800),--($E$2:$E$800=E450))+1)/2)/COUNT($E$2:$E$800)</f>
        <v/>
      </c>
      <c r="I450">
        <f>(SUMPRODUCT(--ISNUMBER($G$2:$G$800),--($G$2:$G$800&lt;G450))+(SUMPRODUCT(--ISNUMBER($G$2:$G$800),--($G$2:$G$800=G450))+1)/2)/COUNT($G$2:$G$800)</f>
        <v/>
      </c>
      <c r="M450">
        <f>IF(OR(B450="NW",COUNT(Risk_Rank_Keys!B450)=0),0.5,(SUMPRODUCT(--ISNUMBER(Risk_Rank_Keys!$B$2:$B$800),--(Risk_Rank_Keys!$B$2:$B$800&lt;Risk_Rank_Keys!B450))+(SUMPRODUCT(--ISNUMBER(Risk_Rank_Keys!$B$2:$B$800),--(Risk_Rank_Keys!$B$2:$B$800=Risk_Rank_Keys!B450))+1)/2)/COUNT(Risk_Rank_Keys!$B$2:$B$800))</f>
        <v/>
      </c>
      <c r="N450">
        <f>IF(OR(B450="NW",COUNT(Risk_Rank_Keys!C450)=0),0.5,(SUMPRODUCT(--ISNUMBER(Risk_Rank_Keys!$C$2:$C$800),--(Risk_Rank_Keys!$C$2:$C$800&lt;Risk_Rank_Keys!C450))+(SUMPRODUCT(--ISNUMBER(Risk_Rank_Keys!$C$2:$C$800),--(Risk_Rank_Keys!$C$2:$C$800=Risk_Rank_Keys!C450))+1)/2)/COUNT(Risk_Rank_Keys!$C$2:$C$800))</f>
        <v/>
      </c>
      <c r="O450">
        <f>IF(OR(B450="NW",COUNT(Risk_Rank_Keys!D450)=0),0.5,(SUMPRODUCT(--ISNUMBER(Risk_Rank_Keys!$D$2:$D$800),--(Risk_Rank_Keys!$D$2:$D$800&lt;Risk_Rank_Keys!D450))+(SUMPRODUCT(--ISNUMBER(Risk_Rank_Keys!$D$2:$D$800),--(Risk_Rank_Keys!$D$2:$D$800=Risk_Rank_Keys!D450))+1)/2)/COUNT(Risk_Rank_Keys!$D$2:$D$800))</f>
        <v/>
      </c>
      <c r="P450">
        <f>AVERAGE(M450:O450)</f>
        <v/>
      </c>
      <c r="Q450">
        <f>0.4*H450+0.4*I450+0.2*P450</f>
        <v/>
      </c>
      <c r="R450">
        <f>PERCENTILE($Q$2:$Q$800,0.75)</f>
        <v/>
      </c>
      <c r="S450">
        <f>OR(Q450&gt;=R450,AND(B450="CW",COUNT(J450:L450)&lt;3))</f>
        <v/>
      </c>
      <c r="T450" t="n">
        <v>0.4007059890798621</v>
      </c>
      <c r="U450" t="n">
        <v>12.601360796961</v>
      </c>
      <c r="V450" t="n">
        <v>0.855944931163955</v>
      </c>
      <c r="W450">
        <f>Q450-V450</f>
        <v/>
      </c>
    </row>
    <row r="451">
      <c r="A451" t="inlineStr">
        <is>
          <t>2024-01-23</t>
        </is>
      </c>
      <c r="B451" t="inlineStr">
        <is>
          <t>CW</t>
        </is>
      </c>
      <c r="C451" t="n">
        <v>17.25643587117835</v>
      </c>
      <c r="D451">
        <f>SUMPRODUCT(Risk_Inputs!B451:AJ451,Risk_Coefs!$B$2:$AJ$2)</f>
        <v/>
      </c>
      <c r="E451">
        <f>1/(1+EXP(-MAX(-25,MIN(25,D451))))</f>
        <v/>
      </c>
      <c r="F451">
        <f>SUMPRODUCT(Risk_Inputs!B451:AJ451,Risk_Coefs!$B$3:$AJ$3)</f>
        <v/>
      </c>
      <c r="G451">
        <f>MAX(0,F451)</f>
        <v/>
      </c>
      <c r="H451">
        <f>(SUMPRODUCT(--ISNUMBER($E$2:$E$800),--($E$2:$E$800&lt;E451))+(SUMPRODUCT(--ISNUMBER($E$2:$E$800),--($E$2:$E$800=E451))+1)/2)/COUNT($E$2:$E$800)</f>
        <v/>
      </c>
      <c r="I451">
        <f>(SUMPRODUCT(--ISNUMBER($G$2:$G$800),--($G$2:$G$800&lt;G451))+(SUMPRODUCT(--ISNUMBER($G$2:$G$800),--($G$2:$G$800=G451))+1)/2)/COUNT($G$2:$G$800)</f>
        <v/>
      </c>
      <c r="J451" t="n">
        <v>12.78694656131588</v>
      </c>
      <c r="K451" t="n">
        <v>3.782461422657137</v>
      </c>
      <c r="L451" t="n">
        <v>0.1693639442980762</v>
      </c>
      <c r="M451">
        <f>IF(OR(B451="NW",COUNT(Risk_Rank_Keys!B451)=0),0.5,(SUMPRODUCT(--ISNUMBER(Risk_Rank_Keys!$B$2:$B$800),--(Risk_Rank_Keys!$B$2:$B$800&lt;Risk_Rank_Keys!B451))+(SUMPRODUCT(--ISNUMBER(Risk_Rank_Keys!$B$2:$B$800),--(Risk_Rank_Keys!$B$2:$B$800=Risk_Rank_Keys!B451))+1)/2)/COUNT(Risk_Rank_Keys!$B$2:$B$800))</f>
        <v/>
      </c>
      <c r="N451">
        <f>IF(OR(B451="NW",COUNT(Risk_Rank_Keys!C451)=0),0.5,(SUMPRODUCT(--ISNUMBER(Risk_Rank_Keys!$C$2:$C$800),--(Risk_Rank_Keys!$C$2:$C$800&lt;Risk_Rank_Keys!C451))+(SUMPRODUCT(--ISNUMBER(Risk_Rank_Keys!$C$2:$C$800),--(Risk_Rank_Keys!$C$2:$C$800=Risk_Rank_Keys!C451))+1)/2)/COUNT(Risk_Rank_Keys!$C$2:$C$800))</f>
        <v/>
      </c>
      <c r="O451">
        <f>IF(OR(B451="NW",COUNT(Risk_Rank_Keys!D451)=0),0.5,(SUMPRODUCT(--ISNUMBER(Risk_Rank_Keys!$D$2:$D$800),--(Risk_Rank_Keys!$D$2:$D$800&lt;Risk_Rank_Keys!D451))+(SUMPRODUCT(--ISNUMBER(Risk_Rank_Keys!$D$2:$D$800),--(Risk_Rank_Keys!$D$2:$D$800=Risk_Rank_Keys!D451))+1)/2)/COUNT(Risk_Rank_Keys!$D$2:$D$800))</f>
        <v/>
      </c>
      <c r="P451">
        <f>AVERAGE(M451:O451)</f>
        <v/>
      </c>
      <c r="Q451">
        <f>0.4*H451+0.4*I451+0.2*P451</f>
        <v/>
      </c>
      <c r="R451">
        <f>PERCENTILE($Q$2:$Q$800,0.75)</f>
        <v/>
      </c>
      <c r="S451">
        <f>OR(Q451&gt;=R451,AND(B451="CW",COUNT(J451:L451)&lt;3))</f>
        <v/>
      </c>
      <c r="T451" t="n">
        <v>0.3680889266871132</v>
      </c>
      <c r="U451" t="n">
        <v>12.99859831865283</v>
      </c>
      <c r="V451" t="n">
        <v>0.8168775590594706</v>
      </c>
      <c r="W451">
        <f>Q451-V451</f>
        <v/>
      </c>
    </row>
    <row r="452">
      <c r="A452" t="inlineStr">
        <is>
          <t>2024-01-24</t>
        </is>
      </c>
      <c r="B452" t="inlineStr">
        <is>
          <t>NW</t>
        </is>
      </c>
      <c r="C452" t="n">
        <v>-37.1829439068722</v>
      </c>
      <c r="D452">
        <f>SUMPRODUCT(Risk_Inputs!B452:AJ452,Risk_Coefs!$B$2:$AJ$2)</f>
        <v/>
      </c>
      <c r="E452">
        <f>1/(1+EXP(-MAX(-25,MIN(25,D452))))</f>
        <v/>
      </c>
      <c r="F452">
        <f>SUMPRODUCT(Risk_Inputs!B452:AJ452,Risk_Coefs!$B$3:$AJ$3)</f>
        <v/>
      </c>
      <c r="G452">
        <f>MAX(0,F452)</f>
        <v/>
      </c>
      <c r="H452">
        <f>(SUMPRODUCT(--ISNUMBER($E$2:$E$800),--($E$2:$E$800&lt;E452))+(SUMPRODUCT(--ISNUMBER($E$2:$E$800),--($E$2:$E$800=E452))+1)/2)/COUNT($E$2:$E$800)</f>
        <v/>
      </c>
      <c r="I452">
        <f>(SUMPRODUCT(--ISNUMBER($G$2:$G$800),--($G$2:$G$800&lt;G452))+(SUMPRODUCT(--ISNUMBER($G$2:$G$800),--($G$2:$G$800=G452))+1)/2)/COUNT($G$2:$G$800)</f>
        <v/>
      </c>
      <c r="M452">
        <f>IF(OR(B452="NW",COUNT(Risk_Rank_Keys!B452)=0),0.5,(SUMPRODUCT(--ISNUMBER(Risk_Rank_Keys!$B$2:$B$800),--(Risk_Rank_Keys!$B$2:$B$800&lt;Risk_Rank_Keys!B452))+(SUMPRODUCT(--ISNUMBER(Risk_Rank_Keys!$B$2:$B$800),--(Risk_Rank_Keys!$B$2:$B$800=Risk_Rank_Keys!B452))+1)/2)/COUNT(Risk_Rank_Keys!$B$2:$B$800))</f>
        <v/>
      </c>
      <c r="N452">
        <f>IF(OR(B452="NW",COUNT(Risk_Rank_Keys!C452)=0),0.5,(SUMPRODUCT(--ISNUMBER(Risk_Rank_Keys!$C$2:$C$800),--(Risk_Rank_Keys!$C$2:$C$800&lt;Risk_Rank_Keys!C452))+(SUMPRODUCT(--ISNUMBER(Risk_Rank_Keys!$C$2:$C$800),--(Risk_Rank_Keys!$C$2:$C$800=Risk_Rank_Keys!C452))+1)/2)/COUNT(Risk_Rank_Keys!$C$2:$C$800))</f>
        <v/>
      </c>
      <c r="O452">
        <f>IF(OR(B452="NW",COUNT(Risk_Rank_Keys!D452)=0),0.5,(SUMPRODUCT(--ISNUMBER(Risk_Rank_Keys!$D$2:$D$800),--(Risk_Rank_Keys!$D$2:$D$800&lt;Risk_Rank_Keys!D452))+(SUMPRODUCT(--ISNUMBER(Risk_Rank_Keys!$D$2:$D$800),--(Risk_Rank_Keys!$D$2:$D$800=Risk_Rank_Keys!D452))+1)/2)/COUNT(Risk_Rank_Keys!$D$2:$D$800))</f>
        <v/>
      </c>
      <c r="P452">
        <f>AVERAGE(M452:O452)</f>
        <v/>
      </c>
      <c r="Q452">
        <f>0.4*H452+0.4*I452+0.2*P452</f>
        <v/>
      </c>
      <c r="R452">
        <f>PERCENTILE($Q$2:$Q$800,0.75)</f>
        <v/>
      </c>
      <c r="S452">
        <f>OR(Q452&gt;=R452,AND(B452="CW",COUNT(J452:L452)&lt;3))</f>
        <v/>
      </c>
      <c r="T452" t="n">
        <v>0.3995678928829933</v>
      </c>
      <c r="U452" t="n">
        <v>13.08039673495512</v>
      </c>
      <c r="V452" t="n">
        <v>0.857947434292866</v>
      </c>
      <c r="W452">
        <f>Q452-V452</f>
        <v/>
      </c>
    </row>
    <row r="453">
      <c r="A453" t="inlineStr">
        <is>
          <t>2024-01-25</t>
        </is>
      </c>
      <c r="B453" t="inlineStr">
        <is>
          <t>CW</t>
        </is>
      </c>
      <c r="C453" t="n">
        <v>14.11888397380325</v>
      </c>
      <c r="D453">
        <f>SUMPRODUCT(Risk_Inputs!B453:AJ453,Risk_Coefs!$B$2:$AJ$2)</f>
        <v/>
      </c>
      <c r="E453">
        <f>1/(1+EXP(-MAX(-25,MIN(25,D453))))</f>
        <v/>
      </c>
      <c r="F453">
        <f>SUMPRODUCT(Risk_Inputs!B453:AJ453,Risk_Coefs!$B$3:$AJ$3)</f>
        <v/>
      </c>
      <c r="G453">
        <f>MAX(0,F453)</f>
        <v/>
      </c>
      <c r="H453">
        <f>(SUMPRODUCT(--ISNUMBER($E$2:$E$800),--($E$2:$E$800&lt;E453))+(SUMPRODUCT(--ISNUMBER($E$2:$E$800),--($E$2:$E$800=E453))+1)/2)/COUNT($E$2:$E$800)</f>
        <v/>
      </c>
      <c r="I453">
        <f>(SUMPRODUCT(--ISNUMBER($G$2:$G$800),--($G$2:$G$800&lt;G453))+(SUMPRODUCT(--ISNUMBER($G$2:$G$800),--($G$2:$G$800=G453))+1)/2)/COUNT($G$2:$G$800)</f>
        <v/>
      </c>
      <c r="J453" t="n">
        <v>7.234893658730702</v>
      </c>
      <c r="K453" t="n">
        <v>3.374777975133215</v>
      </c>
      <c r="L453" t="n">
        <v>0.2841918294849013</v>
      </c>
      <c r="M453">
        <f>IF(OR(B453="NW",COUNT(Risk_Rank_Keys!B453)=0),0.5,(SUMPRODUCT(--ISNUMBER(Risk_Rank_Keys!$B$2:$B$800),--(Risk_Rank_Keys!$B$2:$B$800&lt;Risk_Rank_Keys!B453))+(SUMPRODUCT(--ISNUMBER(Risk_Rank_Keys!$B$2:$B$800),--(Risk_Rank_Keys!$B$2:$B$800=Risk_Rank_Keys!B453))+1)/2)/COUNT(Risk_Rank_Keys!$B$2:$B$800))</f>
        <v/>
      </c>
      <c r="N453">
        <f>IF(OR(B453="NW",COUNT(Risk_Rank_Keys!C453)=0),0.5,(SUMPRODUCT(--ISNUMBER(Risk_Rank_Keys!$C$2:$C$800),--(Risk_Rank_Keys!$C$2:$C$800&lt;Risk_Rank_Keys!C453))+(SUMPRODUCT(--ISNUMBER(Risk_Rank_Keys!$C$2:$C$800),--(Risk_Rank_Keys!$C$2:$C$800=Risk_Rank_Keys!C453))+1)/2)/COUNT(Risk_Rank_Keys!$C$2:$C$800))</f>
        <v/>
      </c>
      <c r="O453">
        <f>IF(OR(B453="NW",COUNT(Risk_Rank_Keys!D453)=0),0.5,(SUMPRODUCT(--ISNUMBER(Risk_Rank_Keys!$D$2:$D$800),--(Risk_Rank_Keys!$D$2:$D$800&lt;Risk_Rank_Keys!D453))+(SUMPRODUCT(--ISNUMBER(Risk_Rank_Keys!$D$2:$D$800),--(Risk_Rank_Keys!$D$2:$D$800=Risk_Rank_Keys!D453))+1)/2)/COUNT(Risk_Rank_Keys!$D$2:$D$800))</f>
        <v/>
      </c>
      <c r="P453">
        <f>AVERAGE(M453:O453)</f>
        <v/>
      </c>
      <c r="Q453">
        <f>0.4*H453+0.4*I453+0.2*P453</f>
        <v/>
      </c>
      <c r="R453">
        <f>PERCENTILE($Q$2:$Q$800,0.75)</f>
        <v/>
      </c>
      <c r="S453">
        <f>OR(Q453&gt;=R453,AND(B453="CW",COUNT(J453:L453)&lt;3))</f>
        <v/>
      </c>
      <c r="T453" t="n">
        <v>0.3158510970555226</v>
      </c>
      <c r="U453" t="n">
        <v>7.457948496754115</v>
      </c>
      <c r="V453" t="n">
        <v>0.5514538454332444</v>
      </c>
      <c r="W453">
        <f>Q453-V453</f>
        <v/>
      </c>
    </row>
    <row r="454">
      <c r="A454" t="inlineStr">
        <is>
          <t>2024-01-29</t>
        </is>
      </c>
      <c r="B454" t="inlineStr">
        <is>
          <t>CW</t>
        </is>
      </c>
      <c r="C454" t="n">
        <v>-37.49746405199667</v>
      </c>
      <c r="D454">
        <f>SUMPRODUCT(Risk_Inputs!B454:AJ454,Risk_Coefs!$B$2:$AJ$2)</f>
        <v/>
      </c>
      <c r="E454">
        <f>1/(1+EXP(-MAX(-25,MIN(25,D454))))</f>
        <v/>
      </c>
      <c r="F454">
        <f>SUMPRODUCT(Risk_Inputs!B454:AJ454,Risk_Coefs!$B$3:$AJ$3)</f>
        <v/>
      </c>
      <c r="G454">
        <f>MAX(0,F454)</f>
        <v/>
      </c>
      <c r="H454">
        <f>(SUMPRODUCT(--ISNUMBER($E$2:$E$800),--($E$2:$E$800&lt;E454))+(SUMPRODUCT(--ISNUMBER($E$2:$E$800),--($E$2:$E$800=E454))+1)/2)/COUNT($E$2:$E$800)</f>
        <v/>
      </c>
      <c r="I454">
        <f>(SUMPRODUCT(--ISNUMBER($G$2:$G$800),--($G$2:$G$800&lt;G454))+(SUMPRODUCT(--ISNUMBER($G$2:$G$800),--($G$2:$G$800=G454))+1)/2)/COUNT($G$2:$G$800)</f>
        <v/>
      </c>
      <c r="J454" t="n">
        <v>6.545383647682973</v>
      </c>
      <c r="K454" t="n">
        <v>1.931690929451297</v>
      </c>
      <c r="L454" t="n">
        <v>0.1259798432250887</v>
      </c>
      <c r="M454">
        <f>IF(OR(B454="NW",COUNT(Risk_Rank_Keys!B454)=0),0.5,(SUMPRODUCT(--ISNUMBER(Risk_Rank_Keys!$B$2:$B$800),--(Risk_Rank_Keys!$B$2:$B$800&lt;Risk_Rank_Keys!B454))+(SUMPRODUCT(--ISNUMBER(Risk_Rank_Keys!$B$2:$B$800),--(Risk_Rank_Keys!$B$2:$B$800=Risk_Rank_Keys!B454))+1)/2)/COUNT(Risk_Rank_Keys!$B$2:$B$800))</f>
        <v/>
      </c>
      <c r="N454">
        <f>IF(OR(B454="NW",COUNT(Risk_Rank_Keys!C454)=0),0.5,(SUMPRODUCT(--ISNUMBER(Risk_Rank_Keys!$C$2:$C$800),--(Risk_Rank_Keys!$C$2:$C$800&lt;Risk_Rank_Keys!C454))+(SUMPRODUCT(--ISNUMBER(Risk_Rank_Keys!$C$2:$C$800),--(Risk_Rank_Keys!$C$2:$C$800=Risk_Rank_Keys!C454))+1)/2)/COUNT(Risk_Rank_Keys!$C$2:$C$800))</f>
        <v/>
      </c>
      <c r="O454">
        <f>IF(OR(B454="NW",COUNT(Risk_Rank_Keys!D454)=0),0.5,(SUMPRODUCT(--ISNUMBER(Risk_Rank_Keys!$D$2:$D$800),--(Risk_Rank_Keys!$D$2:$D$800&lt;Risk_Rank_Keys!D454))+(SUMPRODUCT(--ISNUMBER(Risk_Rank_Keys!$D$2:$D$800),--(Risk_Rank_Keys!$D$2:$D$800=Risk_Rank_Keys!D454))+1)/2)/COUNT(Risk_Rank_Keys!$D$2:$D$800))</f>
        <v/>
      </c>
      <c r="P454">
        <f>AVERAGE(M454:O454)</f>
        <v/>
      </c>
      <c r="Q454">
        <f>0.4*H454+0.4*I454+0.2*P454</f>
        <v/>
      </c>
      <c r="R454">
        <f>PERCENTILE($Q$2:$Q$800,0.75)</f>
        <v/>
      </c>
      <c r="S454">
        <f>OR(Q454&gt;=R454,AND(B454="CW",COUNT(J454:L454)&lt;3))</f>
        <v/>
      </c>
      <c r="T454" t="n">
        <v>0.3628195285969089</v>
      </c>
      <c r="U454" t="n">
        <v>10.97526486567355</v>
      </c>
      <c r="V454" t="n">
        <v>0.7313240807168887</v>
      </c>
      <c r="W454">
        <f>Q454-V454</f>
        <v/>
      </c>
    </row>
    <row r="455">
      <c r="A455" t="inlineStr">
        <is>
          <t>2024-01-30</t>
        </is>
      </c>
      <c r="B455" t="inlineStr">
        <is>
          <t>CW</t>
        </is>
      </c>
      <c r="C455" t="n">
        <v>21.50014782741137</v>
      </c>
      <c r="D455">
        <f>SUMPRODUCT(Risk_Inputs!B455:AJ455,Risk_Coefs!$B$2:$AJ$2)</f>
        <v/>
      </c>
      <c r="E455">
        <f>1/(1+EXP(-MAX(-25,MIN(25,D455))))</f>
        <v/>
      </c>
      <c r="F455">
        <f>SUMPRODUCT(Risk_Inputs!B455:AJ455,Risk_Coefs!$B$3:$AJ$3)</f>
        <v/>
      </c>
      <c r="G455">
        <f>MAX(0,F455)</f>
        <v/>
      </c>
      <c r="H455">
        <f>(SUMPRODUCT(--ISNUMBER($E$2:$E$800),--($E$2:$E$800&lt;E455))+(SUMPRODUCT(--ISNUMBER($E$2:$E$800),--($E$2:$E$800=E455))+1)/2)/COUNT($E$2:$E$800)</f>
        <v/>
      </c>
      <c r="I455">
        <f>(SUMPRODUCT(--ISNUMBER($G$2:$G$800),--($G$2:$G$800&lt;G455))+(SUMPRODUCT(--ISNUMBER($G$2:$G$800),--($G$2:$G$800=G455))+1)/2)/COUNT($G$2:$G$800)</f>
        <v/>
      </c>
      <c r="J455" t="n">
        <v>5.793557015011871</v>
      </c>
      <c r="K455" t="n">
        <v>1.789381050161344</v>
      </c>
      <c r="L455" t="n">
        <v>0.2346729246113179</v>
      </c>
      <c r="M455">
        <f>IF(OR(B455="NW",COUNT(Risk_Rank_Keys!B455)=0),0.5,(SUMPRODUCT(--ISNUMBER(Risk_Rank_Keys!$B$2:$B$800),--(Risk_Rank_Keys!$B$2:$B$800&lt;Risk_Rank_Keys!B455))+(SUMPRODUCT(--ISNUMBER(Risk_Rank_Keys!$B$2:$B$800),--(Risk_Rank_Keys!$B$2:$B$800=Risk_Rank_Keys!B455))+1)/2)/COUNT(Risk_Rank_Keys!$B$2:$B$800))</f>
        <v/>
      </c>
      <c r="N455">
        <f>IF(OR(B455="NW",COUNT(Risk_Rank_Keys!C455)=0),0.5,(SUMPRODUCT(--ISNUMBER(Risk_Rank_Keys!$C$2:$C$800),--(Risk_Rank_Keys!$C$2:$C$800&lt;Risk_Rank_Keys!C455))+(SUMPRODUCT(--ISNUMBER(Risk_Rank_Keys!$C$2:$C$800),--(Risk_Rank_Keys!$C$2:$C$800=Risk_Rank_Keys!C455))+1)/2)/COUNT(Risk_Rank_Keys!$C$2:$C$800))</f>
        <v/>
      </c>
      <c r="O455">
        <f>IF(OR(B455="NW",COUNT(Risk_Rank_Keys!D455)=0),0.5,(SUMPRODUCT(--ISNUMBER(Risk_Rank_Keys!$D$2:$D$800),--(Risk_Rank_Keys!$D$2:$D$800&lt;Risk_Rank_Keys!D455))+(SUMPRODUCT(--ISNUMBER(Risk_Rank_Keys!$D$2:$D$800),--(Risk_Rank_Keys!$D$2:$D$800=Risk_Rank_Keys!D455))+1)/2)/COUNT(Risk_Rank_Keys!$D$2:$D$800))</f>
        <v/>
      </c>
      <c r="P455">
        <f>AVERAGE(M455:O455)</f>
        <v/>
      </c>
      <c r="Q455">
        <f>0.4*H455+0.4*I455+0.2*P455</f>
        <v/>
      </c>
      <c r="R455">
        <f>PERCENTILE($Q$2:$Q$800,0.75)</f>
        <v/>
      </c>
      <c r="S455">
        <f>OR(Q455&gt;=R455,AND(B455="CW",COUNT(J455:L455)&lt;3))</f>
        <v/>
      </c>
      <c r="T455" t="n">
        <v>0.3329387747361611</v>
      </c>
      <c r="U455" t="n">
        <v>8.520119502505343</v>
      </c>
      <c r="V455" t="n">
        <v>0.6057545199747012</v>
      </c>
      <c r="W455">
        <f>Q455-V455</f>
        <v/>
      </c>
    </row>
    <row r="456">
      <c r="A456" t="inlineStr">
        <is>
          <t>2024-01-31</t>
        </is>
      </c>
      <c r="B456" t="inlineStr">
        <is>
          <t>CW</t>
        </is>
      </c>
      <c r="C456" t="n">
        <v>23.99714385983827</v>
      </c>
      <c r="D456">
        <f>SUMPRODUCT(Risk_Inputs!B456:AJ456,Risk_Coefs!$B$2:$AJ$2)</f>
        <v/>
      </c>
      <c r="E456">
        <f>1/(1+EXP(-MAX(-25,MIN(25,D456))))</f>
        <v/>
      </c>
      <c r="F456">
        <f>SUMPRODUCT(Risk_Inputs!B456:AJ456,Risk_Coefs!$B$3:$AJ$3)</f>
        <v/>
      </c>
      <c r="G456">
        <f>MAX(0,F456)</f>
        <v/>
      </c>
      <c r="H456">
        <f>(SUMPRODUCT(--ISNUMBER($E$2:$E$800),--($E$2:$E$800&lt;E456))+(SUMPRODUCT(--ISNUMBER($E$2:$E$800),--($E$2:$E$800=E456))+1)/2)/COUNT($E$2:$E$800)</f>
        <v/>
      </c>
      <c r="I456">
        <f>(SUMPRODUCT(--ISNUMBER($G$2:$G$800),--($G$2:$G$800&lt;G456))+(SUMPRODUCT(--ISNUMBER($G$2:$G$800),--($G$2:$G$800=G456))+1)/2)/COUNT($G$2:$G$800)</f>
        <v/>
      </c>
      <c r="J456" t="n">
        <v>25.52912482532909</v>
      </c>
      <c r="K456" t="n">
        <v>5.103058510638286</v>
      </c>
      <c r="L456" t="n">
        <v>0.3324468085106383</v>
      </c>
      <c r="M456">
        <f>IF(OR(B456="NW",COUNT(Risk_Rank_Keys!B456)=0),0.5,(SUMPRODUCT(--ISNUMBER(Risk_Rank_Keys!$B$2:$B$800),--(Risk_Rank_Keys!$B$2:$B$800&lt;Risk_Rank_Keys!B456))+(SUMPRODUCT(--ISNUMBER(Risk_Rank_Keys!$B$2:$B$800),--(Risk_Rank_Keys!$B$2:$B$800=Risk_Rank_Keys!B456))+1)/2)/COUNT(Risk_Rank_Keys!$B$2:$B$800))</f>
        <v/>
      </c>
      <c r="N456">
        <f>IF(OR(B456="NW",COUNT(Risk_Rank_Keys!C456)=0),0.5,(SUMPRODUCT(--ISNUMBER(Risk_Rank_Keys!$C$2:$C$800),--(Risk_Rank_Keys!$C$2:$C$800&lt;Risk_Rank_Keys!C456))+(SUMPRODUCT(--ISNUMBER(Risk_Rank_Keys!$C$2:$C$800),--(Risk_Rank_Keys!$C$2:$C$800=Risk_Rank_Keys!C456))+1)/2)/COUNT(Risk_Rank_Keys!$C$2:$C$800))</f>
        <v/>
      </c>
      <c r="O456">
        <f>IF(OR(B456="NW",COUNT(Risk_Rank_Keys!D456)=0),0.5,(SUMPRODUCT(--ISNUMBER(Risk_Rank_Keys!$D$2:$D$800),--(Risk_Rank_Keys!$D$2:$D$800&lt;Risk_Rank_Keys!D456))+(SUMPRODUCT(--ISNUMBER(Risk_Rank_Keys!$D$2:$D$800),--(Risk_Rank_Keys!$D$2:$D$800=Risk_Rank_Keys!D456))+1)/2)/COUNT(Risk_Rank_Keys!$D$2:$D$800))</f>
        <v/>
      </c>
      <c r="P456">
        <f>AVERAGE(M456:O456)</f>
        <v/>
      </c>
      <c r="Q456">
        <f>0.4*H456+0.4*I456+0.2*P456</f>
        <v/>
      </c>
      <c r="R456">
        <f>PERCENTILE($Q$2:$Q$800,0.75)</f>
        <v/>
      </c>
      <c r="S456">
        <f>OR(Q456&gt;=R456,AND(B456="CW",COUNT(J456:L456)&lt;3))</f>
        <v/>
      </c>
      <c r="T456" t="n">
        <v>0.3101700358644467</v>
      </c>
      <c r="U456" t="n">
        <v>10.44131480198744</v>
      </c>
      <c r="V456" t="n">
        <v>0.738048083116448</v>
      </c>
      <c r="W456">
        <f>Q456-V456</f>
        <v/>
      </c>
    </row>
    <row r="457">
      <c r="A457" t="inlineStr">
        <is>
          <t>2024-02-01</t>
        </is>
      </c>
      <c r="B457" t="inlineStr">
        <is>
          <t>CW</t>
        </is>
      </c>
      <c r="C457" t="n">
        <v>33.16043738141386</v>
      </c>
      <c r="D457">
        <f>SUMPRODUCT(Risk_Inputs!B457:AJ457,Risk_Coefs!$B$2:$AJ$2)</f>
        <v/>
      </c>
      <c r="E457">
        <f>1/(1+EXP(-MAX(-25,MIN(25,D457))))</f>
        <v/>
      </c>
      <c r="F457">
        <f>SUMPRODUCT(Risk_Inputs!B457:AJ457,Risk_Coefs!$B$3:$AJ$3)</f>
        <v/>
      </c>
      <c r="G457">
        <f>MAX(0,F457)</f>
        <v/>
      </c>
      <c r="H457">
        <f>(SUMPRODUCT(--ISNUMBER($E$2:$E$800),--($E$2:$E$800&lt;E457))+(SUMPRODUCT(--ISNUMBER($E$2:$E$800),--($E$2:$E$800=E457))+1)/2)/COUNT($E$2:$E$800)</f>
        <v/>
      </c>
      <c r="I457">
        <f>(SUMPRODUCT(--ISNUMBER($G$2:$G$800),--($G$2:$G$800&lt;G457))+(SUMPRODUCT(--ISNUMBER($G$2:$G$800),--($G$2:$G$800=G457))+1)/2)/COUNT($G$2:$G$800)</f>
        <v/>
      </c>
      <c r="J457" t="n">
        <v>7.38773405998363</v>
      </c>
      <c r="K457" t="n">
        <v>2.741903437313721</v>
      </c>
      <c r="L457" t="n">
        <v>0.2185575203655916</v>
      </c>
      <c r="M457">
        <f>IF(OR(B457="NW",COUNT(Risk_Rank_Keys!B457)=0),0.5,(SUMPRODUCT(--ISNUMBER(Risk_Rank_Keys!$B$2:$B$800),--(Risk_Rank_Keys!$B$2:$B$800&lt;Risk_Rank_Keys!B457))+(SUMPRODUCT(--ISNUMBER(Risk_Rank_Keys!$B$2:$B$800),--(Risk_Rank_Keys!$B$2:$B$800=Risk_Rank_Keys!B457))+1)/2)/COUNT(Risk_Rank_Keys!$B$2:$B$800))</f>
        <v/>
      </c>
      <c r="N457">
        <f>IF(OR(B457="NW",COUNT(Risk_Rank_Keys!C457)=0),0.5,(SUMPRODUCT(--ISNUMBER(Risk_Rank_Keys!$C$2:$C$800),--(Risk_Rank_Keys!$C$2:$C$800&lt;Risk_Rank_Keys!C457))+(SUMPRODUCT(--ISNUMBER(Risk_Rank_Keys!$C$2:$C$800),--(Risk_Rank_Keys!$C$2:$C$800=Risk_Rank_Keys!C457))+1)/2)/COUNT(Risk_Rank_Keys!$C$2:$C$800))</f>
        <v/>
      </c>
      <c r="O457">
        <f>IF(OR(B457="NW",COUNT(Risk_Rank_Keys!D457)=0),0.5,(SUMPRODUCT(--ISNUMBER(Risk_Rank_Keys!$D$2:$D$800),--(Risk_Rank_Keys!$D$2:$D$800&lt;Risk_Rank_Keys!D457))+(SUMPRODUCT(--ISNUMBER(Risk_Rank_Keys!$D$2:$D$800),--(Risk_Rank_Keys!$D$2:$D$800=Risk_Rank_Keys!D457))+1)/2)/COUNT(Risk_Rank_Keys!$D$2:$D$800))</f>
        <v/>
      </c>
      <c r="P457">
        <f>AVERAGE(M457:O457)</f>
        <v/>
      </c>
      <c r="Q457">
        <f>0.4*H457+0.4*I457+0.2*P457</f>
        <v/>
      </c>
      <c r="R457">
        <f>PERCENTILE($Q$2:$Q$800,0.75)</f>
        <v/>
      </c>
      <c r="S457">
        <f>OR(Q457&gt;=R457,AND(B457="CW",COUNT(J457:L457)&lt;3))</f>
        <v/>
      </c>
      <c r="T457" t="n">
        <v>0.499726774034472</v>
      </c>
      <c r="U457" t="n">
        <v>14.0662991281078</v>
      </c>
      <c r="V457" t="n">
        <v>0.8675973977234445</v>
      </c>
      <c r="W457">
        <f>Q457-V457</f>
        <v/>
      </c>
    </row>
    <row r="458">
      <c r="A458" t="inlineStr">
        <is>
          <t>2024-02-05</t>
        </is>
      </c>
      <c r="B458" t="inlineStr">
        <is>
          <t>CW</t>
        </is>
      </c>
      <c r="C458" t="n">
        <v>-8.605232879581354</v>
      </c>
      <c r="D458">
        <f>SUMPRODUCT(Risk_Inputs!B458:AJ458,Risk_Coefs!$B$2:$AJ$2)</f>
        <v/>
      </c>
      <c r="E458">
        <f>1/(1+EXP(-MAX(-25,MIN(25,D458))))</f>
        <v/>
      </c>
      <c r="F458">
        <f>SUMPRODUCT(Risk_Inputs!B458:AJ458,Risk_Coefs!$B$3:$AJ$3)</f>
        <v/>
      </c>
      <c r="G458">
        <f>MAX(0,F458)</f>
        <v/>
      </c>
      <c r="H458">
        <f>(SUMPRODUCT(--ISNUMBER($E$2:$E$800),--($E$2:$E$800&lt;E458))+(SUMPRODUCT(--ISNUMBER($E$2:$E$800),--($E$2:$E$800=E458))+1)/2)/COUNT($E$2:$E$800)</f>
        <v/>
      </c>
      <c r="I458">
        <f>(SUMPRODUCT(--ISNUMBER($G$2:$G$800),--($G$2:$G$800&lt;G458))+(SUMPRODUCT(--ISNUMBER($G$2:$G$800),--($G$2:$G$800=G458))+1)/2)/COUNT($G$2:$G$800)</f>
        <v/>
      </c>
      <c r="J458" t="n">
        <v>7.889140426701259</v>
      </c>
      <c r="K458" t="n">
        <v>3.018076178179459</v>
      </c>
      <c r="L458" t="n">
        <v>0.1452550032278944</v>
      </c>
      <c r="M458">
        <f>IF(OR(B458="NW",COUNT(Risk_Rank_Keys!B458)=0),0.5,(SUMPRODUCT(--ISNUMBER(Risk_Rank_Keys!$B$2:$B$800),--(Risk_Rank_Keys!$B$2:$B$800&lt;Risk_Rank_Keys!B458))+(SUMPRODUCT(--ISNUMBER(Risk_Rank_Keys!$B$2:$B$800),--(Risk_Rank_Keys!$B$2:$B$800=Risk_Rank_Keys!B458))+1)/2)/COUNT(Risk_Rank_Keys!$B$2:$B$800))</f>
        <v/>
      </c>
      <c r="N458">
        <f>IF(OR(B458="NW",COUNT(Risk_Rank_Keys!C458)=0),0.5,(SUMPRODUCT(--ISNUMBER(Risk_Rank_Keys!$C$2:$C$800),--(Risk_Rank_Keys!$C$2:$C$800&lt;Risk_Rank_Keys!C458))+(SUMPRODUCT(--ISNUMBER(Risk_Rank_Keys!$C$2:$C$800),--(Risk_Rank_Keys!$C$2:$C$800=Risk_Rank_Keys!C458))+1)/2)/COUNT(Risk_Rank_Keys!$C$2:$C$800))</f>
        <v/>
      </c>
      <c r="O458">
        <f>IF(OR(B458="NW",COUNT(Risk_Rank_Keys!D458)=0),0.5,(SUMPRODUCT(--ISNUMBER(Risk_Rank_Keys!$D$2:$D$800),--(Risk_Rank_Keys!$D$2:$D$800&lt;Risk_Rank_Keys!D458))+(SUMPRODUCT(--ISNUMBER(Risk_Rank_Keys!$D$2:$D$800),--(Risk_Rank_Keys!$D$2:$D$800=Risk_Rank_Keys!D458))+1)/2)/COUNT(Risk_Rank_Keys!$D$2:$D$800))</f>
        <v/>
      </c>
      <c r="P458">
        <f>AVERAGE(M458:O458)</f>
        <v/>
      </c>
      <c r="Q458">
        <f>0.4*H458+0.4*I458+0.2*P458</f>
        <v/>
      </c>
      <c r="R458">
        <f>PERCENTILE($Q$2:$Q$800,0.75)</f>
        <v/>
      </c>
      <c r="S458">
        <f>OR(Q458&gt;=R458,AND(B458="CW",COUNT(J458:L458)&lt;3))</f>
        <v/>
      </c>
      <c r="T458" t="n">
        <v>0.3377555964473853</v>
      </c>
      <c r="U458" t="n">
        <v>6.677585705331733</v>
      </c>
      <c r="V458" t="n">
        <v>0.5237448716986424</v>
      </c>
      <c r="W458">
        <f>Q458-V458</f>
        <v/>
      </c>
    </row>
    <row r="459">
      <c r="A459" t="inlineStr">
        <is>
          <t>2024-02-06</t>
        </is>
      </c>
      <c r="B459" t="inlineStr">
        <is>
          <t>CW</t>
        </is>
      </c>
      <c r="C459" t="n">
        <v>8.509714248385281</v>
      </c>
      <c r="D459">
        <f>SUMPRODUCT(Risk_Inputs!B459:AJ459,Risk_Coefs!$B$2:$AJ$2)</f>
        <v/>
      </c>
      <c r="E459">
        <f>1/(1+EXP(-MAX(-25,MIN(25,D459))))</f>
        <v/>
      </c>
      <c r="F459">
        <f>SUMPRODUCT(Risk_Inputs!B459:AJ459,Risk_Coefs!$B$3:$AJ$3)</f>
        <v/>
      </c>
      <c r="G459">
        <f>MAX(0,F459)</f>
        <v/>
      </c>
      <c r="H459">
        <f>(SUMPRODUCT(--ISNUMBER($E$2:$E$800),--($E$2:$E$800&lt;E459))+(SUMPRODUCT(--ISNUMBER($E$2:$E$800),--($E$2:$E$800=E459))+1)/2)/COUNT($E$2:$E$800)</f>
        <v/>
      </c>
      <c r="I459">
        <f>(SUMPRODUCT(--ISNUMBER($G$2:$G$800),--($G$2:$G$800&lt;G459))+(SUMPRODUCT(--ISNUMBER($G$2:$G$800),--($G$2:$G$800=G459))+1)/2)/COUNT($G$2:$G$800)</f>
        <v/>
      </c>
      <c r="J459" t="n">
        <v>7.447111715870037</v>
      </c>
      <c r="K459" t="n">
        <v>2.435530085959869</v>
      </c>
      <c r="L459" t="n">
        <v>0.1790830945558739</v>
      </c>
      <c r="M459">
        <f>IF(OR(B459="NW",COUNT(Risk_Rank_Keys!B459)=0),0.5,(SUMPRODUCT(--ISNUMBER(Risk_Rank_Keys!$B$2:$B$800),--(Risk_Rank_Keys!$B$2:$B$800&lt;Risk_Rank_Keys!B459))+(SUMPRODUCT(--ISNUMBER(Risk_Rank_Keys!$B$2:$B$800),--(Risk_Rank_Keys!$B$2:$B$800=Risk_Rank_Keys!B459))+1)/2)/COUNT(Risk_Rank_Keys!$B$2:$B$800))</f>
        <v/>
      </c>
      <c r="N459">
        <f>IF(OR(B459="NW",COUNT(Risk_Rank_Keys!C459)=0),0.5,(SUMPRODUCT(--ISNUMBER(Risk_Rank_Keys!$C$2:$C$800),--(Risk_Rank_Keys!$C$2:$C$800&lt;Risk_Rank_Keys!C459))+(SUMPRODUCT(--ISNUMBER(Risk_Rank_Keys!$C$2:$C$800),--(Risk_Rank_Keys!$C$2:$C$800=Risk_Rank_Keys!C459))+1)/2)/COUNT(Risk_Rank_Keys!$C$2:$C$800))</f>
        <v/>
      </c>
      <c r="O459">
        <f>IF(OR(B459="NW",COUNT(Risk_Rank_Keys!D459)=0),0.5,(SUMPRODUCT(--ISNUMBER(Risk_Rank_Keys!$D$2:$D$800),--(Risk_Rank_Keys!$D$2:$D$800&lt;Risk_Rank_Keys!D459))+(SUMPRODUCT(--ISNUMBER(Risk_Rank_Keys!$D$2:$D$800),--(Risk_Rank_Keys!$D$2:$D$800=Risk_Rank_Keys!D459))+1)/2)/COUNT(Risk_Rank_Keys!$D$2:$D$800))</f>
        <v/>
      </c>
      <c r="P459">
        <f>AVERAGE(M459:O459)</f>
        <v/>
      </c>
      <c r="Q459">
        <f>0.4*H459+0.4*I459+0.2*P459</f>
        <v/>
      </c>
      <c r="R459">
        <f>PERCENTILE($Q$2:$Q$800,0.75)</f>
        <v/>
      </c>
      <c r="S459">
        <f>OR(Q459&gt;=R459,AND(B459="CW",COUNT(J459:L459)&lt;3))</f>
        <v/>
      </c>
      <c r="T459" t="n">
        <v>0.2992800945409838</v>
      </c>
      <c r="U459" t="n">
        <v>6.788930965500038</v>
      </c>
      <c r="V459" t="n">
        <v>0.4446817238423902</v>
      </c>
      <c r="W459">
        <f>Q459-V459</f>
        <v/>
      </c>
    </row>
    <row r="460">
      <c r="A460" t="inlineStr">
        <is>
          <t>2024-02-07</t>
        </is>
      </c>
      <c r="B460" t="inlineStr">
        <is>
          <t>CW</t>
        </is>
      </c>
      <c r="C460" t="n">
        <v>18.442065821221</v>
      </c>
      <c r="D460">
        <f>SUMPRODUCT(Risk_Inputs!B460:AJ460,Risk_Coefs!$B$2:$AJ$2)</f>
        <v/>
      </c>
      <c r="E460">
        <f>1/(1+EXP(-MAX(-25,MIN(25,D460))))</f>
        <v/>
      </c>
      <c r="F460">
        <f>SUMPRODUCT(Risk_Inputs!B460:AJ460,Risk_Coefs!$B$3:$AJ$3)</f>
        <v/>
      </c>
      <c r="G460">
        <f>MAX(0,F460)</f>
        <v/>
      </c>
      <c r="H460">
        <f>(SUMPRODUCT(--ISNUMBER($E$2:$E$800),--($E$2:$E$800&lt;E460))+(SUMPRODUCT(--ISNUMBER($E$2:$E$800),--($E$2:$E$800=E460))+1)/2)/COUNT($E$2:$E$800)</f>
        <v/>
      </c>
      <c r="I460">
        <f>(SUMPRODUCT(--ISNUMBER($G$2:$G$800),--($G$2:$G$800&lt;G460))+(SUMPRODUCT(--ISNUMBER($G$2:$G$800),--($G$2:$G$800=G460))+1)/2)/COUNT($G$2:$G$800)</f>
        <v/>
      </c>
      <c r="J460" t="n">
        <v>6.61987413170763</v>
      </c>
      <c r="K460" t="n">
        <v>1.682464454976309</v>
      </c>
      <c r="L460" t="n">
        <v>0.1895734597156425</v>
      </c>
      <c r="M460">
        <f>IF(OR(B460="NW",COUNT(Risk_Rank_Keys!B460)=0),0.5,(SUMPRODUCT(--ISNUMBER(Risk_Rank_Keys!$B$2:$B$800),--(Risk_Rank_Keys!$B$2:$B$800&lt;Risk_Rank_Keys!B460))+(SUMPRODUCT(--ISNUMBER(Risk_Rank_Keys!$B$2:$B$800),--(Risk_Rank_Keys!$B$2:$B$800=Risk_Rank_Keys!B460))+1)/2)/COUNT(Risk_Rank_Keys!$B$2:$B$800))</f>
        <v/>
      </c>
      <c r="N460">
        <f>IF(OR(B460="NW",COUNT(Risk_Rank_Keys!C460)=0),0.5,(SUMPRODUCT(--ISNUMBER(Risk_Rank_Keys!$C$2:$C$800),--(Risk_Rank_Keys!$C$2:$C$800&lt;Risk_Rank_Keys!C460))+(SUMPRODUCT(--ISNUMBER(Risk_Rank_Keys!$C$2:$C$800),--(Risk_Rank_Keys!$C$2:$C$800=Risk_Rank_Keys!C460))+1)/2)/COUNT(Risk_Rank_Keys!$C$2:$C$800))</f>
        <v/>
      </c>
      <c r="O460">
        <f>IF(OR(B460="NW",COUNT(Risk_Rank_Keys!D460)=0),0.5,(SUMPRODUCT(--ISNUMBER(Risk_Rank_Keys!$D$2:$D$800),--(Risk_Rank_Keys!$D$2:$D$800&lt;Risk_Rank_Keys!D460))+(SUMPRODUCT(--ISNUMBER(Risk_Rank_Keys!$D$2:$D$800),--(Risk_Rank_Keys!$D$2:$D$800=Risk_Rank_Keys!D460))+1)/2)/COUNT(Risk_Rank_Keys!$D$2:$D$800))</f>
        <v/>
      </c>
      <c r="P460">
        <f>AVERAGE(M460:O460)</f>
        <v/>
      </c>
      <c r="Q460">
        <f>0.4*H460+0.4*I460+0.2*P460</f>
        <v/>
      </c>
      <c r="R460">
        <f>PERCENTILE($Q$2:$Q$800,0.75)</f>
        <v/>
      </c>
      <c r="S460">
        <f>OR(Q460&gt;=R460,AND(B460="CW",COUNT(J460:L460)&lt;3))</f>
        <v/>
      </c>
      <c r="T460" t="n">
        <v>0.313277787133216</v>
      </c>
      <c r="U460" t="n">
        <v>10.19823059770886</v>
      </c>
      <c r="V460" t="n">
        <v>0.6250132516878083</v>
      </c>
      <c r="W460">
        <f>Q460-V460</f>
        <v/>
      </c>
    </row>
    <row r="461">
      <c r="A461" t="inlineStr">
        <is>
          <t>2024-02-08</t>
        </is>
      </c>
      <c r="B461" t="inlineStr">
        <is>
          <t>CW</t>
        </is>
      </c>
      <c r="C461" t="n">
        <v>-41.28830616747664</v>
      </c>
      <c r="D461">
        <f>SUMPRODUCT(Risk_Inputs!B461:AJ461,Risk_Coefs!$B$2:$AJ$2)</f>
        <v/>
      </c>
      <c r="E461">
        <f>1/(1+EXP(-MAX(-25,MIN(25,D461))))</f>
        <v/>
      </c>
      <c r="F461">
        <f>SUMPRODUCT(Risk_Inputs!B461:AJ461,Risk_Coefs!$B$3:$AJ$3)</f>
        <v/>
      </c>
      <c r="G461">
        <f>MAX(0,F461)</f>
        <v/>
      </c>
      <c r="H461">
        <f>(SUMPRODUCT(--ISNUMBER($E$2:$E$800),--($E$2:$E$800&lt;E461))+(SUMPRODUCT(--ISNUMBER($E$2:$E$800),--($E$2:$E$800=E461))+1)/2)/COUNT($E$2:$E$800)</f>
        <v/>
      </c>
      <c r="I461">
        <f>(SUMPRODUCT(--ISNUMBER($G$2:$G$800),--($G$2:$G$800&lt;G461))+(SUMPRODUCT(--ISNUMBER($G$2:$G$800),--($G$2:$G$800=G461))+1)/2)/COUNT($G$2:$G$800)</f>
        <v/>
      </c>
      <c r="J461" t="n">
        <v>3.70404035813199</v>
      </c>
      <c r="K461" t="n">
        <v>2.00000000000001</v>
      </c>
      <c r="L461" t="n">
        <v>0.3043478260869577</v>
      </c>
      <c r="M461">
        <f>IF(OR(B461="NW",COUNT(Risk_Rank_Keys!B461)=0),0.5,(SUMPRODUCT(--ISNUMBER(Risk_Rank_Keys!$B$2:$B$800),--(Risk_Rank_Keys!$B$2:$B$800&lt;Risk_Rank_Keys!B461))+(SUMPRODUCT(--ISNUMBER(Risk_Rank_Keys!$B$2:$B$800),--(Risk_Rank_Keys!$B$2:$B$800=Risk_Rank_Keys!B461))+1)/2)/COUNT(Risk_Rank_Keys!$B$2:$B$800))</f>
        <v/>
      </c>
      <c r="N461">
        <f>IF(OR(B461="NW",COUNT(Risk_Rank_Keys!C461)=0),0.5,(SUMPRODUCT(--ISNUMBER(Risk_Rank_Keys!$C$2:$C$800),--(Risk_Rank_Keys!$C$2:$C$800&lt;Risk_Rank_Keys!C461))+(SUMPRODUCT(--ISNUMBER(Risk_Rank_Keys!$C$2:$C$800),--(Risk_Rank_Keys!$C$2:$C$800=Risk_Rank_Keys!C461))+1)/2)/COUNT(Risk_Rank_Keys!$C$2:$C$800))</f>
        <v/>
      </c>
      <c r="O461">
        <f>IF(OR(B461="NW",COUNT(Risk_Rank_Keys!D461)=0),0.5,(SUMPRODUCT(--ISNUMBER(Risk_Rank_Keys!$D$2:$D$800),--(Risk_Rank_Keys!$D$2:$D$800&lt;Risk_Rank_Keys!D461))+(SUMPRODUCT(--ISNUMBER(Risk_Rank_Keys!$D$2:$D$800),--(Risk_Rank_Keys!$D$2:$D$800=Risk_Rank_Keys!D461))+1)/2)/COUNT(Risk_Rank_Keys!$D$2:$D$800))</f>
        <v/>
      </c>
      <c r="P461">
        <f>AVERAGE(M461:O461)</f>
        <v/>
      </c>
      <c r="Q461">
        <f>0.4*H461+0.4*I461+0.2*P461</f>
        <v/>
      </c>
      <c r="R461">
        <f>PERCENTILE($Q$2:$Q$800,0.75)</f>
        <v/>
      </c>
      <c r="S461">
        <f>OR(Q461&gt;=R461,AND(B461="CW",COUNT(J461:L461)&lt;3))</f>
        <v/>
      </c>
      <c r="T461" t="n">
        <v>0.3078301338901109</v>
      </c>
      <c r="U461" t="n">
        <v>7.444625593058298</v>
      </c>
      <c r="V461" t="n">
        <v>0.5036919114955992</v>
      </c>
      <c r="W461">
        <f>Q461-V461</f>
        <v/>
      </c>
    </row>
    <row r="462">
      <c r="A462" t="inlineStr">
        <is>
          <t>2024-02-09</t>
        </is>
      </c>
      <c r="B462" t="inlineStr">
        <is>
          <t>CW</t>
        </is>
      </c>
      <c r="C462" t="n">
        <v>32.75623830751229</v>
      </c>
      <c r="D462">
        <f>SUMPRODUCT(Risk_Inputs!B462:AJ462,Risk_Coefs!$B$2:$AJ$2)</f>
        <v/>
      </c>
      <c r="E462">
        <f>1/(1+EXP(-MAX(-25,MIN(25,D462))))</f>
        <v/>
      </c>
      <c r="F462">
        <f>SUMPRODUCT(Risk_Inputs!B462:AJ462,Risk_Coefs!$B$3:$AJ$3)</f>
        <v/>
      </c>
      <c r="G462">
        <f>MAX(0,F462)</f>
        <v/>
      </c>
      <c r="H462">
        <f>(SUMPRODUCT(--ISNUMBER($E$2:$E$800),--($E$2:$E$800&lt;E462))+(SUMPRODUCT(--ISNUMBER($E$2:$E$800),--($E$2:$E$800=E462))+1)/2)/COUNT($E$2:$E$800)</f>
        <v/>
      </c>
      <c r="I462">
        <f>(SUMPRODUCT(--ISNUMBER($G$2:$G$800),--($G$2:$G$800&lt;G462))+(SUMPRODUCT(--ISNUMBER($G$2:$G$800),--($G$2:$G$800=G462))+1)/2)/COUNT($G$2:$G$800)</f>
        <v/>
      </c>
      <c r="J462" t="n">
        <v>8.4261902569294</v>
      </c>
      <c r="K462" t="n">
        <v>1.753155680224404</v>
      </c>
      <c r="L462" t="n">
        <v>0.196353436185138</v>
      </c>
      <c r="M462">
        <f>IF(OR(B462="NW",COUNT(Risk_Rank_Keys!B462)=0),0.5,(SUMPRODUCT(--ISNUMBER(Risk_Rank_Keys!$B$2:$B$800),--(Risk_Rank_Keys!$B$2:$B$800&lt;Risk_Rank_Keys!B462))+(SUMPRODUCT(--ISNUMBER(Risk_Rank_Keys!$B$2:$B$800),--(Risk_Rank_Keys!$B$2:$B$800=Risk_Rank_Keys!B462))+1)/2)/COUNT(Risk_Rank_Keys!$B$2:$B$800))</f>
        <v/>
      </c>
      <c r="N462">
        <f>IF(OR(B462="NW",COUNT(Risk_Rank_Keys!C462)=0),0.5,(SUMPRODUCT(--ISNUMBER(Risk_Rank_Keys!$C$2:$C$800),--(Risk_Rank_Keys!$C$2:$C$800&lt;Risk_Rank_Keys!C462))+(SUMPRODUCT(--ISNUMBER(Risk_Rank_Keys!$C$2:$C$800),--(Risk_Rank_Keys!$C$2:$C$800=Risk_Rank_Keys!C462))+1)/2)/COUNT(Risk_Rank_Keys!$C$2:$C$800))</f>
        <v/>
      </c>
      <c r="O462">
        <f>IF(OR(B462="NW",COUNT(Risk_Rank_Keys!D462)=0),0.5,(SUMPRODUCT(--ISNUMBER(Risk_Rank_Keys!$D$2:$D$800),--(Risk_Rank_Keys!$D$2:$D$800&lt;Risk_Rank_Keys!D462))+(SUMPRODUCT(--ISNUMBER(Risk_Rank_Keys!$D$2:$D$800),--(Risk_Rank_Keys!$D$2:$D$800=Risk_Rank_Keys!D462))+1)/2)/COUNT(Risk_Rank_Keys!$D$2:$D$800))</f>
        <v/>
      </c>
      <c r="P462">
        <f>AVERAGE(M462:O462)</f>
        <v/>
      </c>
      <c r="Q462">
        <f>0.4*H462+0.4*I462+0.2*P462</f>
        <v/>
      </c>
      <c r="R462">
        <f>PERCENTILE($Q$2:$Q$800,0.75)</f>
        <v/>
      </c>
      <c r="S462">
        <f>OR(Q462&gt;=R462,AND(B462="CW",COUNT(J462:L462)&lt;3))</f>
        <v/>
      </c>
      <c r="T462" t="n">
        <v>0.2538886721013676</v>
      </c>
      <c r="U462" t="n">
        <v>5.677818305565731</v>
      </c>
      <c r="V462" t="n">
        <v>0.2673814141223717</v>
      </c>
      <c r="W462">
        <f>Q462-V462</f>
        <v/>
      </c>
    </row>
    <row r="463">
      <c r="A463" t="inlineStr">
        <is>
          <t>2024-02-13</t>
        </is>
      </c>
      <c r="B463" t="inlineStr">
        <is>
          <t>CW</t>
        </is>
      </c>
      <c r="C463" t="n">
        <v>6.630825539500273</v>
      </c>
      <c r="D463">
        <f>SUMPRODUCT(Risk_Inputs!B463:AJ463,Risk_Coefs!$B$2:$AJ$2)</f>
        <v/>
      </c>
      <c r="E463">
        <f>1/(1+EXP(-MAX(-25,MIN(25,D463))))</f>
        <v/>
      </c>
      <c r="F463">
        <f>SUMPRODUCT(Risk_Inputs!B463:AJ463,Risk_Coefs!$B$3:$AJ$3)</f>
        <v/>
      </c>
      <c r="G463">
        <f>MAX(0,F463)</f>
        <v/>
      </c>
      <c r="H463">
        <f>(SUMPRODUCT(--ISNUMBER($E$2:$E$800),--($E$2:$E$800&lt;E463))+(SUMPRODUCT(--ISNUMBER($E$2:$E$800),--($E$2:$E$800=E463))+1)/2)/COUNT($E$2:$E$800)</f>
        <v/>
      </c>
      <c r="I463">
        <f>(SUMPRODUCT(--ISNUMBER($G$2:$G$800),--($G$2:$G$800&lt;G463))+(SUMPRODUCT(--ISNUMBER($G$2:$G$800),--($G$2:$G$800=G463))+1)/2)/COUNT($G$2:$G$800)</f>
        <v/>
      </c>
      <c r="J463" t="n">
        <v>7.158625913302112</v>
      </c>
      <c r="K463" t="n">
        <v>2.009216589861768</v>
      </c>
      <c r="L463" t="n">
        <v>0.165898617511527</v>
      </c>
      <c r="M463">
        <f>IF(OR(B463="NW",COUNT(Risk_Rank_Keys!B463)=0),0.5,(SUMPRODUCT(--ISNUMBER(Risk_Rank_Keys!$B$2:$B$800),--(Risk_Rank_Keys!$B$2:$B$800&lt;Risk_Rank_Keys!B463))+(SUMPRODUCT(--ISNUMBER(Risk_Rank_Keys!$B$2:$B$800),--(Risk_Rank_Keys!$B$2:$B$800=Risk_Rank_Keys!B463))+1)/2)/COUNT(Risk_Rank_Keys!$B$2:$B$800))</f>
        <v/>
      </c>
      <c r="N463">
        <f>IF(OR(B463="NW",COUNT(Risk_Rank_Keys!C463)=0),0.5,(SUMPRODUCT(--ISNUMBER(Risk_Rank_Keys!$C$2:$C$800),--(Risk_Rank_Keys!$C$2:$C$800&lt;Risk_Rank_Keys!C463))+(SUMPRODUCT(--ISNUMBER(Risk_Rank_Keys!$C$2:$C$800),--(Risk_Rank_Keys!$C$2:$C$800=Risk_Rank_Keys!C463))+1)/2)/COUNT(Risk_Rank_Keys!$C$2:$C$800))</f>
        <v/>
      </c>
      <c r="O463">
        <f>IF(OR(B463="NW",COUNT(Risk_Rank_Keys!D463)=0),0.5,(SUMPRODUCT(--ISNUMBER(Risk_Rank_Keys!$D$2:$D$800),--(Risk_Rank_Keys!$D$2:$D$800&lt;Risk_Rank_Keys!D463))+(SUMPRODUCT(--ISNUMBER(Risk_Rank_Keys!$D$2:$D$800),--(Risk_Rank_Keys!$D$2:$D$800=Risk_Rank_Keys!D463))+1)/2)/COUNT(Risk_Rank_Keys!$D$2:$D$800))</f>
        <v/>
      </c>
      <c r="P463">
        <f>AVERAGE(M463:O463)</f>
        <v/>
      </c>
      <c r="Q463">
        <f>0.4*H463+0.4*I463+0.2*P463</f>
        <v/>
      </c>
      <c r="R463">
        <f>PERCENTILE($Q$2:$Q$800,0.75)</f>
        <v/>
      </c>
      <c r="S463">
        <f>OR(Q463&gt;=R463,AND(B463="CW",COUNT(J463:L463)&lt;3))</f>
        <v/>
      </c>
      <c r="T463" t="n">
        <v>0.3125750505455721</v>
      </c>
      <c r="U463" t="n">
        <v>6.328734378755163</v>
      </c>
      <c r="V463" t="n">
        <v>0.4279599848485642</v>
      </c>
      <c r="W463">
        <f>Q463-V463</f>
        <v/>
      </c>
    </row>
    <row r="464">
      <c r="A464" t="inlineStr">
        <is>
          <t>2024-02-15</t>
        </is>
      </c>
      <c r="B464" t="inlineStr">
        <is>
          <t>CW</t>
        </is>
      </c>
      <c r="C464" t="n">
        <v>15.02774331886175</v>
      </c>
      <c r="D464">
        <f>SUMPRODUCT(Risk_Inputs!B464:AJ464,Risk_Coefs!$B$2:$AJ$2)</f>
        <v/>
      </c>
      <c r="E464">
        <f>1/(1+EXP(-MAX(-25,MIN(25,D464))))</f>
        <v/>
      </c>
      <c r="F464">
        <f>SUMPRODUCT(Risk_Inputs!B464:AJ464,Risk_Coefs!$B$3:$AJ$3)</f>
        <v/>
      </c>
      <c r="G464">
        <f>MAX(0,F464)</f>
        <v/>
      </c>
      <c r="H464">
        <f>(SUMPRODUCT(--ISNUMBER($E$2:$E$800),--($E$2:$E$800&lt;E464))+(SUMPRODUCT(--ISNUMBER($E$2:$E$800),--($E$2:$E$800=E464))+1)/2)/COUNT($E$2:$E$800)</f>
        <v/>
      </c>
      <c r="I464">
        <f>(SUMPRODUCT(--ISNUMBER($G$2:$G$800),--($G$2:$G$800&lt;G464))+(SUMPRODUCT(--ISNUMBER($G$2:$G$800),--($G$2:$G$800=G464))+1)/2)/COUNT($G$2:$G$800)</f>
        <v/>
      </c>
      <c r="J464" t="n">
        <v>8.099512204025572</v>
      </c>
      <c r="K464" t="n">
        <v>7.460840890354503</v>
      </c>
      <c r="L464" t="n">
        <v>0.2061005770816099</v>
      </c>
      <c r="M464">
        <f>IF(OR(B464="NW",COUNT(Risk_Rank_Keys!B464)=0),0.5,(SUMPRODUCT(--ISNUMBER(Risk_Rank_Keys!$B$2:$B$800),--(Risk_Rank_Keys!$B$2:$B$800&lt;Risk_Rank_Keys!B464))+(SUMPRODUCT(--ISNUMBER(Risk_Rank_Keys!$B$2:$B$800),--(Risk_Rank_Keys!$B$2:$B$800=Risk_Rank_Keys!B464))+1)/2)/COUNT(Risk_Rank_Keys!$B$2:$B$800))</f>
        <v/>
      </c>
      <c r="N464">
        <f>IF(OR(B464="NW",COUNT(Risk_Rank_Keys!C464)=0),0.5,(SUMPRODUCT(--ISNUMBER(Risk_Rank_Keys!$C$2:$C$800),--(Risk_Rank_Keys!$C$2:$C$800&lt;Risk_Rank_Keys!C464))+(SUMPRODUCT(--ISNUMBER(Risk_Rank_Keys!$C$2:$C$800),--(Risk_Rank_Keys!$C$2:$C$800=Risk_Rank_Keys!C464))+1)/2)/COUNT(Risk_Rank_Keys!$C$2:$C$800))</f>
        <v/>
      </c>
      <c r="O464">
        <f>IF(OR(B464="NW",COUNT(Risk_Rank_Keys!D464)=0),0.5,(SUMPRODUCT(--ISNUMBER(Risk_Rank_Keys!$D$2:$D$800),--(Risk_Rank_Keys!$D$2:$D$800&lt;Risk_Rank_Keys!D464))+(SUMPRODUCT(--ISNUMBER(Risk_Rank_Keys!$D$2:$D$800),--(Risk_Rank_Keys!$D$2:$D$800=Risk_Rank_Keys!D464))+1)/2)/COUNT(Risk_Rank_Keys!$D$2:$D$800))</f>
        <v/>
      </c>
      <c r="P464">
        <f>AVERAGE(M464:O464)</f>
        <v/>
      </c>
      <c r="Q464">
        <f>0.4*H464+0.4*I464+0.2*P464</f>
        <v/>
      </c>
      <c r="R464">
        <f>PERCENTILE($Q$2:$Q$800,0.75)</f>
        <v/>
      </c>
      <c r="S464">
        <f>OR(Q464&gt;=R464,AND(B464="CW",COUNT(J464:L464)&lt;3))</f>
        <v/>
      </c>
      <c r="T464" t="n">
        <v>0.276548495920778</v>
      </c>
      <c r="U464" t="n">
        <v>7.650524387896541</v>
      </c>
      <c r="V464" t="n">
        <v>0.4808083558655665</v>
      </c>
      <c r="W464">
        <f>Q464-V464</f>
        <v/>
      </c>
    </row>
    <row r="465">
      <c r="A465" t="inlineStr">
        <is>
          <t>2024-02-16</t>
        </is>
      </c>
      <c r="B465" t="inlineStr">
        <is>
          <t>CW</t>
        </is>
      </c>
      <c r="C465" t="n">
        <v>8.774880295539957</v>
      </c>
      <c r="D465">
        <f>SUMPRODUCT(Risk_Inputs!B465:AJ465,Risk_Coefs!$B$2:$AJ$2)</f>
        <v/>
      </c>
      <c r="E465">
        <f>1/(1+EXP(-MAX(-25,MIN(25,D465))))</f>
        <v/>
      </c>
      <c r="F465">
        <f>SUMPRODUCT(Risk_Inputs!B465:AJ465,Risk_Coefs!$B$3:$AJ$3)</f>
        <v/>
      </c>
      <c r="G465">
        <f>MAX(0,F465)</f>
        <v/>
      </c>
      <c r="H465">
        <f>(SUMPRODUCT(--ISNUMBER($E$2:$E$800),--($E$2:$E$800&lt;E465))+(SUMPRODUCT(--ISNUMBER($E$2:$E$800),--($E$2:$E$800=E465))+1)/2)/COUNT($E$2:$E$800)</f>
        <v/>
      </c>
      <c r="I465">
        <f>(SUMPRODUCT(--ISNUMBER($G$2:$G$800),--($G$2:$G$800&lt;G465))+(SUMPRODUCT(--ISNUMBER($G$2:$G$800),--($G$2:$G$800=G465))+1)/2)/COUNT($G$2:$G$800)</f>
        <v/>
      </c>
      <c r="J465" t="n">
        <v>11.28066149617368</v>
      </c>
      <c r="K465" t="n">
        <v>4.462442432904579</v>
      </c>
      <c r="L465" t="n">
        <v>0.2223280927425722</v>
      </c>
      <c r="M465">
        <f>IF(OR(B465="NW",COUNT(Risk_Rank_Keys!B465)=0),0.5,(SUMPRODUCT(--ISNUMBER(Risk_Rank_Keys!$B$2:$B$800),--(Risk_Rank_Keys!$B$2:$B$800&lt;Risk_Rank_Keys!B465))+(SUMPRODUCT(--ISNUMBER(Risk_Rank_Keys!$B$2:$B$800),--(Risk_Rank_Keys!$B$2:$B$800=Risk_Rank_Keys!B465))+1)/2)/COUNT(Risk_Rank_Keys!$B$2:$B$800))</f>
        <v/>
      </c>
      <c r="N465">
        <f>IF(OR(B465="NW",COUNT(Risk_Rank_Keys!C465)=0),0.5,(SUMPRODUCT(--ISNUMBER(Risk_Rank_Keys!$C$2:$C$800),--(Risk_Rank_Keys!$C$2:$C$800&lt;Risk_Rank_Keys!C465))+(SUMPRODUCT(--ISNUMBER(Risk_Rank_Keys!$C$2:$C$800),--(Risk_Rank_Keys!$C$2:$C$800=Risk_Rank_Keys!C465))+1)/2)/COUNT(Risk_Rank_Keys!$C$2:$C$800))</f>
        <v/>
      </c>
      <c r="O465">
        <f>IF(OR(B465="NW",COUNT(Risk_Rank_Keys!D465)=0),0.5,(SUMPRODUCT(--ISNUMBER(Risk_Rank_Keys!$D$2:$D$800),--(Risk_Rank_Keys!$D$2:$D$800&lt;Risk_Rank_Keys!D465))+(SUMPRODUCT(--ISNUMBER(Risk_Rank_Keys!$D$2:$D$800),--(Risk_Rank_Keys!$D$2:$D$800=Risk_Rank_Keys!D465))+1)/2)/COUNT(Risk_Rank_Keys!$D$2:$D$800))</f>
        <v/>
      </c>
      <c r="P465">
        <f>AVERAGE(M465:O465)</f>
        <v/>
      </c>
      <c r="Q465">
        <f>0.4*H465+0.4*I465+0.2*P465</f>
        <v/>
      </c>
      <c r="R465">
        <f>PERCENTILE($Q$2:$Q$800,0.75)</f>
        <v/>
      </c>
      <c r="S465">
        <f>OR(Q465&gt;=R465,AND(B465="CW",COUNT(J465:L465)&lt;3))</f>
        <v/>
      </c>
      <c r="T465" t="n">
        <v>0.2176217961105804</v>
      </c>
      <c r="U465" t="n">
        <v>6.17320520658547</v>
      </c>
      <c r="V465" t="n">
        <v>0.2811736427856997</v>
      </c>
      <c r="W465">
        <f>Q465-V465</f>
        <v/>
      </c>
    </row>
    <row r="466">
      <c r="A466" t="inlineStr">
        <is>
          <t>2024-02-19</t>
        </is>
      </c>
      <c r="B466" t="inlineStr">
        <is>
          <t>CW</t>
        </is>
      </c>
      <c r="C466" t="n">
        <v>-4.879998068553991</v>
      </c>
      <c r="D466">
        <f>SUMPRODUCT(Risk_Inputs!B466:AJ466,Risk_Coefs!$B$2:$AJ$2)</f>
        <v/>
      </c>
      <c r="E466">
        <f>1/(1+EXP(-MAX(-25,MIN(25,D466))))</f>
        <v/>
      </c>
      <c r="F466">
        <f>SUMPRODUCT(Risk_Inputs!B466:AJ466,Risk_Coefs!$B$3:$AJ$3)</f>
        <v/>
      </c>
      <c r="G466">
        <f>MAX(0,F466)</f>
        <v/>
      </c>
      <c r="H466">
        <f>(SUMPRODUCT(--ISNUMBER($E$2:$E$800),--($E$2:$E$800&lt;E466))+(SUMPRODUCT(--ISNUMBER($E$2:$E$800),--($E$2:$E$800=E466))+1)/2)/COUNT($E$2:$E$800)</f>
        <v/>
      </c>
      <c r="I466">
        <f>(SUMPRODUCT(--ISNUMBER($G$2:$G$800),--($G$2:$G$800&lt;G466))+(SUMPRODUCT(--ISNUMBER($G$2:$G$800),--($G$2:$G$800=G466))+1)/2)/COUNT($G$2:$G$800)</f>
        <v/>
      </c>
      <c r="J466" t="n">
        <v>5.659988634741175</v>
      </c>
      <c r="K466" t="n">
        <v>1.712506486766992</v>
      </c>
      <c r="L466" t="n">
        <v>0.2075765438505429</v>
      </c>
      <c r="M466">
        <f>IF(OR(B466="NW",COUNT(Risk_Rank_Keys!B466)=0),0.5,(SUMPRODUCT(--ISNUMBER(Risk_Rank_Keys!$B$2:$B$800),--(Risk_Rank_Keys!$B$2:$B$800&lt;Risk_Rank_Keys!B466))+(SUMPRODUCT(--ISNUMBER(Risk_Rank_Keys!$B$2:$B$800),--(Risk_Rank_Keys!$B$2:$B$800=Risk_Rank_Keys!B466))+1)/2)/COUNT(Risk_Rank_Keys!$B$2:$B$800))</f>
        <v/>
      </c>
      <c r="N466">
        <f>IF(OR(B466="NW",COUNT(Risk_Rank_Keys!C466)=0),0.5,(SUMPRODUCT(--ISNUMBER(Risk_Rank_Keys!$C$2:$C$800),--(Risk_Rank_Keys!$C$2:$C$800&lt;Risk_Rank_Keys!C466))+(SUMPRODUCT(--ISNUMBER(Risk_Rank_Keys!$C$2:$C$800),--(Risk_Rank_Keys!$C$2:$C$800=Risk_Rank_Keys!C466))+1)/2)/COUNT(Risk_Rank_Keys!$C$2:$C$800))</f>
        <v/>
      </c>
      <c r="O466">
        <f>IF(OR(B466="NW",COUNT(Risk_Rank_Keys!D466)=0),0.5,(SUMPRODUCT(--ISNUMBER(Risk_Rank_Keys!$D$2:$D$800),--(Risk_Rank_Keys!$D$2:$D$800&lt;Risk_Rank_Keys!D466))+(SUMPRODUCT(--ISNUMBER(Risk_Rank_Keys!$D$2:$D$800),--(Risk_Rank_Keys!$D$2:$D$800=Risk_Rank_Keys!D466))+1)/2)/COUNT(Risk_Rank_Keys!$D$2:$D$800))</f>
        <v/>
      </c>
      <c r="P466">
        <f>AVERAGE(M466:O466)</f>
        <v/>
      </c>
      <c r="Q466">
        <f>0.4*H466+0.4*I466+0.2*P466</f>
        <v/>
      </c>
      <c r="R466">
        <f>PERCENTILE($Q$2:$Q$800,0.75)</f>
        <v/>
      </c>
      <c r="S466">
        <f>OR(Q466&gt;=R466,AND(B466="CW",COUNT(J466:L466)&lt;3))</f>
        <v/>
      </c>
      <c r="T466" t="n">
        <v>0.3404822393728406</v>
      </c>
      <c r="U466" t="n">
        <v>9.254248170124693</v>
      </c>
      <c r="V466" t="n">
        <v>0.6476201946994413</v>
      </c>
      <c r="W466">
        <f>Q466-V466</f>
        <v/>
      </c>
    </row>
    <row r="467">
      <c r="A467" t="inlineStr">
        <is>
          <t>2024-02-20</t>
        </is>
      </c>
      <c r="B467" t="inlineStr">
        <is>
          <t>CW</t>
        </is>
      </c>
      <c r="C467" t="n">
        <v>3.885078926818324</v>
      </c>
      <c r="D467">
        <f>SUMPRODUCT(Risk_Inputs!B467:AJ467,Risk_Coefs!$B$2:$AJ$2)</f>
        <v/>
      </c>
      <c r="E467">
        <f>1/(1+EXP(-MAX(-25,MIN(25,D467))))</f>
        <v/>
      </c>
      <c r="F467">
        <f>SUMPRODUCT(Risk_Inputs!B467:AJ467,Risk_Coefs!$B$3:$AJ$3)</f>
        <v/>
      </c>
      <c r="G467">
        <f>MAX(0,F467)</f>
        <v/>
      </c>
      <c r="H467">
        <f>(SUMPRODUCT(--ISNUMBER($E$2:$E$800),--($E$2:$E$800&lt;E467))+(SUMPRODUCT(--ISNUMBER($E$2:$E$800),--($E$2:$E$800=E467))+1)/2)/COUNT($E$2:$E$800)</f>
        <v/>
      </c>
      <c r="I467">
        <f>(SUMPRODUCT(--ISNUMBER($G$2:$G$800),--($G$2:$G$800&lt;G467))+(SUMPRODUCT(--ISNUMBER($G$2:$G$800),--($G$2:$G$800=G467))+1)/2)/COUNT($G$2:$G$800)</f>
        <v/>
      </c>
      <c r="J467" t="n">
        <v>15.49829042980599</v>
      </c>
      <c r="K467" t="n">
        <v>5.507745266781403</v>
      </c>
      <c r="L467" t="n">
        <v>0.2677376171352031</v>
      </c>
      <c r="M467">
        <f>IF(OR(B467="NW",COUNT(Risk_Rank_Keys!B467)=0),0.5,(SUMPRODUCT(--ISNUMBER(Risk_Rank_Keys!$B$2:$B$800),--(Risk_Rank_Keys!$B$2:$B$800&lt;Risk_Rank_Keys!B467))+(SUMPRODUCT(--ISNUMBER(Risk_Rank_Keys!$B$2:$B$800),--(Risk_Rank_Keys!$B$2:$B$800=Risk_Rank_Keys!B467))+1)/2)/COUNT(Risk_Rank_Keys!$B$2:$B$800))</f>
        <v/>
      </c>
      <c r="N467">
        <f>IF(OR(B467="NW",COUNT(Risk_Rank_Keys!C467)=0),0.5,(SUMPRODUCT(--ISNUMBER(Risk_Rank_Keys!$C$2:$C$800),--(Risk_Rank_Keys!$C$2:$C$800&lt;Risk_Rank_Keys!C467))+(SUMPRODUCT(--ISNUMBER(Risk_Rank_Keys!$C$2:$C$800),--(Risk_Rank_Keys!$C$2:$C$800=Risk_Rank_Keys!C467))+1)/2)/COUNT(Risk_Rank_Keys!$C$2:$C$800))</f>
        <v/>
      </c>
      <c r="O467">
        <f>IF(OR(B467="NW",COUNT(Risk_Rank_Keys!D467)=0),0.5,(SUMPRODUCT(--ISNUMBER(Risk_Rank_Keys!$D$2:$D$800),--(Risk_Rank_Keys!$D$2:$D$800&lt;Risk_Rank_Keys!D467))+(SUMPRODUCT(--ISNUMBER(Risk_Rank_Keys!$D$2:$D$800),--(Risk_Rank_Keys!$D$2:$D$800=Risk_Rank_Keys!D467))+1)/2)/COUNT(Risk_Rank_Keys!$D$2:$D$800))</f>
        <v/>
      </c>
      <c r="P467">
        <f>AVERAGE(M467:O467)</f>
        <v/>
      </c>
      <c r="Q467">
        <f>0.4*H467+0.4*I467+0.2*P467</f>
        <v/>
      </c>
      <c r="R467">
        <f>PERCENTILE($Q$2:$Q$800,0.75)</f>
        <v/>
      </c>
      <c r="S467">
        <f>OR(Q467&gt;=R467,AND(B467="CW",COUNT(J467:L467)&lt;3))</f>
        <v/>
      </c>
      <c r="T467" t="n">
        <v>0.2568983794732764</v>
      </c>
      <c r="U467" t="n">
        <v>5.913543643635983</v>
      </c>
      <c r="V467" t="n">
        <v>0.3654382017503284</v>
      </c>
      <c r="W467">
        <f>Q467-V467</f>
        <v/>
      </c>
    </row>
    <row r="468">
      <c r="A468" t="inlineStr">
        <is>
          <t>2024-02-21</t>
        </is>
      </c>
      <c r="B468" t="inlineStr">
        <is>
          <t>CW</t>
        </is>
      </c>
      <c r="C468" t="n">
        <v>52.30220791712557</v>
      </c>
      <c r="D468">
        <f>SUMPRODUCT(Risk_Inputs!B468:AJ468,Risk_Coefs!$B$2:$AJ$2)</f>
        <v/>
      </c>
      <c r="E468">
        <f>1/(1+EXP(-MAX(-25,MIN(25,D468))))</f>
        <v/>
      </c>
      <c r="F468">
        <f>SUMPRODUCT(Risk_Inputs!B468:AJ468,Risk_Coefs!$B$3:$AJ$3)</f>
        <v/>
      </c>
      <c r="G468">
        <f>MAX(0,F468)</f>
        <v/>
      </c>
      <c r="H468">
        <f>(SUMPRODUCT(--ISNUMBER($E$2:$E$800),--($E$2:$E$800&lt;E468))+(SUMPRODUCT(--ISNUMBER($E$2:$E$800),--($E$2:$E$800=E468))+1)/2)/COUNT($E$2:$E$800)</f>
        <v/>
      </c>
      <c r="I468">
        <f>(SUMPRODUCT(--ISNUMBER($G$2:$G$800),--($G$2:$G$800&lt;G468))+(SUMPRODUCT(--ISNUMBER($G$2:$G$800),--($G$2:$G$800=G468))+1)/2)/COUNT($G$2:$G$800)</f>
        <v/>
      </c>
      <c r="J468" t="n">
        <v>15.202257591557</v>
      </c>
      <c r="K468" t="n">
        <v>7.331447430457337</v>
      </c>
      <c r="L468" t="n">
        <v>0.3536067892503536</v>
      </c>
      <c r="M468">
        <f>IF(OR(B468="NW",COUNT(Risk_Rank_Keys!B468)=0),0.5,(SUMPRODUCT(--ISNUMBER(Risk_Rank_Keys!$B$2:$B$800),--(Risk_Rank_Keys!$B$2:$B$800&lt;Risk_Rank_Keys!B468))+(SUMPRODUCT(--ISNUMBER(Risk_Rank_Keys!$B$2:$B$800),--(Risk_Rank_Keys!$B$2:$B$800=Risk_Rank_Keys!B468))+1)/2)/COUNT(Risk_Rank_Keys!$B$2:$B$800))</f>
        <v/>
      </c>
      <c r="N468">
        <f>IF(OR(B468="NW",COUNT(Risk_Rank_Keys!C468)=0),0.5,(SUMPRODUCT(--ISNUMBER(Risk_Rank_Keys!$C$2:$C$800),--(Risk_Rank_Keys!$C$2:$C$800&lt;Risk_Rank_Keys!C468))+(SUMPRODUCT(--ISNUMBER(Risk_Rank_Keys!$C$2:$C$800),--(Risk_Rank_Keys!$C$2:$C$800=Risk_Rank_Keys!C468))+1)/2)/COUNT(Risk_Rank_Keys!$C$2:$C$800))</f>
        <v/>
      </c>
      <c r="O468">
        <f>IF(OR(B468="NW",COUNT(Risk_Rank_Keys!D468)=0),0.5,(SUMPRODUCT(--ISNUMBER(Risk_Rank_Keys!$D$2:$D$800),--(Risk_Rank_Keys!$D$2:$D$800&lt;Risk_Rank_Keys!D468))+(SUMPRODUCT(--ISNUMBER(Risk_Rank_Keys!$D$2:$D$800),--(Risk_Rank_Keys!$D$2:$D$800=Risk_Rank_Keys!D468))+1)/2)/COUNT(Risk_Rank_Keys!$D$2:$D$800))</f>
        <v/>
      </c>
      <c r="P468">
        <f>AVERAGE(M468:O468)</f>
        <v/>
      </c>
      <c r="Q468">
        <f>0.4*H468+0.4*I468+0.2*P468</f>
        <v/>
      </c>
      <c r="R468">
        <f>PERCENTILE($Q$2:$Q$800,0.75)</f>
        <v/>
      </c>
      <c r="S468">
        <f>OR(Q468&gt;=R468,AND(B468="CW",COUNT(J468:L468)&lt;3))</f>
        <v/>
      </c>
      <c r="T468" t="n">
        <v>0.264961072451895</v>
      </c>
      <c r="U468" t="n">
        <v>7.857969033305928</v>
      </c>
      <c r="V468" t="n">
        <v>0.5129309125947183</v>
      </c>
      <c r="W468">
        <f>Q468-V468</f>
        <v/>
      </c>
    </row>
    <row r="469">
      <c r="A469" t="inlineStr">
        <is>
          <t>2024-02-22</t>
        </is>
      </c>
      <c r="B469" t="inlineStr">
        <is>
          <t>CW</t>
        </is>
      </c>
      <c r="C469" t="n">
        <v>-46.26459097792011</v>
      </c>
      <c r="D469">
        <f>SUMPRODUCT(Risk_Inputs!B469:AJ469,Risk_Coefs!$B$2:$AJ$2)</f>
        <v/>
      </c>
      <c r="E469">
        <f>1/(1+EXP(-MAX(-25,MIN(25,D469))))</f>
        <v/>
      </c>
      <c r="F469">
        <f>SUMPRODUCT(Risk_Inputs!B469:AJ469,Risk_Coefs!$B$3:$AJ$3)</f>
        <v/>
      </c>
      <c r="G469">
        <f>MAX(0,F469)</f>
        <v/>
      </c>
      <c r="H469">
        <f>(SUMPRODUCT(--ISNUMBER($E$2:$E$800),--($E$2:$E$800&lt;E469))+(SUMPRODUCT(--ISNUMBER($E$2:$E$800),--($E$2:$E$800=E469))+1)/2)/COUNT($E$2:$E$800)</f>
        <v/>
      </c>
      <c r="I469">
        <f>(SUMPRODUCT(--ISNUMBER($G$2:$G$800),--($G$2:$G$800&lt;G469))+(SUMPRODUCT(--ISNUMBER($G$2:$G$800),--($G$2:$G$800=G469))+1)/2)/COUNT($G$2:$G$800)</f>
        <v/>
      </c>
      <c r="J469" t="n">
        <v>8.230919232686871</v>
      </c>
      <c r="K469" t="n">
        <v>5.118755118755119</v>
      </c>
      <c r="L469" t="n">
        <v>0.2047502047501989</v>
      </c>
      <c r="M469">
        <f>IF(OR(B469="NW",COUNT(Risk_Rank_Keys!B469)=0),0.5,(SUMPRODUCT(--ISNUMBER(Risk_Rank_Keys!$B$2:$B$800),--(Risk_Rank_Keys!$B$2:$B$800&lt;Risk_Rank_Keys!B469))+(SUMPRODUCT(--ISNUMBER(Risk_Rank_Keys!$B$2:$B$800),--(Risk_Rank_Keys!$B$2:$B$800=Risk_Rank_Keys!B469))+1)/2)/COUNT(Risk_Rank_Keys!$B$2:$B$800))</f>
        <v/>
      </c>
      <c r="N469">
        <f>IF(OR(B469="NW",COUNT(Risk_Rank_Keys!C469)=0),0.5,(SUMPRODUCT(--ISNUMBER(Risk_Rank_Keys!$C$2:$C$800),--(Risk_Rank_Keys!$C$2:$C$800&lt;Risk_Rank_Keys!C469))+(SUMPRODUCT(--ISNUMBER(Risk_Rank_Keys!$C$2:$C$800),--(Risk_Rank_Keys!$C$2:$C$800=Risk_Rank_Keys!C469))+1)/2)/COUNT(Risk_Rank_Keys!$C$2:$C$800))</f>
        <v/>
      </c>
      <c r="O469">
        <f>IF(OR(B469="NW",COUNT(Risk_Rank_Keys!D469)=0),0.5,(SUMPRODUCT(--ISNUMBER(Risk_Rank_Keys!$D$2:$D$800),--(Risk_Rank_Keys!$D$2:$D$800&lt;Risk_Rank_Keys!D469))+(SUMPRODUCT(--ISNUMBER(Risk_Rank_Keys!$D$2:$D$800),--(Risk_Rank_Keys!$D$2:$D$800=Risk_Rank_Keys!D469))+1)/2)/COUNT(Risk_Rank_Keys!$D$2:$D$800))</f>
        <v/>
      </c>
      <c r="P469">
        <f>AVERAGE(M469:O469)</f>
        <v/>
      </c>
      <c r="Q469">
        <f>0.4*H469+0.4*I469+0.2*P469</f>
        <v/>
      </c>
      <c r="R469">
        <f>PERCENTILE($Q$2:$Q$800,0.75)</f>
        <v/>
      </c>
      <c r="S469">
        <f>OR(Q469&gt;=R469,AND(B469="CW",COUNT(J469:L469)&lt;3))</f>
        <v/>
      </c>
      <c r="T469" t="n">
        <v>0.3078899162886971</v>
      </c>
      <c r="U469" t="n">
        <v>9.87044341145503</v>
      </c>
      <c r="V469" t="n">
        <v>0.6505914820303622</v>
      </c>
      <c r="W469">
        <f>Q469-V469</f>
        <v/>
      </c>
    </row>
    <row r="470">
      <c r="A470" t="inlineStr">
        <is>
          <t>2024-02-26</t>
        </is>
      </c>
      <c r="B470" t="inlineStr">
        <is>
          <t>CW</t>
        </is>
      </c>
      <c r="C470" t="n">
        <v>21.02617018074104</v>
      </c>
      <c r="D470">
        <f>SUMPRODUCT(Risk_Inputs!B470:AJ470,Risk_Coefs!$B$2:$AJ$2)</f>
        <v/>
      </c>
      <c r="E470">
        <f>1/(1+EXP(-MAX(-25,MIN(25,D470))))</f>
        <v/>
      </c>
      <c r="F470">
        <f>SUMPRODUCT(Risk_Inputs!B470:AJ470,Risk_Coefs!$B$3:$AJ$3)</f>
        <v/>
      </c>
      <c r="G470">
        <f>MAX(0,F470)</f>
        <v/>
      </c>
      <c r="H470">
        <f>(SUMPRODUCT(--ISNUMBER($E$2:$E$800),--($E$2:$E$800&lt;E470))+(SUMPRODUCT(--ISNUMBER($E$2:$E$800),--($E$2:$E$800=E470))+1)/2)/COUNT($E$2:$E$800)</f>
        <v/>
      </c>
      <c r="I470">
        <f>(SUMPRODUCT(--ISNUMBER($G$2:$G$800),--($G$2:$G$800&lt;G470))+(SUMPRODUCT(--ISNUMBER($G$2:$G$800),--($G$2:$G$800=G470))+1)/2)/COUNT($G$2:$G$800)</f>
        <v/>
      </c>
      <c r="J470" t="n">
        <v>9.799416089965398</v>
      </c>
      <c r="K470" t="n">
        <v>1.937510909408258</v>
      </c>
      <c r="L470" t="n">
        <v>0.1745505323791138</v>
      </c>
      <c r="M470">
        <f>IF(OR(B470="NW",COUNT(Risk_Rank_Keys!B470)=0),0.5,(SUMPRODUCT(--ISNUMBER(Risk_Rank_Keys!$B$2:$B$800),--(Risk_Rank_Keys!$B$2:$B$800&lt;Risk_Rank_Keys!B470))+(SUMPRODUCT(--ISNUMBER(Risk_Rank_Keys!$B$2:$B$800),--(Risk_Rank_Keys!$B$2:$B$800=Risk_Rank_Keys!B470))+1)/2)/COUNT(Risk_Rank_Keys!$B$2:$B$800))</f>
        <v/>
      </c>
      <c r="N470">
        <f>IF(OR(B470="NW",COUNT(Risk_Rank_Keys!C470)=0),0.5,(SUMPRODUCT(--ISNUMBER(Risk_Rank_Keys!$C$2:$C$800),--(Risk_Rank_Keys!$C$2:$C$800&lt;Risk_Rank_Keys!C470))+(SUMPRODUCT(--ISNUMBER(Risk_Rank_Keys!$C$2:$C$800),--(Risk_Rank_Keys!$C$2:$C$800=Risk_Rank_Keys!C470))+1)/2)/COUNT(Risk_Rank_Keys!$C$2:$C$800))</f>
        <v/>
      </c>
      <c r="O470">
        <f>IF(OR(B470="NW",COUNT(Risk_Rank_Keys!D470)=0),0.5,(SUMPRODUCT(--ISNUMBER(Risk_Rank_Keys!$D$2:$D$800),--(Risk_Rank_Keys!$D$2:$D$800&lt;Risk_Rank_Keys!D470))+(SUMPRODUCT(--ISNUMBER(Risk_Rank_Keys!$D$2:$D$800),--(Risk_Rank_Keys!$D$2:$D$800=Risk_Rank_Keys!D470))+1)/2)/COUNT(Risk_Rank_Keys!$D$2:$D$800))</f>
        <v/>
      </c>
      <c r="P470">
        <f>AVERAGE(M470:O470)</f>
        <v/>
      </c>
      <c r="Q470">
        <f>0.4*H470+0.4*I470+0.2*P470</f>
        <v/>
      </c>
      <c r="R470">
        <f>PERCENTILE($Q$2:$Q$800,0.75)</f>
        <v/>
      </c>
      <c r="S470">
        <f>OR(Q470&gt;=R470,AND(B470="CW",COUNT(J470:L470)&lt;3))</f>
        <v/>
      </c>
      <c r="T470" t="n">
        <v>0.3208288912679011</v>
      </c>
      <c r="U470" t="n">
        <v>8.005784133959468</v>
      </c>
      <c r="V470" t="n">
        <v>0.5508716439482407</v>
      </c>
      <c r="W470">
        <f>Q470-V470</f>
        <v/>
      </c>
    </row>
    <row r="471">
      <c r="A471" t="inlineStr">
        <is>
          <t>2024-02-27</t>
        </is>
      </c>
      <c r="B471" t="inlineStr">
        <is>
          <t>CW</t>
        </is>
      </c>
      <c r="C471" t="n">
        <v>38.11253940668846</v>
      </c>
      <c r="D471">
        <f>SUMPRODUCT(Risk_Inputs!B471:AJ471,Risk_Coefs!$B$2:$AJ$2)</f>
        <v/>
      </c>
      <c r="E471">
        <f>1/(1+EXP(-MAX(-25,MIN(25,D471))))</f>
        <v/>
      </c>
      <c r="F471">
        <f>SUMPRODUCT(Risk_Inputs!B471:AJ471,Risk_Coefs!$B$3:$AJ$3)</f>
        <v/>
      </c>
      <c r="G471">
        <f>MAX(0,F471)</f>
        <v/>
      </c>
      <c r="H471">
        <f>(SUMPRODUCT(--ISNUMBER($E$2:$E$800),--($E$2:$E$800&lt;E471))+(SUMPRODUCT(--ISNUMBER($E$2:$E$800),--($E$2:$E$800=E471))+1)/2)/COUNT($E$2:$E$800)</f>
        <v/>
      </c>
      <c r="I471">
        <f>(SUMPRODUCT(--ISNUMBER($G$2:$G$800),--($G$2:$G$800&lt;G471))+(SUMPRODUCT(--ISNUMBER($G$2:$G$800),--($G$2:$G$800=G471))+1)/2)/COUNT($G$2:$G$800)</f>
        <v/>
      </c>
      <c r="J471" t="n">
        <v>3.459049823881378</v>
      </c>
      <c r="K471" t="n">
        <v>1.704765594730715</v>
      </c>
      <c r="L471" t="n">
        <v>0.1549786904300625</v>
      </c>
      <c r="M471">
        <f>IF(OR(B471="NW",COUNT(Risk_Rank_Keys!B471)=0),0.5,(SUMPRODUCT(--ISNUMBER(Risk_Rank_Keys!$B$2:$B$800),--(Risk_Rank_Keys!$B$2:$B$800&lt;Risk_Rank_Keys!B471))+(SUMPRODUCT(--ISNUMBER(Risk_Rank_Keys!$B$2:$B$800),--(Risk_Rank_Keys!$B$2:$B$800=Risk_Rank_Keys!B471))+1)/2)/COUNT(Risk_Rank_Keys!$B$2:$B$800))</f>
        <v/>
      </c>
      <c r="N471">
        <f>IF(OR(B471="NW",COUNT(Risk_Rank_Keys!C471)=0),0.5,(SUMPRODUCT(--ISNUMBER(Risk_Rank_Keys!$C$2:$C$800),--(Risk_Rank_Keys!$C$2:$C$800&lt;Risk_Rank_Keys!C471))+(SUMPRODUCT(--ISNUMBER(Risk_Rank_Keys!$C$2:$C$800),--(Risk_Rank_Keys!$C$2:$C$800=Risk_Rank_Keys!C471))+1)/2)/COUNT(Risk_Rank_Keys!$C$2:$C$800))</f>
        <v/>
      </c>
      <c r="O471">
        <f>IF(OR(B471="NW",COUNT(Risk_Rank_Keys!D471)=0),0.5,(SUMPRODUCT(--ISNUMBER(Risk_Rank_Keys!$D$2:$D$800),--(Risk_Rank_Keys!$D$2:$D$800&lt;Risk_Rank_Keys!D471))+(SUMPRODUCT(--ISNUMBER(Risk_Rank_Keys!$D$2:$D$800),--(Risk_Rank_Keys!$D$2:$D$800=Risk_Rank_Keys!D471))+1)/2)/COUNT(Risk_Rank_Keys!$D$2:$D$800))</f>
        <v/>
      </c>
      <c r="P471">
        <f>AVERAGE(M471:O471)</f>
        <v/>
      </c>
      <c r="Q471">
        <f>0.4*H471+0.4*I471+0.2*P471</f>
        <v/>
      </c>
      <c r="R471">
        <f>PERCENTILE($Q$2:$Q$800,0.75)</f>
        <v/>
      </c>
      <c r="S471">
        <f>OR(Q471&gt;=R471,AND(B471="CW",COUNT(J471:L471)&lt;3))</f>
        <v/>
      </c>
      <c r="T471" t="n">
        <v>0.3303548267106545</v>
      </c>
      <c r="U471" t="n">
        <v>8.646104344425666</v>
      </c>
      <c r="V471" t="n">
        <v>0.5697066707629074</v>
      </c>
      <c r="W471">
        <f>Q471-V471</f>
        <v/>
      </c>
    </row>
    <row r="472">
      <c r="A472" t="inlineStr">
        <is>
          <t>2024-02-28</t>
        </is>
      </c>
      <c r="B472" t="inlineStr">
        <is>
          <t>CW</t>
        </is>
      </c>
      <c r="C472" t="n">
        <v>-46.2243102160917</v>
      </c>
      <c r="D472">
        <f>SUMPRODUCT(Risk_Inputs!B472:AJ472,Risk_Coefs!$B$2:$AJ$2)</f>
        <v/>
      </c>
      <c r="E472">
        <f>1/(1+EXP(-MAX(-25,MIN(25,D472))))</f>
        <v/>
      </c>
      <c r="F472">
        <f>SUMPRODUCT(Risk_Inputs!B472:AJ472,Risk_Coefs!$B$3:$AJ$3)</f>
        <v/>
      </c>
      <c r="G472">
        <f>MAX(0,F472)</f>
        <v/>
      </c>
      <c r="H472">
        <f>(SUMPRODUCT(--ISNUMBER($E$2:$E$800),--($E$2:$E$800&lt;E472))+(SUMPRODUCT(--ISNUMBER($E$2:$E$800),--($E$2:$E$800=E472))+1)/2)/COUNT($E$2:$E$800)</f>
        <v/>
      </c>
      <c r="I472">
        <f>(SUMPRODUCT(--ISNUMBER($G$2:$G$800),--($G$2:$G$800&lt;G472))+(SUMPRODUCT(--ISNUMBER($G$2:$G$800),--($G$2:$G$800=G472))+1)/2)/COUNT($G$2:$G$800)</f>
        <v/>
      </c>
      <c r="J472" t="n">
        <v>5.066494931251655</v>
      </c>
      <c r="K472" t="n">
        <v>1.468026872356316</v>
      </c>
      <c r="L472" t="n">
        <v>0.0746454341876117</v>
      </c>
      <c r="M472">
        <f>IF(OR(B472="NW",COUNT(Risk_Rank_Keys!B472)=0),0.5,(SUMPRODUCT(--ISNUMBER(Risk_Rank_Keys!$B$2:$B$800),--(Risk_Rank_Keys!$B$2:$B$800&lt;Risk_Rank_Keys!B472))+(SUMPRODUCT(--ISNUMBER(Risk_Rank_Keys!$B$2:$B$800),--(Risk_Rank_Keys!$B$2:$B$800=Risk_Rank_Keys!B472))+1)/2)/COUNT(Risk_Rank_Keys!$B$2:$B$800))</f>
        <v/>
      </c>
      <c r="N472">
        <f>IF(OR(B472="NW",COUNT(Risk_Rank_Keys!C472)=0),0.5,(SUMPRODUCT(--ISNUMBER(Risk_Rank_Keys!$C$2:$C$800),--(Risk_Rank_Keys!$C$2:$C$800&lt;Risk_Rank_Keys!C472))+(SUMPRODUCT(--ISNUMBER(Risk_Rank_Keys!$C$2:$C$800),--(Risk_Rank_Keys!$C$2:$C$800=Risk_Rank_Keys!C472))+1)/2)/COUNT(Risk_Rank_Keys!$C$2:$C$800))</f>
        <v/>
      </c>
      <c r="O472">
        <f>IF(OR(B472="NW",COUNT(Risk_Rank_Keys!D472)=0),0.5,(SUMPRODUCT(--ISNUMBER(Risk_Rank_Keys!$D$2:$D$800),--(Risk_Rank_Keys!$D$2:$D$800&lt;Risk_Rank_Keys!D472))+(SUMPRODUCT(--ISNUMBER(Risk_Rank_Keys!$D$2:$D$800),--(Risk_Rank_Keys!$D$2:$D$800=Risk_Rank_Keys!D472))+1)/2)/COUNT(Risk_Rank_Keys!$D$2:$D$800))</f>
        <v/>
      </c>
      <c r="P472">
        <f>AVERAGE(M472:O472)</f>
        <v/>
      </c>
      <c r="Q472">
        <f>0.4*H472+0.4*I472+0.2*P472</f>
        <v/>
      </c>
      <c r="R472">
        <f>PERCENTILE($Q$2:$Q$800,0.75)</f>
        <v/>
      </c>
      <c r="S472">
        <f>OR(Q472&gt;=R472,AND(B472="CW",COUNT(J472:L472)&lt;3))</f>
        <v/>
      </c>
      <c r="T472" t="n">
        <v>0.4052255146814123</v>
      </c>
      <c r="U472" t="n">
        <v>12.37993100403752</v>
      </c>
      <c r="V472" t="n">
        <v>0.7730175271390494</v>
      </c>
      <c r="W472">
        <f>Q472-V472</f>
        <v/>
      </c>
    </row>
    <row r="473">
      <c r="A473" t="inlineStr">
        <is>
          <t>2024-02-29</t>
        </is>
      </c>
      <c r="B473" t="inlineStr">
        <is>
          <t>CW</t>
        </is>
      </c>
      <c r="C473" t="n">
        <v>-61.27931499510323</v>
      </c>
      <c r="D473">
        <f>SUMPRODUCT(Risk_Inputs!B473:AJ473,Risk_Coefs!$B$2:$AJ$2)</f>
        <v/>
      </c>
      <c r="E473">
        <f>1/(1+EXP(-MAX(-25,MIN(25,D473))))</f>
        <v/>
      </c>
      <c r="F473">
        <f>SUMPRODUCT(Risk_Inputs!B473:AJ473,Risk_Coefs!$B$3:$AJ$3)</f>
        <v/>
      </c>
      <c r="G473">
        <f>MAX(0,F473)</f>
        <v/>
      </c>
      <c r="H473">
        <f>(SUMPRODUCT(--ISNUMBER($E$2:$E$800),--($E$2:$E$800&lt;E473))+(SUMPRODUCT(--ISNUMBER($E$2:$E$800),--($E$2:$E$800=E473))+1)/2)/COUNT($E$2:$E$800)</f>
        <v/>
      </c>
      <c r="I473">
        <f>(SUMPRODUCT(--ISNUMBER($G$2:$G$800),--($G$2:$G$800&lt;G473))+(SUMPRODUCT(--ISNUMBER($G$2:$G$800),--($G$2:$G$800=G473))+1)/2)/COUNT($G$2:$G$800)</f>
        <v/>
      </c>
      <c r="J473" t="n">
        <v>10.12314209562754</v>
      </c>
      <c r="K473" t="n">
        <v>3.708565802428621</v>
      </c>
      <c r="L473" t="n">
        <v>0.2953724975385643</v>
      </c>
      <c r="M473">
        <f>IF(OR(B473="NW",COUNT(Risk_Rank_Keys!B473)=0),0.5,(SUMPRODUCT(--ISNUMBER(Risk_Rank_Keys!$B$2:$B$800),--(Risk_Rank_Keys!$B$2:$B$800&lt;Risk_Rank_Keys!B473))+(SUMPRODUCT(--ISNUMBER(Risk_Rank_Keys!$B$2:$B$800),--(Risk_Rank_Keys!$B$2:$B$800=Risk_Rank_Keys!B473))+1)/2)/COUNT(Risk_Rank_Keys!$B$2:$B$800))</f>
        <v/>
      </c>
      <c r="N473">
        <f>IF(OR(B473="NW",COUNT(Risk_Rank_Keys!C473)=0),0.5,(SUMPRODUCT(--ISNUMBER(Risk_Rank_Keys!$C$2:$C$800),--(Risk_Rank_Keys!$C$2:$C$800&lt;Risk_Rank_Keys!C473))+(SUMPRODUCT(--ISNUMBER(Risk_Rank_Keys!$C$2:$C$800),--(Risk_Rank_Keys!$C$2:$C$800=Risk_Rank_Keys!C473))+1)/2)/COUNT(Risk_Rank_Keys!$C$2:$C$800))</f>
        <v/>
      </c>
      <c r="O473">
        <f>IF(OR(B473="NW",COUNT(Risk_Rank_Keys!D473)=0),0.5,(SUMPRODUCT(--ISNUMBER(Risk_Rank_Keys!$D$2:$D$800),--(Risk_Rank_Keys!$D$2:$D$800&lt;Risk_Rank_Keys!D473))+(SUMPRODUCT(--ISNUMBER(Risk_Rank_Keys!$D$2:$D$800),--(Risk_Rank_Keys!$D$2:$D$800=Risk_Rank_Keys!D473))+1)/2)/COUNT(Risk_Rank_Keys!$D$2:$D$800))</f>
        <v/>
      </c>
      <c r="P473">
        <f>AVERAGE(M473:O473)</f>
        <v/>
      </c>
      <c r="Q473">
        <f>0.4*H473+0.4*I473+0.2*P473</f>
        <v/>
      </c>
      <c r="R473">
        <f>PERCENTILE($Q$2:$Q$800,0.75)</f>
        <v/>
      </c>
      <c r="S473">
        <f>OR(Q473&gt;=R473,AND(B473="CW",COUNT(J473:L473)&lt;3))</f>
        <v/>
      </c>
      <c r="T473" t="n">
        <v>0.3310256627032792</v>
      </c>
      <c r="U473" t="n">
        <v>12.16116172493899</v>
      </c>
      <c r="V473" t="n">
        <v>0.7875215939962145</v>
      </c>
      <c r="W473">
        <f>Q473-V473</f>
        <v/>
      </c>
    </row>
    <row r="474">
      <c r="A474" t="inlineStr">
        <is>
          <t>2024-03-02</t>
        </is>
      </c>
      <c r="B474" t="inlineStr">
        <is>
          <t>CW</t>
        </is>
      </c>
      <c r="C474" t="n">
        <v>27.07171372559647</v>
      </c>
      <c r="D474">
        <f>SUMPRODUCT(Risk_Inputs!B474:AJ474,Risk_Coefs!$B$2:$AJ$2)</f>
        <v/>
      </c>
      <c r="E474">
        <f>1/(1+EXP(-MAX(-25,MIN(25,D474))))</f>
        <v/>
      </c>
      <c r="F474">
        <f>SUMPRODUCT(Risk_Inputs!B474:AJ474,Risk_Coefs!$B$3:$AJ$3)</f>
        <v/>
      </c>
      <c r="G474">
        <f>MAX(0,F474)</f>
        <v/>
      </c>
      <c r="H474">
        <f>(SUMPRODUCT(--ISNUMBER($E$2:$E$800),--($E$2:$E$800&lt;E474))+(SUMPRODUCT(--ISNUMBER($E$2:$E$800),--($E$2:$E$800=E474))+1)/2)/COUNT($E$2:$E$800)</f>
        <v/>
      </c>
      <c r="I474">
        <f>(SUMPRODUCT(--ISNUMBER($G$2:$G$800),--($G$2:$G$800&lt;G474))+(SUMPRODUCT(--ISNUMBER($G$2:$G$800),--($G$2:$G$800=G474))+1)/2)/COUNT($G$2:$G$800)</f>
        <v/>
      </c>
      <c r="J474" t="n">
        <v>1.586241256122393</v>
      </c>
      <c r="K474" t="n">
        <v>1.086777539930827</v>
      </c>
      <c r="L474" t="n">
        <v>0.2140622427136524</v>
      </c>
      <c r="M474">
        <f>IF(OR(B474="NW",COUNT(Risk_Rank_Keys!B474)=0),0.5,(SUMPRODUCT(--ISNUMBER(Risk_Rank_Keys!$B$2:$B$800),--(Risk_Rank_Keys!$B$2:$B$800&lt;Risk_Rank_Keys!B474))+(SUMPRODUCT(--ISNUMBER(Risk_Rank_Keys!$B$2:$B$800),--(Risk_Rank_Keys!$B$2:$B$800=Risk_Rank_Keys!B474))+1)/2)/COUNT(Risk_Rank_Keys!$B$2:$B$800))</f>
        <v/>
      </c>
      <c r="N474">
        <f>IF(OR(B474="NW",COUNT(Risk_Rank_Keys!C474)=0),0.5,(SUMPRODUCT(--ISNUMBER(Risk_Rank_Keys!$C$2:$C$800),--(Risk_Rank_Keys!$C$2:$C$800&lt;Risk_Rank_Keys!C474))+(SUMPRODUCT(--ISNUMBER(Risk_Rank_Keys!$C$2:$C$800),--(Risk_Rank_Keys!$C$2:$C$800=Risk_Rank_Keys!C474))+1)/2)/COUNT(Risk_Rank_Keys!$C$2:$C$800))</f>
        <v/>
      </c>
      <c r="O474">
        <f>IF(OR(B474="NW",COUNT(Risk_Rank_Keys!D474)=0),0.5,(SUMPRODUCT(--ISNUMBER(Risk_Rank_Keys!$D$2:$D$800),--(Risk_Rank_Keys!$D$2:$D$800&lt;Risk_Rank_Keys!D474))+(SUMPRODUCT(--ISNUMBER(Risk_Rank_Keys!$D$2:$D$800),--(Risk_Rank_Keys!$D$2:$D$800=Risk_Rank_Keys!D474))+1)/2)/COUNT(Risk_Rank_Keys!$D$2:$D$800))</f>
        <v/>
      </c>
      <c r="P474">
        <f>AVERAGE(M474:O474)</f>
        <v/>
      </c>
      <c r="Q474">
        <f>0.4*H474+0.4*I474+0.2*P474</f>
        <v/>
      </c>
      <c r="R474">
        <f>PERCENTILE($Q$2:$Q$800,0.75)</f>
        <v/>
      </c>
      <c r="S474">
        <f>OR(Q474&gt;=R474,AND(B474="CW",COUNT(J474:L474)&lt;3))</f>
        <v/>
      </c>
      <c r="T474" t="n">
        <v>0.2702496879007347</v>
      </c>
      <c r="U474" t="n">
        <v>7.341551679353663</v>
      </c>
      <c r="V474" t="n">
        <v>0.367768985988413</v>
      </c>
      <c r="W474">
        <f>Q474-V474</f>
        <v/>
      </c>
    </row>
    <row r="475">
      <c r="A475" t="inlineStr">
        <is>
          <t>2024-03-04</t>
        </is>
      </c>
      <c r="B475" t="inlineStr">
        <is>
          <t>CW</t>
        </is>
      </c>
      <c r="C475" t="n">
        <v>38.0186767098599</v>
      </c>
      <c r="D475">
        <f>SUMPRODUCT(Risk_Inputs!B475:AJ475,Risk_Coefs!$B$2:$AJ$2)</f>
        <v/>
      </c>
      <c r="E475">
        <f>1/(1+EXP(-MAX(-25,MIN(25,D475))))</f>
        <v/>
      </c>
      <c r="F475">
        <f>SUMPRODUCT(Risk_Inputs!B475:AJ475,Risk_Coefs!$B$3:$AJ$3)</f>
        <v/>
      </c>
      <c r="G475">
        <f>MAX(0,F475)</f>
        <v/>
      </c>
      <c r="H475">
        <f>(SUMPRODUCT(--ISNUMBER($E$2:$E$800),--($E$2:$E$800&lt;E475))+(SUMPRODUCT(--ISNUMBER($E$2:$E$800),--($E$2:$E$800=E475))+1)/2)/COUNT($E$2:$E$800)</f>
        <v/>
      </c>
      <c r="I475">
        <f>(SUMPRODUCT(--ISNUMBER($G$2:$G$800),--($G$2:$G$800&lt;G475))+(SUMPRODUCT(--ISNUMBER($G$2:$G$800),--($G$2:$G$800=G475))+1)/2)/COUNT($G$2:$G$800)</f>
        <v/>
      </c>
      <c r="J475" t="n">
        <v>7.026215591060869</v>
      </c>
      <c r="K475" t="n">
        <v>3.926467963590933</v>
      </c>
      <c r="L475" t="n">
        <v>0.1606282348741705</v>
      </c>
      <c r="M475">
        <f>IF(OR(B475="NW",COUNT(Risk_Rank_Keys!B475)=0),0.5,(SUMPRODUCT(--ISNUMBER(Risk_Rank_Keys!$B$2:$B$800),--(Risk_Rank_Keys!$B$2:$B$800&lt;Risk_Rank_Keys!B475))+(SUMPRODUCT(--ISNUMBER(Risk_Rank_Keys!$B$2:$B$800),--(Risk_Rank_Keys!$B$2:$B$800=Risk_Rank_Keys!B475))+1)/2)/COUNT(Risk_Rank_Keys!$B$2:$B$800))</f>
        <v/>
      </c>
      <c r="N475">
        <f>IF(OR(B475="NW",COUNT(Risk_Rank_Keys!C475)=0),0.5,(SUMPRODUCT(--ISNUMBER(Risk_Rank_Keys!$C$2:$C$800),--(Risk_Rank_Keys!$C$2:$C$800&lt;Risk_Rank_Keys!C475))+(SUMPRODUCT(--ISNUMBER(Risk_Rank_Keys!$C$2:$C$800),--(Risk_Rank_Keys!$C$2:$C$800=Risk_Rank_Keys!C475))+1)/2)/COUNT(Risk_Rank_Keys!$C$2:$C$800))</f>
        <v/>
      </c>
      <c r="O475">
        <f>IF(OR(B475="NW",COUNT(Risk_Rank_Keys!D475)=0),0.5,(SUMPRODUCT(--ISNUMBER(Risk_Rank_Keys!$D$2:$D$800),--(Risk_Rank_Keys!$D$2:$D$800&lt;Risk_Rank_Keys!D475))+(SUMPRODUCT(--ISNUMBER(Risk_Rank_Keys!$D$2:$D$800),--(Risk_Rank_Keys!$D$2:$D$800=Risk_Rank_Keys!D475))+1)/2)/COUNT(Risk_Rank_Keys!$D$2:$D$800))</f>
        <v/>
      </c>
      <c r="P475">
        <f>AVERAGE(M475:O475)</f>
        <v/>
      </c>
      <c r="Q475">
        <f>0.4*H475+0.4*I475+0.2*P475</f>
        <v/>
      </c>
      <c r="R475">
        <f>PERCENTILE($Q$2:$Q$800,0.75)</f>
        <v/>
      </c>
      <c r="S475">
        <f>OR(Q475&gt;=R475,AND(B475="CW",COUNT(J475:L475)&lt;3))</f>
        <v/>
      </c>
      <c r="T475" t="n">
        <v>0.3703337899498155</v>
      </c>
      <c r="U475" t="n">
        <v>9.345772929933261</v>
      </c>
      <c r="V475" t="n">
        <v>0.7056584561478231</v>
      </c>
      <c r="W475">
        <f>Q475-V475</f>
        <v/>
      </c>
    </row>
    <row r="476">
      <c r="A476" t="inlineStr">
        <is>
          <t>2024-03-05</t>
        </is>
      </c>
      <c r="B476" t="inlineStr">
        <is>
          <t>CW</t>
        </is>
      </c>
      <c r="C476" t="n">
        <v>33.40251160923705</v>
      </c>
      <c r="D476">
        <f>SUMPRODUCT(Risk_Inputs!B476:AJ476,Risk_Coefs!$B$2:$AJ$2)</f>
        <v/>
      </c>
      <c r="E476">
        <f>1/(1+EXP(-MAX(-25,MIN(25,D476))))</f>
        <v/>
      </c>
      <c r="F476">
        <f>SUMPRODUCT(Risk_Inputs!B476:AJ476,Risk_Coefs!$B$3:$AJ$3)</f>
        <v/>
      </c>
      <c r="G476">
        <f>MAX(0,F476)</f>
        <v/>
      </c>
      <c r="H476">
        <f>(SUMPRODUCT(--ISNUMBER($E$2:$E$800),--($E$2:$E$800&lt;E476))+(SUMPRODUCT(--ISNUMBER($E$2:$E$800),--($E$2:$E$800=E476))+1)/2)/COUNT($E$2:$E$800)</f>
        <v/>
      </c>
      <c r="I476">
        <f>(SUMPRODUCT(--ISNUMBER($G$2:$G$800),--($G$2:$G$800&lt;G476))+(SUMPRODUCT(--ISNUMBER($G$2:$G$800),--($G$2:$G$800=G476))+1)/2)/COUNT($G$2:$G$800)</f>
        <v/>
      </c>
      <c r="J476" t="n">
        <v>14.34325352427967</v>
      </c>
      <c r="K476" t="n">
        <v>6.898734177215188</v>
      </c>
      <c r="L476" t="n">
        <v>0.08438818565400361</v>
      </c>
      <c r="M476">
        <f>IF(OR(B476="NW",COUNT(Risk_Rank_Keys!B476)=0),0.5,(SUMPRODUCT(--ISNUMBER(Risk_Rank_Keys!$B$2:$B$800),--(Risk_Rank_Keys!$B$2:$B$800&lt;Risk_Rank_Keys!B476))+(SUMPRODUCT(--ISNUMBER(Risk_Rank_Keys!$B$2:$B$800),--(Risk_Rank_Keys!$B$2:$B$800=Risk_Rank_Keys!B476))+1)/2)/COUNT(Risk_Rank_Keys!$B$2:$B$800))</f>
        <v/>
      </c>
      <c r="N476">
        <f>IF(OR(B476="NW",COUNT(Risk_Rank_Keys!C476)=0),0.5,(SUMPRODUCT(--ISNUMBER(Risk_Rank_Keys!$C$2:$C$800),--(Risk_Rank_Keys!$C$2:$C$800&lt;Risk_Rank_Keys!C476))+(SUMPRODUCT(--ISNUMBER(Risk_Rank_Keys!$C$2:$C$800),--(Risk_Rank_Keys!$C$2:$C$800=Risk_Rank_Keys!C476))+1)/2)/COUNT(Risk_Rank_Keys!$C$2:$C$800))</f>
        <v/>
      </c>
      <c r="O476">
        <f>IF(OR(B476="NW",COUNT(Risk_Rank_Keys!D476)=0),0.5,(SUMPRODUCT(--ISNUMBER(Risk_Rank_Keys!$D$2:$D$800),--(Risk_Rank_Keys!$D$2:$D$800&lt;Risk_Rank_Keys!D476))+(SUMPRODUCT(--ISNUMBER(Risk_Rank_Keys!$D$2:$D$800),--(Risk_Rank_Keys!$D$2:$D$800=Risk_Rank_Keys!D476))+1)/2)/COUNT(Risk_Rank_Keys!$D$2:$D$800))</f>
        <v/>
      </c>
      <c r="P476">
        <f>AVERAGE(M476:O476)</f>
        <v/>
      </c>
      <c r="Q476">
        <f>0.4*H476+0.4*I476+0.2*P476</f>
        <v/>
      </c>
      <c r="R476">
        <f>PERCENTILE($Q$2:$Q$800,0.75)</f>
        <v/>
      </c>
      <c r="S476">
        <f>OR(Q476&gt;=R476,AND(B476="CW",COUNT(J476:L476)&lt;3))</f>
        <v/>
      </c>
      <c r="T476" t="n">
        <v>0.2696021811487092</v>
      </c>
      <c r="U476" t="n">
        <v>5.622349288857285</v>
      </c>
      <c r="V476" t="n">
        <v>0.3413623142363566</v>
      </c>
      <c r="W476">
        <f>Q476-V476</f>
        <v/>
      </c>
    </row>
    <row r="477">
      <c r="A477" t="inlineStr">
        <is>
          <t>2024-03-06</t>
        </is>
      </c>
      <c r="B477" t="inlineStr">
        <is>
          <t>CW</t>
        </is>
      </c>
      <c r="C477" t="n">
        <v>-8.006913806160657</v>
      </c>
      <c r="D477">
        <f>SUMPRODUCT(Risk_Inputs!B477:AJ477,Risk_Coefs!$B$2:$AJ$2)</f>
        <v/>
      </c>
      <c r="E477">
        <f>1/(1+EXP(-MAX(-25,MIN(25,D477))))</f>
        <v/>
      </c>
      <c r="F477">
        <f>SUMPRODUCT(Risk_Inputs!B477:AJ477,Risk_Coefs!$B$3:$AJ$3)</f>
        <v/>
      </c>
      <c r="G477">
        <f>MAX(0,F477)</f>
        <v/>
      </c>
      <c r="H477">
        <f>(SUMPRODUCT(--ISNUMBER($E$2:$E$800),--($E$2:$E$800&lt;E477))+(SUMPRODUCT(--ISNUMBER($E$2:$E$800),--($E$2:$E$800=E477))+1)/2)/COUNT($E$2:$E$800)</f>
        <v/>
      </c>
      <c r="I477">
        <f>(SUMPRODUCT(--ISNUMBER($G$2:$G$800),--($G$2:$G$800&lt;G477))+(SUMPRODUCT(--ISNUMBER($G$2:$G$800),--($G$2:$G$800=G477))+1)/2)/COUNT($G$2:$G$800)</f>
        <v/>
      </c>
      <c r="J477" t="n">
        <v>5.154488999648151</v>
      </c>
      <c r="K477" t="n">
        <v>2.889070591441801</v>
      </c>
      <c r="L477" t="n">
        <v>0.1090215317525226</v>
      </c>
      <c r="M477">
        <f>IF(OR(B477="NW",COUNT(Risk_Rank_Keys!B477)=0),0.5,(SUMPRODUCT(--ISNUMBER(Risk_Rank_Keys!$B$2:$B$800),--(Risk_Rank_Keys!$B$2:$B$800&lt;Risk_Rank_Keys!B477))+(SUMPRODUCT(--ISNUMBER(Risk_Rank_Keys!$B$2:$B$800),--(Risk_Rank_Keys!$B$2:$B$800=Risk_Rank_Keys!B477))+1)/2)/COUNT(Risk_Rank_Keys!$B$2:$B$800))</f>
        <v/>
      </c>
      <c r="N477">
        <f>IF(OR(B477="NW",COUNT(Risk_Rank_Keys!C477)=0),0.5,(SUMPRODUCT(--ISNUMBER(Risk_Rank_Keys!$C$2:$C$800),--(Risk_Rank_Keys!$C$2:$C$800&lt;Risk_Rank_Keys!C477))+(SUMPRODUCT(--ISNUMBER(Risk_Rank_Keys!$C$2:$C$800),--(Risk_Rank_Keys!$C$2:$C$800=Risk_Rank_Keys!C477))+1)/2)/COUNT(Risk_Rank_Keys!$C$2:$C$800))</f>
        <v/>
      </c>
      <c r="O477">
        <f>IF(OR(B477="NW",COUNT(Risk_Rank_Keys!D477)=0),0.5,(SUMPRODUCT(--ISNUMBER(Risk_Rank_Keys!$D$2:$D$800),--(Risk_Rank_Keys!$D$2:$D$800&lt;Risk_Rank_Keys!D477))+(SUMPRODUCT(--ISNUMBER(Risk_Rank_Keys!$D$2:$D$800),--(Risk_Rank_Keys!$D$2:$D$800=Risk_Rank_Keys!D477))+1)/2)/COUNT(Risk_Rank_Keys!$D$2:$D$800))</f>
        <v/>
      </c>
      <c r="P477">
        <f>AVERAGE(M477:O477)</f>
        <v/>
      </c>
      <c r="Q477">
        <f>0.4*H477+0.4*I477+0.2*P477</f>
        <v/>
      </c>
      <c r="R477">
        <f>PERCENTILE($Q$2:$Q$800,0.75)</f>
        <v/>
      </c>
      <c r="S477">
        <f>OR(Q477&gt;=R477,AND(B477="CW",COUNT(J477:L477)&lt;3))</f>
        <v/>
      </c>
      <c r="T477" t="n">
        <v>0.3258641261676226</v>
      </c>
      <c r="U477" t="n">
        <v>8.637859927584174</v>
      </c>
      <c r="V477" t="n">
        <v>0.5776965511864262</v>
      </c>
      <c r="W477">
        <f>Q477-V477</f>
        <v/>
      </c>
    </row>
    <row r="478">
      <c r="A478" t="inlineStr">
        <is>
          <t>2024-03-07</t>
        </is>
      </c>
      <c r="B478" t="inlineStr">
        <is>
          <t>CW</t>
        </is>
      </c>
      <c r="C478" t="n">
        <v>49.66615579630302</v>
      </c>
      <c r="D478">
        <f>SUMPRODUCT(Risk_Inputs!B478:AJ478,Risk_Coefs!$B$2:$AJ$2)</f>
        <v/>
      </c>
      <c r="E478">
        <f>1/(1+EXP(-MAX(-25,MIN(25,D478))))</f>
        <v/>
      </c>
      <c r="F478">
        <f>SUMPRODUCT(Risk_Inputs!B478:AJ478,Risk_Coefs!$B$3:$AJ$3)</f>
        <v/>
      </c>
      <c r="G478">
        <f>MAX(0,F478)</f>
        <v/>
      </c>
      <c r="H478">
        <f>(SUMPRODUCT(--ISNUMBER($E$2:$E$800),--($E$2:$E$800&lt;E478))+(SUMPRODUCT(--ISNUMBER($E$2:$E$800),--($E$2:$E$800=E478))+1)/2)/COUNT($E$2:$E$800)</f>
        <v/>
      </c>
      <c r="I478">
        <f>(SUMPRODUCT(--ISNUMBER($G$2:$G$800),--($G$2:$G$800&lt;G478))+(SUMPRODUCT(--ISNUMBER($G$2:$G$800),--($G$2:$G$800=G478))+1)/2)/COUNT($G$2:$G$800)</f>
        <v/>
      </c>
      <c r="J478" t="n">
        <v>12.95976027777966</v>
      </c>
      <c r="K478" t="n">
        <v>8.065915004336524</v>
      </c>
      <c r="L478" t="n">
        <v>0.3035559410234184</v>
      </c>
      <c r="M478">
        <f>IF(OR(B478="NW",COUNT(Risk_Rank_Keys!B478)=0),0.5,(SUMPRODUCT(--ISNUMBER(Risk_Rank_Keys!$B$2:$B$800),--(Risk_Rank_Keys!$B$2:$B$800&lt;Risk_Rank_Keys!B478))+(SUMPRODUCT(--ISNUMBER(Risk_Rank_Keys!$B$2:$B$800),--(Risk_Rank_Keys!$B$2:$B$800=Risk_Rank_Keys!B478))+1)/2)/COUNT(Risk_Rank_Keys!$B$2:$B$800))</f>
        <v/>
      </c>
      <c r="N478">
        <f>IF(OR(B478="NW",COUNT(Risk_Rank_Keys!C478)=0),0.5,(SUMPRODUCT(--ISNUMBER(Risk_Rank_Keys!$C$2:$C$800),--(Risk_Rank_Keys!$C$2:$C$800&lt;Risk_Rank_Keys!C478))+(SUMPRODUCT(--ISNUMBER(Risk_Rank_Keys!$C$2:$C$800),--(Risk_Rank_Keys!$C$2:$C$800=Risk_Rank_Keys!C478))+1)/2)/COUNT(Risk_Rank_Keys!$C$2:$C$800))</f>
        <v/>
      </c>
      <c r="O478">
        <f>IF(OR(B478="NW",COUNT(Risk_Rank_Keys!D478)=0),0.5,(SUMPRODUCT(--ISNUMBER(Risk_Rank_Keys!$D$2:$D$800),--(Risk_Rank_Keys!$D$2:$D$800&lt;Risk_Rank_Keys!D478))+(SUMPRODUCT(--ISNUMBER(Risk_Rank_Keys!$D$2:$D$800),--(Risk_Rank_Keys!$D$2:$D$800=Risk_Rank_Keys!D478))+1)/2)/COUNT(Risk_Rank_Keys!$D$2:$D$800))</f>
        <v/>
      </c>
      <c r="P478">
        <f>AVERAGE(M478:O478)</f>
        <v/>
      </c>
      <c r="Q478">
        <f>0.4*H478+0.4*I478+0.2*P478</f>
        <v/>
      </c>
      <c r="R478">
        <f>PERCENTILE($Q$2:$Q$800,0.75)</f>
        <v/>
      </c>
      <c r="S478">
        <f>OR(Q478&gt;=R478,AND(B478="CW",COUNT(J478:L478)&lt;3))</f>
        <v/>
      </c>
      <c r="T478" t="n">
        <v>0.2731837009995588</v>
      </c>
      <c r="U478" t="n">
        <v>8.529304816034836</v>
      </c>
      <c r="V478" t="n">
        <v>0.5558482272994661</v>
      </c>
      <c r="W478">
        <f>Q478-V478</f>
        <v/>
      </c>
    </row>
    <row r="479">
      <c r="A479" t="inlineStr">
        <is>
          <t>2024-03-11</t>
        </is>
      </c>
      <c r="B479" t="inlineStr">
        <is>
          <t>CW</t>
        </is>
      </c>
      <c r="C479" t="n">
        <v>17.15132135892989</v>
      </c>
      <c r="D479">
        <f>SUMPRODUCT(Risk_Inputs!B479:AJ479,Risk_Coefs!$B$2:$AJ$2)</f>
        <v/>
      </c>
      <c r="E479">
        <f>1/(1+EXP(-MAX(-25,MIN(25,D479))))</f>
        <v/>
      </c>
      <c r="F479">
        <f>SUMPRODUCT(Risk_Inputs!B479:AJ479,Risk_Coefs!$B$3:$AJ$3)</f>
        <v/>
      </c>
      <c r="G479">
        <f>MAX(0,F479)</f>
        <v/>
      </c>
      <c r="H479">
        <f>(SUMPRODUCT(--ISNUMBER($E$2:$E$800),--($E$2:$E$800&lt;E479))+(SUMPRODUCT(--ISNUMBER($E$2:$E$800),--($E$2:$E$800=E479))+1)/2)/COUNT($E$2:$E$800)</f>
        <v/>
      </c>
      <c r="I479">
        <f>(SUMPRODUCT(--ISNUMBER($G$2:$G$800),--($G$2:$G$800&lt;G479))+(SUMPRODUCT(--ISNUMBER($G$2:$G$800),--($G$2:$G$800=G479))+1)/2)/COUNT($G$2:$G$800)</f>
        <v/>
      </c>
      <c r="J479" t="n">
        <v>17.17571669177541</v>
      </c>
      <c r="K479" t="n">
        <v>7.673076923076919</v>
      </c>
      <c r="L479" t="n">
        <v>0.1730769230769296</v>
      </c>
      <c r="M479">
        <f>IF(OR(B479="NW",COUNT(Risk_Rank_Keys!B479)=0),0.5,(SUMPRODUCT(--ISNUMBER(Risk_Rank_Keys!$B$2:$B$800),--(Risk_Rank_Keys!$B$2:$B$800&lt;Risk_Rank_Keys!B479))+(SUMPRODUCT(--ISNUMBER(Risk_Rank_Keys!$B$2:$B$800),--(Risk_Rank_Keys!$B$2:$B$800=Risk_Rank_Keys!B479))+1)/2)/COUNT(Risk_Rank_Keys!$B$2:$B$800))</f>
        <v/>
      </c>
      <c r="N479">
        <f>IF(OR(B479="NW",COUNT(Risk_Rank_Keys!C479)=0),0.5,(SUMPRODUCT(--ISNUMBER(Risk_Rank_Keys!$C$2:$C$800),--(Risk_Rank_Keys!$C$2:$C$800&lt;Risk_Rank_Keys!C479))+(SUMPRODUCT(--ISNUMBER(Risk_Rank_Keys!$C$2:$C$800),--(Risk_Rank_Keys!$C$2:$C$800=Risk_Rank_Keys!C479))+1)/2)/COUNT(Risk_Rank_Keys!$C$2:$C$800))</f>
        <v/>
      </c>
      <c r="O479">
        <f>IF(OR(B479="NW",COUNT(Risk_Rank_Keys!D479)=0),0.5,(SUMPRODUCT(--ISNUMBER(Risk_Rank_Keys!$D$2:$D$800),--(Risk_Rank_Keys!$D$2:$D$800&lt;Risk_Rank_Keys!D479))+(SUMPRODUCT(--ISNUMBER(Risk_Rank_Keys!$D$2:$D$800),--(Risk_Rank_Keys!$D$2:$D$800=Risk_Rank_Keys!D479))+1)/2)/COUNT(Risk_Rank_Keys!$D$2:$D$800))</f>
        <v/>
      </c>
      <c r="P479">
        <f>AVERAGE(M479:O479)</f>
        <v/>
      </c>
      <c r="Q479">
        <f>0.4*H479+0.4*I479+0.2*P479</f>
        <v/>
      </c>
      <c r="R479">
        <f>PERCENTILE($Q$2:$Q$800,0.75)</f>
        <v/>
      </c>
      <c r="S479">
        <f>OR(Q479&gt;=R479,AND(B479="CW",COUNT(J479:L479)&lt;3))</f>
        <v/>
      </c>
      <c r="T479" t="n">
        <v>0.2887829711167449</v>
      </c>
      <c r="U479" t="n">
        <v>7.37157889463717</v>
      </c>
      <c r="V479" t="n">
        <v>0.5060837902329097</v>
      </c>
      <c r="W479">
        <f>Q479-V479</f>
        <v/>
      </c>
    </row>
    <row r="480">
      <c r="A480" t="inlineStr">
        <is>
          <t>2024-03-12</t>
        </is>
      </c>
      <c r="B480" t="inlineStr">
        <is>
          <t>CW</t>
        </is>
      </c>
      <c r="C480" t="n">
        <v>-35.08938172713366</v>
      </c>
      <c r="D480">
        <f>SUMPRODUCT(Risk_Inputs!B480:AJ480,Risk_Coefs!$B$2:$AJ$2)</f>
        <v/>
      </c>
      <c r="E480">
        <f>1/(1+EXP(-MAX(-25,MIN(25,D480))))</f>
        <v/>
      </c>
      <c r="F480">
        <f>SUMPRODUCT(Risk_Inputs!B480:AJ480,Risk_Coefs!$B$3:$AJ$3)</f>
        <v/>
      </c>
      <c r="G480">
        <f>MAX(0,F480)</f>
        <v/>
      </c>
      <c r="H480">
        <f>(SUMPRODUCT(--ISNUMBER($E$2:$E$800),--($E$2:$E$800&lt;E480))+(SUMPRODUCT(--ISNUMBER($E$2:$E$800),--($E$2:$E$800=E480))+1)/2)/COUNT($E$2:$E$800)</f>
        <v/>
      </c>
      <c r="I480">
        <f>(SUMPRODUCT(--ISNUMBER($G$2:$G$800),--($G$2:$G$800&lt;G480))+(SUMPRODUCT(--ISNUMBER($G$2:$G$800),--($G$2:$G$800=G480))+1)/2)/COUNT($G$2:$G$800)</f>
        <v/>
      </c>
      <c r="J480" t="n">
        <v>3.574732006809865</v>
      </c>
      <c r="K480" t="n">
        <v>1.355625847266154</v>
      </c>
      <c r="L480" t="n">
        <v>0.203343877089918</v>
      </c>
      <c r="M480">
        <f>IF(OR(B480="NW",COUNT(Risk_Rank_Keys!B480)=0),0.5,(SUMPRODUCT(--ISNUMBER(Risk_Rank_Keys!$B$2:$B$800),--(Risk_Rank_Keys!$B$2:$B$800&lt;Risk_Rank_Keys!B480))+(SUMPRODUCT(--ISNUMBER(Risk_Rank_Keys!$B$2:$B$800),--(Risk_Rank_Keys!$B$2:$B$800=Risk_Rank_Keys!B480))+1)/2)/COUNT(Risk_Rank_Keys!$B$2:$B$800))</f>
        <v/>
      </c>
      <c r="N480">
        <f>IF(OR(B480="NW",COUNT(Risk_Rank_Keys!C480)=0),0.5,(SUMPRODUCT(--ISNUMBER(Risk_Rank_Keys!$C$2:$C$800),--(Risk_Rank_Keys!$C$2:$C$800&lt;Risk_Rank_Keys!C480))+(SUMPRODUCT(--ISNUMBER(Risk_Rank_Keys!$C$2:$C$800),--(Risk_Rank_Keys!$C$2:$C$800=Risk_Rank_Keys!C480))+1)/2)/COUNT(Risk_Rank_Keys!$C$2:$C$800))</f>
        <v/>
      </c>
      <c r="O480">
        <f>IF(OR(B480="NW",COUNT(Risk_Rank_Keys!D480)=0),0.5,(SUMPRODUCT(--ISNUMBER(Risk_Rank_Keys!$D$2:$D$800),--(Risk_Rank_Keys!$D$2:$D$800&lt;Risk_Rank_Keys!D480))+(SUMPRODUCT(--ISNUMBER(Risk_Rank_Keys!$D$2:$D$800),--(Risk_Rank_Keys!$D$2:$D$800=Risk_Rank_Keys!D480))+1)/2)/COUNT(Risk_Rank_Keys!$D$2:$D$800))</f>
        <v/>
      </c>
      <c r="P480">
        <f>AVERAGE(M480:O480)</f>
        <v/>
      </c>
      <c r="Q480">
        <f>0.4*H480+0.4*I480+0.2*P480</f>
        <v/>
      </c>
      <c r="R480">
        <f>PERCENTILE($Q$2:$Q$800,0.75)</f>
        <v/>
      </c>
      <c r="S480">
        <f>OR(Q480&gt;=R480,AND(B480="CW",COUNT(J480:L480)&lt;3))</f>
        <v/>
      </c>
      <c r="T480" t="n">
        <v>0.3087933194174632</v>
      </c>
      <c r="U480" t="n">
        <v>6.960493350989626</v>
      </c>
      <c r="V480" t="n">
        <v>0.4399951357141569</v>
      </c>
      <c r="W480">
        <f>Q480-V480</f>
        <v/>
      </c>
    </row>
    <row r="481">
      <c r="A481" t="inlineStr">
        <is>
          <t>2024-03-13</t>
        </is>
      </c>
      <c r="B481" t="inlineStr">
        <is>
          <t>CW</t>
        </is>
      </c>
      <c r="C481" t="n">
        <v>-40.16801142728517</v>
      </c>
      <c r="D481">
        <f>SUMPRODUCT(Risk_Inputs!B481:AJ481,Risk_Coefs!$B$2:$AJ$2)</f>
        <v/>
      </c>
      <c r="E481">
        <f>1/(1+EXP(-MAX(-25,MIN(25,D481))))</f>
        <v/>
      </c>
      <c r="F481">
        <f>SUMPRODUCT(Risk_Inputs!B481:AJ481,Risk_Coefs!$B$3:$AJ$3)</f>
        <v/>
      </c>
      <c r="G481">
        <f>MAX(0,F481)</f>
        <v/>
      </c>
      <c r="H481">
        <f>(SUMPRODUCT(--ISNUMBER($E$2:$E$800),--($E$2:$E$800&lt;E481))+(SUMPRODUCT(--ISNUMBER($E$2:$E$800),--($E$2:$E$800=E481))+1)/2)/COUNT($E$2:$E$800)</f>
        <v/>
      </c>
      <c r="I481">
        <f>(SUMPRODUCT(--ISNUMBER($G$2:$G$800),--($G$2:$G$800&lt;G481))+(SUMPRODUCT(--ISNUMBER($G$2:$G$800),--($G$2:$G$800=G481))+1)/2)/COUNT($G$2:$G$800)</f>
        <v/>
      </c>
      <c r="J481" t="n">
        <v>3.837632448522036</v>
      </c>
      <c r="K481" t="n">
        <v>2.385419458590184</v>
      </c>
      <c r="L481" t="n">
        <v>0.1608147949611272</v>
      </c>
      <c r="M481">
        <f>IF(OR(B481="NW",COUNT(Risk_Rank_Keys!B481)=0),0.5,(SUMPRODUCT(--ISNUMBER(Risk_Rank_Keys!$B$2:$B$800),--(Risk_Rank_Keys!$B$2:$B$800&lt;Risk_Rank_Keys!B481))+(SUMPRODUCT(--ISNUMBER(Risk_Rank_Keys!$B$2:$B$800),--(Risk_Rank_Keys!$B$2:$B$800=Risk_Rank_Keys!B481))+1)/2)/COUNT(Risk_Rank_Keys!$B$2:$B$800))</f>
        <v/>
      </c>
      <c r="N481">
        <f>IF(OR(B481="NW",COUNT(Risk_Rank_Keys!C481)=0),0.5,(SUMPRODUCT(--ISNUMBER(Risk_Rank_Keys!$C$2:$C$800),--(Risk_Rank_Keys!$C$2:$C$800&lt;Risk_Rank_Keys!C481))+(SUMPRODUCT(--ISNUMBER(Risk_Rank_Keys!$C$2:$C$800),--(Risk_Rank_Keys!$C$2:$C$800=Risk_Rank_Keys!C481))+1)/2)/COUNT(Risk_Rank_Keys!$C$2:$C$800))</f>
        <v/>
      </c>
      <c r="O481">
        <f>IF(OR(B481="NW",COUNT(Risk_Rank_Keys!D481)=0),0.5,(SUMPRODUCT(--ISNUMBER(Risk_Rank_Keys!$D$2:$D$800),--(Risk_Rank_Keys!$D$2:$D$800&lt;Risk_Rank_Keys!D481))+(SUMPRODUCT(--ISNUMBER(Risk_Rank_Keys!$D$2:$D$800),--(Risk_Rank_Keys!$D$2:$D$800=Risk_Rank_Keys!D481))+1)/2)/COUNT(Risk_Rank_Keys!$D$2:$D$800))</f>
        <v/>
      </c>
      <c r="P481">
        <f>AVERAGE(M481:O481)</f>
        <v/>
      </c>
      <c r="Q481">
        <f>0.4*H481+0.4*I481+0.2*P481</f>
        <v/>
      </c>
      <c r="R481">
        <f>PERCENTILE($Q$2:$Q$800,0.75)</f>
        <v/>
      </c>
      <c r="S481">
        <f>OR(Q481&gt;=R481,AND(B481="CW",COUNT(J481:L481)&lt;3))</f>
        <v/>
      </c>
      <c r="T481" t="n">
        <v>0.3052150581502532</v>
      </c>
      <c r="U481" t="n">
        <v>9.610523633879364</v>
      </c>
      <c r="V481" t="n">
        <v>0.5706946560932454</v>
      </c>
      <c r="W481">
        <f>Q481-V481</f>
        <v/>
      </c>
    </row>
    <row r="482">
      <c r="A482" t="inlineStr">
        <is>
          <t>2024-03-14</t>
        </is>
      </c>
      <c r="B482" t="inlineStr">
        <is>
          <t>CW</t>
        </is>
      </c>
      <c r="C482" t="n">
        <v>7.216009754649722</v>
      </c>
      <c r="D482">
        <f>SUMPRODUCT(Risk_Inputs!B482:AJ482,Risk_Coefs!$B$2:$AJ$2)</f>
        <v/>
      </c>
      <c r="E482">
        <f>1/(1+EXP(-MAX(-25,MIN(25,D482))))</f>
        <v/>
      </c>
      <c r="F482">
        <f>SUMPRODUCT(Risk_Inputs!B482:AJ482,Risk_Coefs!$B$3:$AJ$3)</f>
        <v/>
      </c>
      <c r="G482">
        <f>MAX(0,F482)</f>
        <v/>
      </c>
      <c r="H482">
        <f>(SUMPRODUCT(--ISNUMBER($E$2:$E$800),--($E$2:$E$800&lt;E482))+(SUMPRODUCT(--ISNUMBER($E$2:$E$800),--($E$2:$E$800=E482))+1)/2)/COUNT($E$2:$E$800)</f>
        <v/>
      </c>
      <c r="I482">
        <f>(SUMPRODUCT(--ISNUMBER($G$2:$G$800),--($G$2:$G$800&lt;G482))+(SUMPRODUCT(--ISNUMBER($G$2:$G$800),--($G$2:$G$800=G482))+1)/2)/COUNT($G$2:$G$800)</f>
        <v/>
      </c>
      <c r="J482" t="n">
        <v>6.380748370630327</v>
      </c>
      <c r="K482" t="n">
        <v>6.662087912087905</v>
      </c>
      <c r="L482" t="n">
        <v>0.2060439560439541</v>
      </c>
      <c r="M482">
        <f>IF(OR(B482="NW",COUNT(Risk_Rank_Keys!B482)=0),0.5,(SUMPRODUCT(--ISNUMBER(Risk_Rank_Keys!$B$2:$B$800),--(Risk_Rank_Keys!$B$2:$B$800&lt;Risk_Rank_Keys!B482))+(SUMPRODUCT(--ISNUMBER(Risk_Rank_Keys!$B$2:$B$800),--(Risk_Rank_Keys!$B$2:$B$800=Risk_Rank_Keys!B482))+1)/2)/COUNT(Risk_Rank_Keys!$B$2:$B$800))</f>
        <v/>
      </c>
      <c r="N482">
        <f>IF(OR(B482="NW",COUNT(Risk_Rank_Keys!C482)=0),0.5,(SUMPRODUCT(--ISNUMBER(Risk_Rank_Keys!$C$2:$C$800),--(Risk_Rank_Keys!$C$2:$C$800&lt;Risk_Rank_Keys!C482))+(SUMPRODUCT(--ISNUMBER(Risk_Rank_Keys!$C$2:$C$800),--(Risk_Rank_Keys!$C$2:$C$800=Risk_Rank_Keys!C482))+1)/2)/COUNT(Risk_Rank_Keys!$C$2:$C$800))</f>
        <v/>
      </c>
      <c r="O482">
        <f>IF(OR(B482="NW",COUNT(Risk_Rank_Keys!D482)=0),0.5,(SUMPRODUCT(--ISNUMBER(Risk_Rank_Keys!$D$2:$D$800),--(Risk_Rank_Keys!$D$2:$D$800&lt;Risk_Rank_Keys!D482))+(SUMPRODUCT(--ISNUMBER(Risk_Rank_Keys!$D$2:$D$800),--(Risk_Rank_Keys!$D$2:$D$800=Risk_Rank_Keys!D482))+1)/2)/COUNT(Risk_Rank_Keys!$D$2:$D$800))</f>
        <v/>
      </c>
      <c r="P482">
        <f>AVERAGE(M482:O482)</f>
        <v/>
      </c>
      <c r="Q482">
        <f>0.4*H482+0.4*I482+0.2*P482</f>
        <v/>
      </c>
      <c r="R482">
        <f>PERCENTILE($Q$2:$Q$800,0.75)</f>
        <v/>
      </c>
      <c r="S482">
        <f>OR(Q482&gt;=R482,AND(B482="CW",COUNT(J482:L482)&lt;3))</f>
        <v/>
      </c>
      <c r="T482" t="n">
        <v>0.3128494612466564</v>
      </c>
      <c r="U482" t="n">
        <v>10.84950870253304</v>
      </c>
      <c r="V482" t="n">
        <v>0.6909846047680475</v>
      </c>
      <c r="W482">
        <f>Q482-V482</f>
        <v/>
      </c>
    </row>
    <row r="483">
      <c r="A483" t="inlineStr">
        <is>
          <t>2024-03-18</t>
        </is>
      </c>
      <c r="B483" t="inlineStr">
        <is>
          <t>CW</t>
        </is>
      </c>
      <c r="C483" t="n">
        <v>22.39240356142452</v>
      </c>
      <c r="D483">
        <f>SUMPRODUCT(Risk_Inputs!B483:AJ483,Risk_Coefs!$B$2:$AJ$2)</f>
        <v/>
      </c>
      <c r="E483">
        <f>1/(1+EXP(-MAX(-25,MIN(25,D483))))</f>
        <v/>
      </c>
      <c r="F483">
        <f>SUMPRODUCT(Risk_Inputs!B483:AJ483,Risk_Coefs!$B$3:$AJ$3)</f>
        <v/>
      </c>
      <c r="G483">
        <f>MAX(0,F483)</f>
        <v/>
      </c>
      <c r="H483">
        <f>(SUMPRODUCT(--ISNUMBER($E$2:$E$800),--($E$2:$E$800&lt;E483))+(SUMPRODUCT(--ISNUMBER($E$2:$E$800),--($E$2:$E$800=E483))+1)/2)/COUNT($E$2:$E$800)</f>
        <v/>
      </c>
      <c r="I483">
        <f>(SUMPRODUCT(--ISNUMBER($G$2:$G$800),--($G$2:$G$800&lt;G483))+(SUMPRODUCT(--ISNUMBER($G$2:$G$800),--($G$2:$G$800=G483))+1)/2)/COUNT($G$2:$G$800)</f>
        <v/>
      </c>
      <c r="J483" t="n">
        <v>9.200906914083976</v>
      </c>
      <c r="K483" t="n">
        <v>2.332621082621087</v>
      </c>
      <c r="L483" t="n">
        <v>0.1602564102564062</v>
      </c>
      <c r="M483">
        <f>IF(OR(B483="NW",COUNT(Risk_Rank_Keys!B483)=0),0.5,(SUMPRODUCT(--ISNUMBER(Risk_Rank_Keys!$B$2:$B$800),--(Risk_Rank_Keys!$B$2:$B$800&lt;Risk_Rank_Keys!B483))+(SUMPRODUCT(--ISNUMBER(Risk_Rank_Keys!$B$2:$B$800),--(Risk_Rank_Keys!$B$2:$B$800=Risk_Rank_Keys!B483))+1)/2)/COUNT(Risk_Rank_Keys!$B$2:$B$800))</f>
        <v/>
      </c>
      <c r="N483">
        <f>IF(OR(B483="NW",COUNT(Risk_Rank_Keys!C483)=0),0.5,(SUMPRODUCT(--ISNUMBER(Risk_Rank_Keys!$C$2:$C$800),--(Risk_Rank_Keys!$C$2:$C$800&lt;Risk_Rank_Keys!C483))+(SUMPRODUCT(--ISNUMBER(Risk_Rank_Keys!$C$2:$C$800),--(Risk_Rank_Keys!$C$2:$C$800=Risk_Rank_Keys!C483))+1)/2)/COUNT(Risk_Rank_Keys!$C$2:$C$800))</f>
        <v/>
      </c>
      <c r="O483">
        <f>IF(OR(B483="NW",COUNT(Risk_Rank_Keys!D483)=0),0.5,(SUMPRODUCT(--ISNUMBER(Risk_Rank_Keys!$D$2:$D$800),--(Risk_Rank_Keys!$D$2:$D$800&lt;Risk_Rank_Keys!D483))+(SUMPRODUCT(--ISNUMBER(Risk_Rank_Keys!$D$2:$D$800),--(Risk_Rank_Keys!$D$2:$D$800=Risk_Rank_Keys!D483))+1)/2)/COUNT(Risk_Rank_Keys!$D$2:$D$800))</f>
        <v/>
      </c>
      <c r="P483">
        <f>AVERAGE(M483:O483)</f>
        <v/>
      </c>
      <c r="Q483">
        <f>0.4*H483+0.4*I483+0.2*P483</f>
        <v/>
      </c>
      <c r="R483">
        <f>PERCENTILE($Q$2:$Q$800,0.75)</f>
        <v/>
      </c>
      <c r="S483">
        <f>OR(Q483&gt;=R483,AND(B483="CW",COUNT(J483:L483)&lt;3))</f>
        <v/>
      </c>
      <c r="T483" t="n">
        <v>0.3006209432144339</v>
      </c>
      <c r="U483" t="n">
        <v>6.477757445746702</v>
      </c>
      <c r="V483" t="n">
        <v>0.4258081784005926</v>
      </c>
      <c r="W483">
        <f>Q483-V483</f>
        <v/>
      </c>
    </row>
    <row r="484">
      <c r="A484" t="inlineStr">
        <is>
          <t>2024-03-19</t>
        </is>
      </c>
      <c r="B484" t="inlineStr">
        <is>
          <t>CW</t>
        </is>
      </c>
      <c r="C484" t="n">
        <v>13.46437594289183</v>
      </c>
      <c r="D484">
        <f>SUMPRODUCT(Risk_Inputs!B484:AJ484,Risk_Coefs!$B$2:$AJ$2)</f>
        <v/>
      </c>
      <c r="E484">
        <f>1/(1+EXP(-MAX(-25,MIN(25,D484))))</f>
        <v/>
      </c>
      <c r="F484">
        <f>SUMPRODUCT(Risk_Inputs!B484:AJ484,Risk_Coefs!$B$3:$AJ$3)</f>
        <v/>
      </c>
      <c r="G484">
        <f>MAX(0,F484)</f>
        <v/>
      </c>
      <c r="H484">
        <f>(SUMPRODUCT(--ISNUMBER($E$2:$E$800),--($E$2:$E$800&lt;E484))+(SUMPRODUCT(--ISNUMBER($E$2:$E$800),--($E$2:$E$800=E484))+1)/2)/COUNT($E$2:$E$800)</f>
        <v/>
      </c>
      <c r="I484">
        <f>(SUMPRODUCT(--ISNUMBER($G$2:$G$800),--($G$2:$G$800&lt;G484))+(SUMPRODUCT(--ISNUMBER($G$2:$G$800),--($G$2:$G$800=G484))+1)/2)/COUNT($G$2:$G$800)</f>
        <v/>
      </c>
      <c r="J484" t="n">
        <v>6.504198164269334</v>
      </c>
      <c r="K484" t="n">
        <v>1.867049651210498</v>
      </c>
      <c r="L484" t="n">
        <v>0.1436192039392672</v>
      </c>
      <c r="M484">
        <f>IF(OR(B484="NW",COUNT(Risk_Rank_Keys!B484)=0),0.5,(SUMPRODUCT(--ISNUMBER(Risk_Rank_Keys!$B$2:$B$800),--(Risk_Rank_Keys!$B$2:$B$800&lt;Risk_Rank_Keys!B484))+(SUMPRODUCT(--ISNUMBER(Risk_Rank_Keys!$B$2:$B$800),--(Risk_Rank_Keys!$B$2:$B$800=Risk_Rank_Keys!B484))+1)/2)/COUNT(Risk_Rank_Keys!$B$2:$B$800))</f>
        <v/>
      </c>
      <c r="N484">
        <f>IF(OR(B484="NW",COUNT(Risk_Rank_Keys!C484)=0),0.5,(SUMPRODUCT(--ISNUMBER(Risk_Rank_Keys!$C$2:$C$800),--(Risk_Rank_Keys!$C$2:$C$800&lt;Risk_Rank_Keys!C484))+(SUMPRODUCT(--ISNUMBER(Risk_Rank_Keys!$C$2:$C$800),--(Risk_Rank_Keys!$C$2:$C$800=Risk_Rank_Keys!C484))+1)/2)/COUNT(Risk_Rank_Keys!$C$2:$C$800))</f>
        <v/>
      </c>
      <c r="O484">
        <f>IF(OR(B484="NW",COUNT(Risk_Rank_Keys!D484)=0),0.5,(SUMPRODUCT(--ISNUMBER(Risk_Rank_Keys!$D$2:$D$800),--(Risk_Rank_Keys!$D$2:$D$800&lt;Risk_Rank_Keys!D484))+(SUMPRODUCT(--ISNUMBER(Risk_Rank_Keys!$D$2:$D$800),--(Risk_Rank_Keys!$D$2:$D$800=Risk_Rank_Keys!D484))+1)/2)/COUNT(Risk_Rank_Keys!$D$2:$D$800))</f>
        <v/>
      </c>
      <c r="P484">
        <f>AVERAGE(M484:O484)</f>
        <v/>
      </c>
      <c r="Q484">
        <f>0.4*H484+0.4*I484+0.2*P484</f>
        <v/>
      </c>
      <c r="R484">
        <f>PERCENTILE($Q$2:$Q$800,0.75)</f>
        <v/>
      </c>
      <c r="S484">
        <f>OR(Q484&gt;=R484,AND(B484="CW",COUNT(J484:L484)&lt;3))</f>
        <v/>
      </c>
      <c r="T484" t="n">
        <v>0.2777313073192734</v>
      </c>
      <c r="U484" t="n">
        <v>5.329972167896072</v>
      </c>
      <c r="V484" t="n">
        <v>0.2925757382688379</v>
      </c>
      <c r="W484">
        <f>Q484-V484</f>
        <v/>
      </c>
    </row>
    <row r="485">
      <c r="A485" t="inlineStr">
        <is>
          <t>2024-03-20</t>
        </is>
      </c>
      <c r="B485" t="inlineStr">
        <is>
          <t>CW</t>
        </is>
      </c>
      <c r="C485" t="n">
        <v>-0.5195163310006957</v>
      </c>
      <c r="D485">
        <f>SUMPRODUCT(Risk_Inputs!B485:AJ485,Risk_Coefs!$B$2:$AJ$2)</f>
        <v/>
      </c>
      <c r="E485">
        <f>1/(1+EXP(-MAX(-25,MIN(25,D485))))</f>
        <v/>
      </c>
      <c r="F485">
        <f>SUMPRODUCT(Risk_Inputs!B485:AJ485,Risk_Coefs!$B$3:$AJ$3)</f>
        <v/>
      </c>
      <c r="G485">
        <f>MAX(0,F485)</f>
        <v/>
      </c>
      <c r="H485">
        <f>(SUMPRODUCT(--ISNUMBER($E$2:$E$800),--($E$2:$E$800&lt;E485))+(SUMPRODUCT(--ISNUMBER($E$2:$E$800),--($E$2:$E$800=E485))+1)/2)/COUNT($E$2:$E$800)</f>
        <v/>
      </c>
      <c r="I485">
        <f>(SUMPRODUCT(--ISNUMBER($G$2:$G$800),--($G$2:$G$800&lt;G485))+(SUMPRODUCT(--ISNUMBER($G$2:$G$800),--($G$2:$G$800=G485))+1)/2)/COUNT($G$2:$G$800)</f>
        <v/>
      </c>
      <c r="J485" t="n">
        <v>5.484410562974744</v>
      </c>
      <c r="K485" t="n">
        <v>3.590010405827281</v>
      </c>
      <c r="L485" t="n">
        <v>0.182101977107177</v>
      </c>
      <c r="M485">
        <f>IF(OR(B485="NW",COUNT(Risk_Rank_Keys!B485)=0),0.5,(SUMPRODUCT(--ISNUMBER(Risk_Rank_Keys!$B$2:$B$800),--(Risk_Rank_Keys!$B$2:$B$800&lt;Risk_Rank_Keys!B485))+(SUMPRODUCT(--ISNUMBER(Risk_Rank_Keys!$B$2:$B$800),--(Risk_Rank_Keys!$B$2:$B$800=Risk_Rank_Keys!B485))+1)/2)/COUNT(Risk_Rank_Keys!$B$2:$B$800))</f>
        <v/>
      </c>
      <c r="N485">
        <f>IF(OR(B485="NW",COUNT(Risk_Rank_Keys!C485)=0),0.5,(SUMPRODUCT(--ISNUMBER(Risk_Rank_Keys!$C$2:$C$800),--(Risk_Rank_Keys!$C$2:$C$800&lt;Risk_Rank_Keys!C485))+(SUMPRODUCT(--ISNUMBER(Risk_Rank_Keys!$C$2:$C$800),--(Risk_Rank_Keys!$C$2:$C$800=Risk_Rank_Keys!C485))+1)/2)/COUNT(Risk_Rank_Keys!$C$2:$C$800))</f>
        <v/>
      </c>
      <c r="O485">
        <f>IF(OR(B485="NW",COUNT(Risk_Rank_Keys!D485)=0),0.5,(SUMPRODUCT(--ISNUMBER(Risk_Rank_Keys!$D$2:$D$800),--(Risk_Rank_Keys!$D$2:$D$800&lt;Risk_Rank_Keys!D485))+(SUMPRODUCT(--ISNUMBER(Risk_Rank_Keys!$D$2:$D$800),--(Risk_Rank_Keys!$D$2:$D$800=Risk_Rank_Keys!D485))+1)/2)/COUNT(Risk_Rank_Keys!$D$2:$D$800))</f>
        <v/>
      </c>
      <c r="P485">
        <f>AVERAGE(M485:O485)</f>
        <v/>
      </c>
      <c r="Q485">
        <f>0.4*H485+0.4*I485+0.2*P485</f>
        <v/>
      </c>
      <c r="R485">
        <f>PERCENTILE($Q$2:$Q$800,0.75)</f>
        <v/>
      </c>
      <c r="S485">
        <f>OR(Q485&gt;=R485,AND(B485="CW",COUNT(J485:L485)&lt;3))</f>
        <v/>
      </c>
      <c r="T485" t="n">
        <v>0.3371890386828246</v>
      </c>
      <c r="U485" t="n">
        <v>8.496687676707928</v>
      </c>
      <c r="V485" t="n">
        <v>0.6100169377225949</v>
      </c>
      <c r="W485">
        <f>Q485-V485</f>
        <v/>
      </c>
    </row>
    <row r="486">
      <c r="A486" t="inlineStr">
        <is>
          <t>2024-03-21</t>
        </is>
      </c>
      <c r="B486" t="inlineStr">
        <is>
          <t>NW</t>
        </is>
      </c>
      <c r="C486" t="n">
        <v>33.91893096974032</v>
      </c>
      <c r="D486">
        <f>SUMPRODUCT(Risk_Inputs!B486:AJ486,Risk_Coefs!$B$2:$AJ$2)</f>
        <v/>
      </c>
      <c r="E486">
        <f>1/(1+EXP(-MAX(-25,MIN(25,D486))))</f>
        <v/>
      </c>
      <c r="F486">
        <f>SUMPRODUCT(Risk_Inputs!B486:AJ486,Risk_Coefs!$B$3:$AJ$3)</f>
        <v/>
      </c>
      <c r="G486">
        <f>MAX(0,F486)</f>
        <v/>
      </c>
      <c r="H486">
        <f>(SUMPRODUCT(--ISNUMBER($E$2:$E$800),--($E$2:$E$800&lt;E486))+(SUMPRODUCT(--ISNUMBER($E$2:$E$800),--($E$2:$E$800=E486))+1)/2)/COUNT($E$2:$E$800)</f>
        <v/>
      </c>
      <c r="I486">
        <f>(SUMPRODUCT(--ISNUMBER($G$2:$G$800),--($G$2:$G$800&lt;G486))+(SUMPRODUCT(--ISNUMBER($G$2:$G$800),--($G$2:$G$800=G486))+1)/2)/COUNT($G$2:$G$800)</f>
        <v/>
      </c>
      <c r="M486">
        <f>IF(OR(B486="NW",COUNT(Risk_Rank_Keys!B486)=0),0.5,(SUMPRODUCT(--ISNUMBER(Risk_Rank_Keys!$B$2:$B$800),--(Risk_Rank_Keys!$B$2:$B$800&lt;Risk_Rank_Keys!B486))+(SUMPRODUCT(--ISNUMBER(Risk_Rank_Keys!$B$2:$B$800),--(Risk_Rank_Keys!$B$2:$B$800=Risk_Rank_Keys!B486))+1)/2)/COUNT(Risk_Rank_Keys!$B$2:$B$800))</f>
        <v/>
      </c>
      <c r="N486">
        <f>IF(OR(B486="NW",COUNT(Risk_Rank_Keys!C486)=0),0.5,(SUMPRODUCT(--ISNUMBER(Risk_Rank_Keys!$C$2:$C$800),--(Risk_Rank_Keys!$C$2:$C$800&lt;Risk_Rank_Keys!C486))+(SUMPRODUCT(--ISNUMBER(Risk_Rank_Keys!$C$2:$C$800),--(Risk_Rank_Keys!$C$2:$C$800=Risk_Rank_Keys!C486))+1)/2)/COUNT(Risk_Rank_Keys!$C$2:$C$800))</f>
        <v/>
      </c>
      <c r="O486">
        <f>IF(OR(B486="NW",COUNT(Risk_Rank_Keys!D486)=0),0.5,(SUMPRODUCT(--ISNUMBER(Risk_Rank_Keys!$D$2:$D$800),--(Risk_Rank_Keys!$D$2:$D$800&lt;Risk_Rank_Keys!D486))+(SUMPRODUCT(--ISNUMBER(Risk_Rank_Keys!$D$2:$D$800),--(Risk_Rank_Keys!$D$2:$D$800=Risk_Rank_Keys!D486))+1)/2)/COUNT(Risk_Rank_Keys!$D$2:$D$800))</f>
        <v/>
      </c>
      <c r="P486">
        <f>AVERAGE(M486:O486)</f>
        <v/>
      </c>
      <c r="Q486">
        <f>0.4*H486+0.4*I486+0.2*P486</f>
        <v/>
      </c>
      <c r="R486">
        <f>PERCENTILE($Q$2:$Q$800,0.75)</f>
        <v/>
      </c>
      <c r="S486">
        <f>OR(Q486&gt;=R486,AND(B486="CW",COUNT(J486:L486)&lt;3))</f>
        <v/>
      </c>
      <c r="T486" t="n">
        <v>0.3205642797401509</v>
      </c>
      <c r="U486" t="n">
        <v>8.801146867371301</v>
      </c>
      <c r="V486" t="n">
        <v>0.6296620775969962</v>
      </c>
      <c r="W486">
        <f>Q486-V486</f>
        <v/>
      </c>
    </row>
    <row r="487">
      <c r="A487" t="inlineStr">
        <is>
          <t>2024-03-26</t>
        </is>
      </c>
      <c r="B487" t="inlineStr">
        <is>
          <t>CW</t>
        </is>
      </c>
      <c r="C487" t="n">
        <v>48.46007971964961</v>
      </c>
      <c r="D487">
        <f>SUMPRODUCT(Risk_Inputs!B487:AJ487,Risk_Coefs!$B$2:$AJ$2)</f>
        <v/>
      </c>
      <c r="E487">
        <f>1/(1+EXP(-MAX(-25,MIN(25,D487))))</f>
        <v/>
      </c>
      <c r="F487">
        <f>SUMPRODUCT(Risk_Inputs!B487:AJ487,Risk_Coefs!$B$3:$AJ$3)</f>
        <v/>
      </c>
      <c r="G487">
        <f>MAX(0,F487)</f>
        <v/>
      </c>
      <c r="H487">
        <f>(SUMPRODUCT(--ISNUMBER($E$2:$E$800),--($E$2:$E$800&lt;E487))+(SUMPRODUCT(--ISNUMBER($E$2:$E$800),--($E$2:$E$800=E487))+1)/2)/COUNT($E$2:$E$800)</f>
        <v/>
      </c>
      <c r="I487">
        <f>(SUMPRODUCT(--ISNUMBER($G$2:$G$800),--($G$2:$G$800&lt;G487))+(SUMPRODUCT(--ISNUMBER($G$2:$G$800),--($G$2:$G$800=G487))+1)/2)/COUNT($G$2:$G$800)</f>
        <v/>
      </c>
      <c r="J487" t="n">
        <v>4.703466771589168</v>
      </c>
      <c r="K487" t="n">
        <v>3.091223519239073</v>
      </c>
      <c r="L487" t="n">
        <v>0.1945525291828806</v>
      </c>
      <c r="M487">
        <f>IF(OR(B487="NW",COUNT(Risk_Rank_Keys!B487)=0),0.5,(SUMPRODUCT(--ISNUMBER(Risk_Rank_Keys!$B$2:$B$800),--(Risk_Rank_Keys!$B$2:$B$800&lt;Risk_Rank_Keys!B487))+(SUMPRODUCT(--ISNUMBER(Risk_Rank_Keys!$B$2:$B$800),--(Risk_Rank_Keys!$B$2:$B$800=Risk_Rank_Keys!B487))+1)/2)/COUNT(Risk_Rank_Keys!$B$2:$B$800))</f>
        <v/>
      </c>
      <c r="N487">
        <f>IF(OR(B487="NW",COUNT(Risk_Rank_Keys!C487)=0),0.5,(SUMPRODUCT(--ISNUMBER(Risk_Rank_Keys!$C$2:$C$800),--(Risk_Rank_Keys!$C$2:$C$800&lt;Risk_Rank_Keys!C487))+(SUMPRODUCT(--ISNUMBER(Risk_Rank_Keys!$C$2:$C$800),--(Risk_Rank_Keys!$C$2:$C$800=Risk_Rank_Keys!C487))+1)/2)/COUNT(Risk_Rank_Keys!$C$2:$C$800))</f>
        <v/>
      </c>
      <c r="O487">
        <f>IF(OR(B487="NW",COUNT(Risk_Rank_Keys!D487)=0),0.5,(SUMPRODUCT(--ISNUMBER(Risk_Rank_Keys!$D$2:$D$800),--(Risk_Rank_Keys!$D$2:$D$800&lt;Risk_Rank_Keys!D487))+(SUMPRODUCT(--ISNUMBER(Risk_Rank_Keys!$D$2:$D$800),--(Risk_Rank_Keys!$D$2:$D$800=Risk_Rank_Keys!D487))+1)/2)/COUNT(Risk_Rank_Keys!$D$2:$D$800))</f>
        <v/>
      </c>
      <c r="P487">
        <f>AVERAGE(M487:O487)</f>
        <v/>
      </c>
      <c r="Q487">
        <f>0.4*H487+0.4*I487+0.2*P487</f>
        <v/>
      </c>
      <c r="R487">
        <f>PERCENTILE($Q$2:$Q$800,0.75)</f>
        <v/>
      </c>
      <c r="S487">
        <f>OR(Q487&gt;=R487,AND(B487="CW",COUNT(J487:L487)&lt;3))</f>
        <v/>
      </c>
      <c r="T487" t="n">
        <v>0.263071225830139</v>
      </c>
      <c r="U487" t="n">
        <v>5.352593163685651</v>
      </c>
      <c r="V487" t="n">
        <v>0.2728809663869702</v>
      </c>
      <c r="W487">
        <f>Q487-V487</f>
        <v/>
      </c>
    </row>
    <row r="488">
      <c r="A488" t="inlineStr">
        <is>
          <t>2024-03-27</t>
        </is>
      </c>
      <c r="B488" t="inlineStr">
        <is>
          <t>CW</t>
        </is>
      </c>
      <c r="C488" t="n">
        <v>36.57810382960984</v>
      </c>
      <c r="D488">
        <f>SUMPRODUCT(Risk_Inputs!B488:AJ488,Risk_Coefs!$B$2:$AJ$2)</f>
        <v/>
      </c>
      <c r="E488">
        <f>1/(1+EXP(-MAX(-25,MIN(25,D488))))</f>
        <v/>
      </c>
      <c r="F488">
        <f>SUMPRODUCT(Risk_Inputs!B488:AJ488,Risk_Coefs!$B$3:$AJ$3)</f>
        <v/>
      </c>
      <c r="G488">
        <f>MAX(0,F488)</f>
        <v/>
      </c>
      <c r="H488">
        <f>(SUMPRODUCT(--ISNUMBER($E$2:$E$800),--($E$2:$E$800&lt;E488))+(SUMPRODUCT(--ISNUMBER($E$2:$E$800),--($E$2:$E$800=E488))+1)/2)/COUNT($E$2:$E$800)</f>
        <v/>
      </c>
      <c r="I488">
        <f>(SUMPRODUCT(--ISNUMBER($G$2:$G$800),--($G$2:$G$800&lt;G488))+(SUMPRODUCT(--ISNUMBER($G$2:$G$800),--($G$2:$G$800=G488))+1)/2)/COUNT($G$2:$G$800)</f>
        <v/>
      </c>
      <c r="J488" t="n">
        <v>5.659245509388688</v>
      </c>
      <c r="K488" t="n">
        <v>1.994870333428328</v>
      </c>
      <c r="L488" t="n">
        <v>0.1994870333428214</v>
      </c>
      <c r="M488">
        <f>IF(OR(B488="NW",COUNT(Risk_Rank_Keys!B488)=0),0.5,(SUMPRODUCT(--ISNUMBER(Risk_Rank_Keys!$B$2:$B$800),--(Risk_Rank_Keys!$B$2:$B$800&lt;Risk_Rank_Keys!B488))+(SUMPRODUCT(--ISNUMBER(Risk_Rank_Keys!$B$2:$B$800),--(Risk_Rank_Keys!$B$2:$B$800=Risk_Rank_Keys!B488))+1)/2)/COUNT(Risk_Rank_Keys!$B$2:$B$800))</f>
        <v/>
      </c>
      <c r="N488">
        <f>IF(OR(B488="NW",COUNT(Risk_Rank_Keys!C488)=0),0.5,(SUMPRODUCT(--ISNUMBER(Risk_Rank_Keys!$C$2:$C$800),--(Risk_Rank_Keys!$C$2:$C$800&lt;Risk_Rank_Keys!C488))+(SUMPRODUCT(--ISNUMBER(Risk_Rank_Keys!$C$2:$C$800),--(Risk_Rank_Keys!$C$2:$C$800=Risk_Rank_Keys!C488))+1)/2)/COUNT(Risk_Rank_Keys!$C$2:$C$800))</f>
        <v/>
      </c>
      <c r="O488">
        <f>IF(OR(B488="NW",COUNT(Risk_Rank_Keys!D488)=0),0.5,(SUMPRODUCT(--ISNUMBER(Risk_Rank_Keys!$D$2:$D$800),--(Risk_Rank_Keys!$D$2:$D$800&lt;Risk_Rank_Keys!D488))+(SUMPRODUCT(--ISNUMBER(Risk_Rank_Keys!$D$2:$D$800),--(Risk_Rank_Keys!$D$2:$D$800=Risk_Rank_Keys!D488))+1)/2)/COUNT(Risk_Rank_Keys!$D$2:$D$800))</f>
        <v/>
      </c>
      <c r="P488">
        <f>AVERAGE(M488:O488)</f>
        <v/>
      </c>
      <c r="Q488">
        <f>0.4*H488+0.4*I488+0.2*P488</f>
        <v/>
      </c>
      <c r="R488">
        <f>PERCENTILE($Q$2:$Q$800,0.75)</f>
        <v/>
      </c>
      <c r="S488">
        <f>OR(Q488&gt;=R488,AND(B488="CW",COUNT(J488:L488)&lt;3))</f>
        <v/>
      </c>
      <c r="T488" t="n">
        <v>0.3026049592014209</v>
      </c>
      <c r="U488" t="n">
        <v>8.502600436536328</v>
      </c>
      <c r="V488" t="n">
        <v>0.5251386408743146</v>
      </c>
      <c r="W488">
        <f>Q488-V488</f>
        <v/>
      </c>
    </row>
    <row r="489">
      <c r="A489" t="inlineStr">
        <is>
          <t>2024-03-28</t>
        </is>
      </c>
      <c r="B489" t="inlineStr">
        <is>
          <t>CW</t>
        </is>
      </c>
      <c r="C489" t="n">
        <v>-29.72280814209552</v>
      </c>
      <c r="D489">
        <f>SUMPRODUCT(Risk_Inputs!B489:AJ489,Risk_Coefs!$B$2:$AJ$2)</f>
        <v/>
      </c>
      <c r="E489">
        <f>1/(1+EXP(-MAX(-25,MIN(25,D489))))</f>
        <v/>
      </c>
      <c r="F489">
        <f>SUMPRODUCT(Risk_Inputs!B489:AJ489,Risk_Coefs!$B$3:$AJ$3)</f>
        <v/>
      </c>
      <c r="G489">
        <f>MAX(0,F489)</f>
        <v/>
      </c>
      <c r="H489">
        <f>(SUMPRODUCT(--ISNUMBER($E$2:$E$800),--($E$2:$E$800&lt;E489))+(SUMPRODUCT(--ISNUMBER($E$2:$E$800),--($E$2:$E$800=E489))+1)/2)/COUNT($E$2:$E$800)</f>
        <v/>
      </c>
      <c r="I489">
        <f>(SUMPRODUCT(--ISNUMBER($G$2:$G$800),--($G$2:$G$800&lt;G489))+(SUMPRODUCT(--ISNUMBER($G$2:$G$800),--($G$2:$G$800=G489))+1)/2)/COUNT($G$2:$G$800)</f>
        <v/>
      </c>
      <c r="J489" t="n">
        <v>12.99679113708315</v>
      </c>
      <c r="K489" t="n">
        <v>9.120521172638448</v>
      </c>
      <c r="L489" t="n">
        <v>0.0930665425779445</v>
      </c>
      <c r="M489">
        <f>IF(OR(B489="NW",COUNT(Risk_Rank_Keys!B489)=0),0.5,(SUMPRODUCT(--ISNUMBER(Risk_Rank_Keys!$B$2:$B$800),--(Risk_Rank_Keys!$B$2:$B$800&lt;Risk_Rank_Keys!B489))+(SUMPRODUCT(--ISNUMBER(Risk_Rank_Keys!$B$2:$B$800),--(Risk_Rank_Keys!$B$2:$B$800=Risk_Rank_Keys!B489))+1)/2)/COUNT(Risk_Rank_Keys!$B$2:$B$800))</f>
        <v/>
      </c>
      <c r="N489">
        <f>IF(OR(B489="NW",COUNT(Risk_Rank_Keys!C489)=0),0.5,(SUMPRODUCT(--ISNUMBER(Risk_Rank_Keys!$C$2:$C$800),--(Risk_Rank_Keys!$C$2:$C$800&lt;Risk_Rank_Keys!C489))+(SUMPRODUCT(--ISNUMBER(Risk_Rank_Keys!$C$2:$C$800),--(Risk_Rank_Keys!$C$2:$C$800=Risk_Rank_Keys!C489))+1)/2)/COUNT(Risk_Rank_Keys!$C$2:$C$800))</f>
        <v/>
      </c>
      <c r="O489">
        <f>IF(OR(B489="NW",COUNT(Risk_Rank_Keys!D489)=0),0.5,(SUMPRODUCT(--ISNUMBER(Risk_Rank_Keys!$D$2:$D$800),--(Risk_Rank_Keys!$D$2:$D$800&lt;Risk_Rank_Keys!D489))+(SUMPRODUCT(--ISNUMBER(Risk_Rank_Keys!$D$2:$D$800),--(Risk_Rank_Keys!$D$2:$D$800=Risk_Rank_Keys!D489))+1)/2)/COUNT(Risk_Rank_Keys!$D$2:$D$800))</f>
        <v/>
      </c>
      <c r="P489">
        <f>AVERAGE(M489:O489)</f>
        <v/>
      </c>
      <c r="Q489">
        <f>0.4*H489+0.4*I489+0.2*P489</f>
        <v/>
      </c>
      <c r="R489">
        <f>PERCENTILE($Q$2:$Q$800,0.75)</f>
        <v/>
      </c>
      <c r="S489">
        <f>OR(Q489&gt;=R489,AND(B489="CW",COUNT(J489:L489)&lt;3))</f>
        <v/>
      </c>
      <c r="T489" t="n">
        <v>0.3314393169371804</v>
      </c>
      <c r="U489" t="n">
        <v>11.13056678574005</v>
      </c>
      <c r="V489" t="n">
        <v>0.7533274100761702</v>
      </c>
      <c r="W489">
        <f>Q489-V489</f>
        <v/>
      </c>
    </row>
    <row r="490">
      <c r="A490" t="inlineStr">
        <is>
          <t>2024-04-01</t>
        </is>
      </c>
      <c r="B490" t="inlineStr">
        <is>
          <t>CW</t>
        </is>
      </c>
      <c r="C490" t="n">
        <v>38.33961197115372</v>
      </c>
      <c r="D490">
        <f>SUMPRODUCT(Risk_Inputs!B490:AJ490,Risk_Coefs!$B$2:$AJ$2)</f>
        <v/>
      </c>
      <c r="E490">
        <f>1/(1+EXP(-MAX(-25,MIN(25,D490))))</f>
        <v/>
      </c>
      <c r="F490">
        <f>SUMPRODUCT(Risk_Inputs!B490:AJ490,Risk_Coefs!$B$3:$AJ$3)</f>
        <v/>
      </c>
      <c r="G490">
        <f>MAX(0,F490)</f>
        <v/>
      </c>
      <c r="H490">
        <f>(SUMPRODUCT(--ISNUMBER($E$2:$E$800),--($E$2:$E$800&lt;E490))+(SUMPRODUCT(--ISNUMBER($E$2:$E$800),--($E$2:$E$800=E490))+1)/2)/COUNT($E$2:$E$800)</f>
        <v/>
      </c>
      <c r="I490">
        <f>(SUMPRODUCT(--ISNUMBER($G$2:$G$800),--($G$2:$G$800&lt;G490))+(SUMPRODUCT(--ISNUMBER($G$2:$G$800),--($G$2:$G$800=G490))+1)/2)/COUNT($G$2:$G$800)</f>
        <v/>
      </c>
      <c r="J490" t="n">
        <v>11.15915128207913</v>
      </c>
      <c r="K490" t="n">
        <v>3.811357074109723</v>
      </c>
      <c r="L490" t="n">
        <v>0.2309913378248403</v>
      </c>
      <c r="M490">
        <f>IF(OR(B490="NW",COUNT(Risk_Rank_Keys!B490)=0),0.5,(SUMPRODUCT(--ISNUMBER(Risk_Rank_Keys!$B$2:$B$800),--(Risk_Rank_Keys!$B$2:$B$800&lt;Risk_Rank_Keys!B490))+(SUMPRODUCT(--ISNUMBER(Risk_Rank_Keys!$B$2:$B$800),--(Risk_Rank_Keys!$B$2:$B$800=Risk_Rank_Keys!B490))+1)/2)/COUNT(Risk_Rank_Keys!$B$2:$B$800))</f>
        <v/>
      </c>
      <c r="N490">
        <f>IF(OR(B490="NW",COUNT(Risk_Rank_Keys!C490)=0),0.5,(SUMPRODUCT(--ISNUMBER(Risk_Rank_Keys!$C$2:$C$800),--(Risk_Rank_Keys!$C$2:$C$800&lt;Risk_Rank_Keys!C490))+(SUMPRODUCT(--ISNUMBER(Risk_Rank_Keys!$C$2:$C$800),--(Risk_Rank_Keys!$C$2:$C$800=Risk_Rank_Keys!C490))+1)/2)/COUNT(Risk_Rank_Keys!$C$2:$C$800))</f>
        <v/>
      </c>
      <c r="O490">
        <f>IF(OR(B490="NW",COUNT(Risk_Rank_Keys!D490)=0),0.5,(SUMPRODUCT(--ISNUMBER(Risk_Rank_Keys!$D$2:$D$800),--(Risk_Rank_Keys!$D$2:$D$800&lt;Risk_Rank_Keys!D490))+(SUMPRODUCT(--ISNUMBER(Risk_Rank_Keys!$D$2:$D$800),--(Risk_Rank_Keys!$D$2:$D$800=Risk_Rank_Keys!D490))+1)/2)/COUNT(Risk_Rank_Keys!$D$2:$D$800))</f>
        <v/>
      </c>
      <c r="P490">
        <f>AVERAGE(M490:O490)</f>
        <v/>
      </c>
      <c r="Q490">
        <f>0.4*H490+0.4*I490+0.2*P490</f>
        <v/>
      </c>
      <c r="R490">
        <f>PERCENTILE($Q$2:$Q$800,0.75)</f>
        <v/>
      </c>
      <c r="S490">
        <f>OR(Q490&gt;=R490,AND(B490="CW",COUNT(J490:L490)&lt;3))</f>
        <v/>
      </c>
      <c r="T490" t="n">
        <v>0.2641481602461054</v>
      </c>
      <c r="U490" t="n">
        <v>7.567715144807412</v>
      </c>
      <c r="V490" t="n">
        <v>0.4490619085106965</v>
      </c>
      <c r="W490">
        <f>Q490-V490</f>
        <v/>
      </c>
    </row>
    <row r="491">
      <c r="A491" t="inlineStr">
        <is>
          <t>2024-04-02</t>
        </is>
      </c>
      <c r="B491" t="inlineStr">
        <is>
          <t>CW</t>
        </is>
      </c>
      <c r="C491" t="n">
        <v>15.29948764606487</v>
      </c>
      <c r="D491">
        <f>SUMPRODUCT(Risk_Inputs!B491:AJ491,Risk_Coefs!$B$2:$AJ$2)</f>
        <v/>
      </c>
      <c r="E491">
        <f>1/(1+EXP(-MAX(-25,MIN(25,D491))))</f>
        <v/>
      </c>
      <c r="F491">
        <f>SUMPRODUCT(Risk_Inputs!B491:AJ491,Risk_Coefs!$B$3:$AJ$3)</f>
        <v/>
      </c>
      <c r="G491">
        <f>MAX(0,F491)</f>
        <v/>
      </c>
      <c r="H491">
        <f>(SUMPRODUCT(--ISNUMBER($E$2:$E$800),--($E$2:$E$800&lt;E491))+(SUMPRODUCT(--ISNUMBER($E$2:$E$800),--($E$2:$E$800=E491))+1)/2)/COUNT($E$2:$E$800)</f>
        <v/>
      </c>
      <c r="I491">
        <f>(SUMPRODUCT(--ISNUMBER($G$2:$G$800),--($G$2:$G$800&lt;G491))+(SUMPRODUCT(--ISNUMBER($G$2:$G$800),--($G$2:$G$800=G491))+1)/2)/COUNT($G$2:$G$800)</f>
        <v/>
      </c>
      <c r="J491" t="n">
        <v>6.440742936355087</v>
      </c>
      <c r="K491" t="n">
        <v>2.241715399610134</v>
      </c>
      <c r="L491" t="n">
        <v>0.2680311890838193</v>
      </c>
      <c r="M491">
        <f>IF(OR(B491="NW",COUNT(Risk_Rank_Keys!B491)=0),0.5,(SUMPRODUCT(--ISNUMBER(Risk_Rank_Keys!$B$2:$B$800),--(Risk_Rank_Keys!$B$2:$B$800&lt;Risk_Rank_Keys!B491))+(SUMPRODUCT(--ISNUMBER(Risk_Rank_Keys!$B$2:$B$800),--(Risk_Rank_Keys!$B$2:$B$800=Risk_Rank_Keys!B491))+1)/2)/COUNT(Risk_Rank_Keys!$B$2:$B$800))</f>
        <v/>
      </c>
      <c r="N491">
        <f>IF(OR(B491="NW",COUNT(Risk_Rank_Keys!C491)=0),0.5,(SUMPRODUCT(--ISNUMBER(Risk_Rank_Keys!$C$2:$C$800),--(Risk_Rank_Keys!$C$2:$C$800&lt;Risk_Rank_Keys!C491))+(SUMPRODUCT(--ISNUMBER(Risk_Rank_Keys!$C$2:$C$800),--(Risk_Rank_Keys!$C$2:$C$800=Risk_Rank_Keys!C491))+1)/2)/COUNT(Risk_Rank_Keys!$C$2:$C$800))</f>
        <v/>
      </c>
      <c r="O491">
        <f>IF(OR(B491="NW",COUNT(Risk_Rank_Keys!D491)=0),0.5,(SUMPRODUCT(--ISNUMBER(Risk_Rank_Keys!$D$2:$D$800),--(Risk_Rank_Keys!$D$2:$D$800&lt;Risk_Rank_Keys!D491))+(SUMPRODUCT(--ISNUMBER(Risk_Rank_Keys!$D$2:$D$800),--(Risk_Rank_Keys!$D$2:$D$800=Risk_Rank_Keys!D491))+1)/2)/COUNT(Risk_Rank_Keys!$D$2:$D$800))</f>
        <v/>
      </c>
      <c r="P491">
        <f>AVERAGE(M491:O491)</f>
        <v/>
      </c>
      <c r="Q491">
        <f>0.4*H491+0.4*I491+0.2*P491</f>
        <v/>
      </c>
      <c r="R491">
        <f>PERCENTILE($Q$2:$Q$800,0.75)</f>
        <v/>
      </c>
      <c r="S491">
        <f>OR(Q491&gt;=R491,AND(B491="CW",COUNT(J491:L491)&lt;3))</f>
        <v/>
      </c>
      <c r="T491" t="n">
        <v>0.2284179865830445</v>
      </c>
      <c r="U491" t="n">
        <v>3.843955605665599</v>
      </c>
      <c r="V491" t="n">
        <v>0.1686954113376263</v>
      </c>
      <c r="W491">
        <f>Q491-V491</f>
        <v/>
      </c>
    </row>
    <row r="492">
      <c r="A492" t="inlineStr">
        <is>
          <t>2024-04-03</t>
        </is>
      </c>
      <c r="B492" t="inlineStr">
        <is>
          <t>CW</t>
        </is>
      </c>
      <c r="C492" t="n">
        <v>18.7769110128508</v>
      </c>
      <c r="D492">
        <f>SUMPRODUCT(Risk_Inputs!B492:AJ492,Risk_Coefs!$B$2:$AJ$2)</f>
        <v/>
      </c>
      <c r="E492">
        <f>1/(1+EXP(-MAX(-25,MIN(25,D492))))</f>
        <v/>
      </c>
      <c r="F492">
        <f>SUMPRODUCT(Risk_Inputs!B492:AJ492,Risk_Coefs!$B$3:$AJ$3)</f>
        <v/>
      </c>
      <c r="G492">
        <f>MAX(0,F492)</f>
        <v/>
      </c>
      <c r="H492">
        <f>(SUMPRODUCT(--ISNUMBER($E$2:$E$800),--($E$2:$E$800&lt;E492))+(SUMPRODUCT(--ISNUMBER($E$2:$E$800),--($E$2:$E$800=E492))+1)/2)/COUNT($E$2:$E$800)</f>
        <v/>
      </c>
      <c r="I492">
        <f>(SUMPRODUCT(--ISNUMBER($G$2:$G$800),--($G$2:$G$800&lt;G492))+(SUMPRODUCT(--ISNUMBER($G$2:$G$800),--($G$2:$G$800=G492))+1)/2)/COUNT($G$2:$G$800)</f>
        <v/>
      </c>
      <c r="J492" t="n">
        <v>5.123615616959716</v>
      </c>
      <c r="K492" t="n">
        <v>2.75376240794109</v>
      </c>
      <c r="L492" t="n">
        <v>0.1601024655779699</v>
      </c>
      <c r="M492">
        <f>IF(OR(B492="NW",COUNT(Risk_Rank_Keys!B492)=0),0.5,(SUMPRODUCT(--ISNUMBER(Risk_Rank_Keys!$B$2:$B$800),--(Risk_Rank_Keys!$B$2:$B$800&lt;Risk_Rank_Keys!B492))+(SUMPRODUCT(--ISNUMBER(Risk_Rank_Keys!$B$2:$B$800),--(Risk_Rank_Keys!$B$2:$B$800=Risk_Rank_Keys!B492))+1)/2)/COUNT(Risk_Rank_Keys!$B$2:$B$800))</f>
        <v/>
      </c>
      <c r="N492">
        <f>IF(OR(B492="NW",COUNT(Risk_Rank_Keys!C492)=0),0.5,(SUMPRODUCT(--ISNUMBER(Risk_Rank_Keys!$C$2:$C$800),--(Risk_Rank_Keys!$C$2:$C$800&lt;Risk_Rank_Keys!C492))+(SUMPRODUCT(--ISNUMBER(Risk_Rank_Keys!$C$2:$C$800),--(Risk_Rank_Keys!$C$2:$C$800=Risk_Rank_Keys!C492))+1)/2)/COUNT(Risk_Rank_Keys!$C$2:$C$800))</f>
        <v/>
      </c>
      <c r="O492">
        <f>IF(OR(B492="NW",COUNT(Risk_Rank_Keys!D492)=0),0.5,(SUMPRODUCT(--ISNUMBER(Risk_Rank_Keys!$D$2:$D$800),--(Risk_Rank_Keys!$D$2:$D$800&lt;Risk_Rank_Keys!D492))+(SUMPRODUCT(--ISNUMBER(Risk_Rank_Keys!$D$2:$D$800),--(Risk_Rank_Keys!$D$2:$D$800=Risk_Rank_Keys!D492))+1)/2)/COUNT(Risk_Rank_Keys!$D$2:$D$800))</f>
        <v/>
      </c>
      <c r="P492">
        <f>AVERAGE(M492:O492)</f>
        <v/>
      </c>
      <c r="Q492">
        <f>0.4*H492+0.4*I492+0.2*P492</f>
        <v/>
      </c>
      <c r="R492">
        <f>PERCENTILE($Q$2:$Q$800,0.75)</f>
        <v/>
      </c>
      <c r="S492">
        <f>OR(Q492&gt;=R492,AND(B492="CW",COUNT(J492:L492)&lt;3))</f>
        <v/>
      </c>
      <c r="T492" t="n">
        <v>0.2893289871357088</v>
      </c>
      <c r="U492" t="n">
        <v>6.577298699538858</v>
      </c>
      <c r="V492" t="n">
        <v>0.3994527096574111</v>
      </c>
      <c r="W492">
        <f>Q492-V492</f>
        <v/>
      </c>
    </row>
    <row r="493">
      <c r="A493" t="inlineStr">
        <is>
          <t>2024-04-05</t>
        </is>
      </c>
      <c r="B493" t="inlineStr">
        <is>
          <t>CW</t>
        </is>
      </c>
      <c r="C493" t="n">
        <v>25.38465254399163</v>
      </c>
      <c r="D493">
        <f>SUMPRODUCT(Risk_Inputs!B493:AJ493,Risk_Coefs!$B$2:$AJ$2)</f>
        <v/>
      </c>
      <c r="E493">
        <f>1/(1+EXP(-MAX(-25,MIN(25,D493))))</f>
        <v/>
      </c>
      <c r="F493">
        <f>SUMPRODUCT(Risk_Inputs!B493:AJ493,Risk_Coefs!$B$3:$AJ$3)</f>
        <v/>
      </c>
      <c r="G493">
        <f>MAX(0,F493)</f>
        <v/>
      </c>
      <c r="H493">
        <f>(SUMPRODUCT(--ISNUMBER($E$2:$E$800),--($E$2:$E$800&lt;E493))+(SUMPRODUCT(--ISNUMBER($E$2:$E$800),--($E$2:$E$800=E493))+1)/2)/COUNT($E$2:$E$800)</f>
        <v/>
      </c>
      <c r="I493">
        <f>(SUMPRODUCT(--ISNUMBER($G$2:$G$800),--($G$2:$G$800&lt;G493))+(SUMPRODUCT(--ISNUMBER($G$2:$G$800),--($G$2:$G$800=G493))+1)/2)/COUNT($G$2:$G$800)</f>
        <v/>
      </c>
      <c r="J493" t="n">
        <v>45.77295545982224</v>
      </c>
      <c r="K493" t="n">
        <v>10.06493506493507</v>
      </c>
      <c r="L493" t="n">
        <v>0.2291825821237564</v>
      </c>
      <c r="M493">
        <f>IF(OR(B493="NW",COUNT(Risk_Rank_Keys!B493)=0),0.5,(SUMPRODUCT(--ISNUMBER(Risk_Rank_Keys!$B$2:$B$800),--(Risk_Rank_Keys!$B$2:$B$800&lt;Risk_Rank_Keys!B493))+(SUMPRODUCT(--ISNUMBER(Risk_Rank_Keys!$B$2:$B$800),--(Risk_Rank_Keys!$B$2:$B$800=Risk_Rank_Keys!B493))+1)/2)/COUNT(Risk_Rank_Keys!$B$2:$B$800))</f>
        <v/>
      </c>
      <c r="N493">
        <f>IF(OR(B493="NW",COUNT(Risk_Rank_Keys!C493)=0),0.5,(SUMPRODUCT(--ISNUMBER(Risk_Rank_Keys!$C$2:$C$800),--(Risk_Rank_Keys!$C$2:$C$800&lt;Risk_Rank_Keys!C493))+(SUMPRODUCT(--ISNUMBER(Risk_Rank_Keys!$C$2:$C$800),--(Risk_Rank_Keys!$C$2:$C$800=Risk_Rank_Keys!C493))+1)/2)/COUNT(Risk_Rank_Keys!$C$2:$C$800))</f>
        <v/>
      </c>
      <c r="O493">
        <f>IF(OR(B493="NW",COUNT(Risk_Rank_Keys!D493)=0),0.5,(SUMPRODUCT(--ISNUMBER(Risk_Rank_Keys!$D$2:$D$800),--(Risk_Rank_Keys!$D$2:$D$800&lt;Risk_Rank_Keys!D493))+(SUMPRODUCT(--ISNUMBER(Risk_Rank_Keys!$D$2:$D$800),--(Risk_Rank_Keys!$D$2:$D$800=Risk_Rank_Keys!D493))+1)/2)/COUNT(Risk_Rank_Keys!$D$2:$D$800))</f>
        <v/>
      </c>
      <c r="P493">
        <f>AVERAGE(M493:O493)</f>
        <v/>
      </c>
      <c r="Q493">
        <f>0.4*H493+0.4*I493+0.2*P493</f>
        <v/>
      </c>
      <c r="R493">
        <f>PERCENTILE($Q$2:$Q$800,0.75)</f>
        <v/>
      </c>
      <c r="S493">
        <f>OR(Q493&gt;=R493,AND(B493="CW",COUNT(J493:L493)&lt;3))</f>
        <v/>
      </c>
      <c r="T493" t="n">
        <v>0.1332354659548585</v>
      </c>
      <c r="U493" t="n">
        <v>2.369340819001013</v>
      </c>
      <c r="V493" t="n">
        <v>0.1652749339743019</v>
      </c>
      <c r="W493">
        <f>Q493-V493</f>
        <v/>
      </c>
    </row>
    <row r="494">
      <c r="A494" t="inlineStr">
        <is>
          <t>2024-04-08</t>
        </is>
      </c>
      <c r="B494" t="inlineStr">
        <is>
          <t>CW</t>
        </is>
      </c>
      <c r="C494" t="n">
        <v>11.53593830422715</v>
      </c>
      <c r="D494">
        <f>SUMPRODUCT(Risk_Inputs!B494:AJ494,Risk_Coefs!$B$2:$AJ$2)</f>
        <v/>
      </c>
      <c r="E494">
        <f>1/(1+EXP(-MAX(-25,MIN(25,D494))))</f>
        <v/>
      </c>
      <c r="F494">
        <f>SUMPRODUCT(Risk_Inputs!B494:AJ494,Risk_Coefs!$B$3:$AJ$3)</f>
        <v/>
      </c>
      <c r="G494">
        <f>MAX(0,F494)</f>
        <v/>
      </c>
      <c r="H494">
        <f>(SUMPRODUCT(--ISNUMBER($E$2:$E$800),--($E$2:$E$800&lt;E494))+(SUMPRODUCT(--ISNUMBER($E$2:$E$800),--($E$2:$E$800=E494))+1)/2)/COUNT($E$2:$E$800)</f>
        <v/>
      </c>
      <c r="I494">
        <f>(SUMPRODUCT(--ISNUMBER($G$2:$G$800),--($G$2:$G$800&lt;G494))+(SUMPRODUCT(--ISNUMBER($G$2:$G$800),--($G$2:$G$800=G494))+1)/2)/COUNT($G$2:$G$800)</f>
        <v/>
      </c>
      <c r="J494" t="n">
        <v>5.932327198835428</v>
      </c>
      <c r="K494" t="n">
        <v>1.616737993342833</v>
      </c>
      <c r="L494" t="n">
        <v>0.2377555872563005</v>
      </c>
      <c r="M494">
        <f>IF(OR(B494="NW",COUNT(Risk_Rank_Keys!B494)=0),0.5,(SUMPRODUCT(--ISNUMBER(Risk_Rank_Keys!$B$2:$B$800),--(Risk_Rank_Keys!$B$2:$B$800&lt;Risk_Rank_Keys!B494))+(SUMPRODUCT(--ISNUMBER(Risk_Rank_Keys!$B$2:$B$800),--(Risk_Rank_Keys!$B$2:$B$800=Risk_Rank_Keys!B494))+1)/2)/COUNT(Risk_Rank_Keys!$B$2:$B$800))</f>
        <v/>
      </c>
      <c r="N494">
        <f>IF(OR(B494="NW",COUNT(Risk_Rank_Keys!C494)=0),0.5,(SUMPRODUCT(--ISNUMBER(Risk_Rank_Keys!$C$2:$C$800),--(Risk_Rank_Keys!$C$2:$C$800&lt;Risk_Rank_Keys!C494))+(SUMPRODUCT(--ISNUMBER(Risk_Rank_Keys!$C$2:$C$800),--(Risk_Rank_Keys!$C$2:$C$800=Risk_Rank_Keys!C494))+1)/2)/COUNT(Risk_Rank_Keys!$C$2:$C$800))</f>
        <v/>
      </c>
      <c r="O494">
        <f>IF(OR(B494="NW",COUNT(Risk_Rank_Keys!D494)=0),0.5,(SUMPRODUCT(--ISNUMBER(Risk_Rank_Keys!$D$2:$D$800),--(Risk_Rank_Keys!$D$2:$D$800&lt;Risk_Rank_Keys!D494))+(SUMPRODUCT(--ISNUMBER(Risk_Rank_Keys!$D$2:$D$800),--(Risk_Rank_Keys!$D$2:$D$800=Risk_Rank_Keys!D494))+1)/2)/COUNT(Risk_Rank_Keys!$D$2:$D$800))</f>
        <v/>
      </c>
      <c r="P494">
        <f>AVERAGE(M494:O494)</f>
        <v/>
      </c>
      <c r="Q494">
        <f>0.4*H494+0.4*I494+0.2*P494</f>
        <v/>
      </c>
      <c r="R494">
        <f>PERCENTILE($Q$2:$Q$800,0.75)</f>
        <v/>
      </c>
      <c r="S494">
        <f>OR(Q494&gt;=R494,AND(B494="CW",COUNT(J494:L494)&lt;3))</f>
        <v/>
      </c>
      <c r="T494" t="n">
        <v>0.2835386343645117</v>
      </c>
      <c r="U494" t="n">
        <v>8.227105742800365</v>
      </c>
      <c r="V494" t="n">
        <v>0.4804263115970743</v>
      </c>
      <c r="W494">
        <f>Q494-V494</f>
        <v/>
      </c>
    </row>
    <row r="495">
      <c r="A495" t="inlineStr">
        <is>
          <t>2024-04-09</t>
        </is>
      </c>
      <c r="B495" t="inlineStr">
        <is>
          <t>CW</t>
        </is>
      </c>
      <c r="C495" t="n">
        <v>27.02212188488333</v>
      </c>
      <c r="D495">
        <f>SUMPRODUCT(Risk_Inputs!B495:AJ495,Risk_Coefs!$B$2:$AJ$2)</f>
        <v/>
      </c>
      <c r="E495">
        <f>1/(1+EXP(-MAX(-25,MIN(25,D495))))</f>
        <v/>
      </c>
      <c r="F495">
        <f>SUMPRODUCT(Risk_Inputs!B495:AJ495,Risk_Coefs!$B$3:$AJ$3)</f>
        <v/>
      </c>
      <c r="G495">
        <f>MAX(0,F495)</f>
        <v/>
      </c>
      <c r="H495">
        <f>(SUMPRODUCT(--ISNUMBER($E$2:$E$800),--($E$2:$E$800&lt;E495))+(SUMPRODUCT(--ISNUMBER($E$2:$E$800),--($E$2:$E$800=E495))+1)/2)/COUNT($E$2:$E$800)</f>
        <v/>
      </c>
      <c r="I495">
        <f>(SUMPRODUCT(--ISNUMBER($G$2:$G$800),--($G$2:$G$800&lt;G495))+(SUMPRODUCT(--ISNUMBER($G$2:$G$800),--($G$2:$G$800=G495))+1)/2)/COUNT($G$2:$G$800)</f>
        <v/>
      </c>
      <c r="J495" t="n">
        <v>6.16473945169046</v>
      </c>
      <c r="K495" t="n">
        <v>1.697007096575131</v>
      </c>
      <c r="L495" t="n">
        <v>0.2159827213822946</v>
      </c>
      <c r="M495">
        <f>IF(OR(B495="NW",COUNT(Risk_Rank_Keys!B495)=0),0.5,(SUMPRODUCT(--ISNUMBER(Risk_Rank_Keys!$B$2:$B$800),--(Risk_Rank_Keys!$B$2:$B$800&lt;Risk_Rank_Keys!B495))+(SUMPRODUCT(--ISNUMBER(Risk_Rank_Keys!$B$2:$B$800),--(Risk_Rank_Keys!$B$2:$B$800=Risk_Rank_Keys!B495))+1)/2)/COUNT(Risk_Rank_Keys!$B$2:$B$800))</f>
        <v/>
      </c>
      <c r="N495">
        <f>IF(OR(B495="NW",COUNT(Risk_Rank_Keys!C495)=0),0.5,(SUMPRODUCT(--ISNUMBER(Risk_Rank_Keys!$C$2:$C$800),--(Risk_Rank_Keys!$C$2:$C$800&lt;Risk_Rank_Keys!C495))+(SUMPRODUCT(--ISNUMBER(Risk_Rank_Keys!$C$2:$C$800),--(Risk_Rank_Keys!$C$2:$C$800=Risk_Rank_Keys!C495))+1)/2)/COUNT(Risk_Rank_Keys!$C$2:$C$800))</f>
        <v/>
      </c>
      <c r="O495">
        <f>IF(OR(B495="NW",COUNT(Risk_Rank_Keys!D495)=0),0.5,(SUMPRODUCT(--ISNUMBER(Risk_Rank_Keys!$D$2:$D$800),--(Risk_Rank_Keys!$D$2:$D$800&lt;Risk_Rank_Keys!D495))+(SUMPRODUCT(--ISNUMBER(Risk_Rank_Keys!$D$2:$D$800),--(Risk_Rank_Keys!$D$2:$D$800=Risk_Rank_Keys!D495))+1)/2)/COUNT(Risk_Rank_Keys!$D$2:$D$800))</f>
        <v/>
      </c>
      <c r="P495">
        <f>AVERAGE(M495:O495)</f>
        <v/>
      </c>
      <c r="Q495">
        <f>0.4*H495+0.4*I495+0.2*P495</f>
        <v/>
      </c>
      <c r="R495">
        <f>PERCENTILE($Q$2:$Q$800,0.75)</f>
        <v/>
      </c>
      <c r="S495">
        <f>OR(Q495&gt;=R495,AND(B495="CW",COUNT(J495:L495)&lt;3))</f>
        <v/>
      </c>
      <c r="T495" t="n">
        <v>0.3362782925725834</v>
      </c>
      <c r="U495" t="n">
        <v>8.934771146978427</v>
      </c>
      <c r="V495" t="n">
        <v>0.6300630320676299</v>
      </c>
      <c r="W495">
        <f>Q495-V495</f>
        <v/>
      </c>
    </row>
    <row r="496">
      <c r="A496" t="inlineStr">
        <is>
          <t>2024-04-12</t>
        </is>
      </c>
      <c r="B496" t="inlineStr">
        <is>
          <t>CW</t>
        </is>
      </c>
      <c r="C496" t="n">
        <v>26.3556859147595</v>
      </c>
      <c r="D496">
        <f>SUMPRODUCT(Risk_Inputs!B496:AJ496,Risk_Coefs!$B$2:$AJ$2)</f>
        <v/>
      </c>
      <c r="E496">
        <f>1/(1+EXP(-MAX(-25,MIN(25,D496))))</f>
        <v/>
      </c>
      <c r="F496">
        <f>SUMPRODUCT(Risk_Inputs!B496:AJ496,Risk_Coefs!$B$3:$AJ$3)</f>
        <v/>
      </c>
      <c r="G496">
        <f>MAX(0,F496)</f>
        <v/>
      </c>
      <c r="H496">
        <f>(SUMPRODUCT(--ISNUMBER($E$2:$E$800),--($E$2:$E$800&lt;E496))+(SUMPRODUCT(--ISNUMBER($E$2:$E$800),--($E$2:$E$800=E496))+1)/2)/COUNT($E$2:$E$800)</f>
        <v/>
      </c>
      <c r="I496">
        <f>(SUMPRODUCT(--ISNUMBER($G$2:$G$800),--($G$2:$G$800&lt;G496))+(SUMPRODUCT(--ISNUMBER($G$2:$G$800),--($G$2:$G$800=G496))+1)/2)/COUNT($G$2:$G$800)</f>
        <v/>
      </c>
      <c r="J496" t="n">
        <v>6.893726488647516</v>
      </c>
      <c r="K496" t="n">
        <v>2.132520944402141</v>
      </c>
      <c r="L496" t="n">
        <v>0.171363290175167</v>
      </c>
      <c r="M496">
        <f>IF(OR(B496="NW",COUNT(Risk_Rank_Keys!B496)=0),0.5,(SUMPRODUCT(--ISNUMBER(Risk_Rank_Keys!$B$2:$B$800),--(Risk_Rank_Keys!$B$2:$B$800&lt;Risk_Rank_Keys!B496))+(SUMPRODUCT(--ISNUMBER(Risk_Rank_Keys!$B$2:$B$800),--(Risk_Rank_Keys!$B$2:$B$800=Risk_Rank_Keys!B496))+1)/2)/COUNT(Risk_Rank_Keys!$B$2:$B$800))</f>
        <v/>
      </c>
      <c r="N496">
        <f>IF(OR(B496="NW",COUNT(Risk_Rank_Keys!C496)=0),0.5,(SUMPRODUCT(--ISNUMBER(Risk_Rank_Keys!$C$2:$C$800),--(Risk_Rank_Keys!$C$2:$C$800&lt;Risk_Rank_Keys!C496))+(SUMPRODUCT(--ISNUMBER(Risk_Rank_Keys!$C$2:$C$800),--(Risk_Rank_Keys!$C$2:$C$800=Risk_Rank_Keys!C496))+1)/2)/COUNT(Risk_Rank_Keys!$C$2:$C$800))</f>
        <v/>
      </c>
      <c r="O496">
        <f>IF(OR(B496="NW",COUNT(Risk_Rank_Keys!D496)=0),0.5,(SUMPRODUCT(--ISNUMBER(Risk_Rank_Keys!$D$2:$D$800),--(Risk_Rank_Keys!$D$2:$D$800&lt;Risk_Rank_Keys!D496))+(SUMPRODUCT(--ISNUMBER(Risk_Rank_Keys!$D$2:$D$800),--(Risk_Rank_Keys!$D$2:$D$800=Risk_Rank_Keys!D496))+1)/2)/COUNT(Risk_Rank_Keys!$D$2:$D$800))</f>
        <v/>
      </c>
      <c r="P496">
        <f>AVERAGE(M496:O496)</f>
        <v/>
      </c>
      <c r="Q496">
        <f>0.4*H496+0.4*I496+0.2*P496</f>
        <v/>
      </c>
      <c r="R496">
        <f>PERCENTILE($Q$2:$Q$800,0.75)</f>
        <v/>
      </c>
      <c r="S496">
        <f>OR(Q496&gt;=R496,AND(B496="CW",COUNT(J496:L496)&lt;3))</f>
        <v/>
      </c>
      <c r="T496" t="n">
        <v>0.2647597591880797</v>
      </c>
      <c r="U496" t="n">
        <v>6.549260134199981</v>
      </c>
      <c r="V496" t="n">
        <v>0.3382407926225774</v>
      </c>
      <c r="W496">
        <f>Q496-V496</f>
        <v/>
      </c>
    </row>
    <row r="497">
      <c r="A497" t="inlineStr">
        <is>
          <t>2024-04-15</t>
        </is>
      </c>
      <c r="B497" t="inlineStr">
        <is>
          <t>CW</t>
        </is>
      </c>
      <c r="C497" t="n">
        <v>29.36508940016193</v>
      </c>
      <c r="D497">
        <f>SUMPRODUCT(Risk_Inputs!B497:AJ497,Risk_Coefs!$B$2:$AJ$2)</f>
        <v/>
      </c>
      <c r="E497">
        <f>1/(1+EXP(-MAX(-25,MIN(25,D497))))</f>
        <v/>
      </c>
      <c r="F497">
        <f>SUMPRODUCT(Risk_Inputs!B497:AJ497,Risk_Coefs!$B$3:$AJ$3)</f>
        <v/>
      </c>
      <c r="G497">
        <f>MAX(0,F497)</f>
        <v/>
      </c>
      <c r="H497">
        <f>(SUMPRODUCT(--ISNUMBER($E$2:$E$800),--($E$2:$E$800&lt;E497))+(SUMPRODUCT(--ISNUMBER($E$2:$E$800),--($E$2:$E$800=E497))+1)/2)/COUNT($E$2:$E$800)</f>
        <v/>
      </c>
      <c r="I497">
        <f>(SUMPRODUCT(--ISNUMBER($G$2:$G$800),--($G$2:$G$800&lt;G497))+(SUMPRODUCT(--ISNUMBER($G$2:$G$800),--($G$2:$G$800=G497))+1)/2)/COUNT($G$2:$G$800)</f>
        <v/>
      </c>
      <c r="J497" t="n">
        <v>6.631906840690068</v>
      </c>
      <c r="K497" t="n">
        <v>3.616813294232649</v>
      </c>
      <c r="L497" t="n">
        <v>0.2150537634408647</v>
      </c>
      <c r="M497">
        <f>IF(OR(B497="NW",COUNT(Risk_Rank_Keys!B497)=0),0.5,(SUMPRODUCT(--ISNUMBER(Risk_Rank_Keys!$B$2:$B$800),--(Risk_Rank_Keys!$B$2:$B$800&lt;Risk_Rank_Keys!B497))+(SUMPRODUCT(--ISNUMBER(Risk_Rank_Keys!$B$2:$B$800),--(Risk_Rank_Keys!$B$2:$B$800=Risk_Rank_Keys!B497))+1)/2)/COUNT(Risk_Rank_Keys!$B$2:$B$800))</f>
        <v/>
      </c>
      <c r="N497">
        <f>IF(OR(B497="NW",COUNT(Risk_Rank_Keys!C497)=0),0.5,(SUMPRODUCT(--ISNUMBER(Risk_Rank_Keys!$C$2:$C$800),--(Risk_Rank_Keys!$C$2:$C$800&lt;Risk_Rank_Keys!C497))+(SUMPRODUCT(--ISNUMBER(Risk_Rank_Keys!$C$2:$C$800),--(Risk_Rank_Keys!$C$2:$C$800=Risk_Rank_Keys!C497))+1)/2)/COUNT(Risk_Rank_Keys!$C$2:$C$800))</f>
        <v/>
      </c>
      <c r="O497">
        <f>IF(OR(B497="NW",COUNT(Risk_Rank_Keys!D497)=0),0.5,(SUMPRODUCT(--ISNUMBER(Risk_Rank_Keys!$D$2:$D$800),--(Risk_Rank_Keys!$D$2:$D$800&lt;Risk_Rank_Keys!D497))+(SUMPRODUCT(--ISNUMBER(Risk_Rank_Keys!$D$2:$D$800),--(Risk_Rank_Keys!$D$2:$D$800=Risk_Rank_Keys!D497))+1)/2)/COUNT(Risk_Rank_Keys!$D$2:$D$800))</f>
        <v/>
      </c>
      <c r="P497">
        <f>AVERAGE(M497:O497)</f>
        <v/>
      </c>
      <c r="Q497">
        <f>0.4*H497+0.4*I497+0.2*P497</f>
        <v/>
      </c>
      <c r="R497">
        <f>PERCENTILE($Q$2:$Q$800,0.75)</f>
        <v/>
      </c>
      <c r="S497">
        <f>OR(Q497&gt;=R497,AND(B497="CW",COUNT(J497:L497)&lt;3))</f>
        <v/>
      </c>
      <c r="T497" t="n">
        <v>0.3421263454171561</v>
      </c>
      <c r="U497" t="n">
        <v>6.505704159379907</v>
      </c>
      <c r="V497" t="n">
        <v>0.5364121469828917</v>
      </c>
      <c r="W497">
        <f>Q497-V497</f>
        <v/>
      </c>
    </row>
    <row r="498">
      <c r="A498" t="inlineStr">
        <is>
          <t>2024-04-25</t>
        </is>
      </c>
      <c r="B498" t="inlineStr">
        <is>
          <t>CW</t>
        </is>
      </c>
      <c r="C498" t="n">
        <v>-39.84290146600426</v>
      </c>
      <c r="D498">
        <f>SUMPRODUCT(Risk_Inputs!B498:AJ498,Risk_Coefs!$B$2:$AJ$2)</f>
        <v/>
      </c>
      <c r="E498">
        <f>1/(1+EXP(-MAX(-25,MIN(25,D498))))</f>
        <v/>
      </c>
      <c r="F498">
        <f>SUMPRODUCT(Risk_Inputs!B498:AJ498,Risk_Coefs!$B$3:$AJ$3)</f>
        <v/>
      </c>
      <c r="G498">
        <f>MAX(0,F498)</f>
        <v/>
      </c>
      <c r="H498">
        <f>(SUMPRODUCT(--ISNUMBER($E$2:$E$800),--($E$2:$E$800&lt;E498))+(SUMPRODUCT(--ISNUMBER($E$2:$E$800),--($E$2:$E$800=E498))+1)/2)/COUNT($E$2:$E$800)</f>
        <v/>
      </c>
      <c r="I498">
        <f>(SUMPRODUCT(--ISNUMBER($G$2:$G$800),--($G$2:$G$800&lt;G498))+(SUMPRODUCT(--ISNUMBER($G$2:$G$800),--($G$2:$G$800=G498))+1)/2)/COUNT($G$2:$G$800)</f>
        <v/>
      </c>
      <c r="J498" t="n">
        <v>13.74482892716419</v>
      </c>
      <c r="K498" t="n">
        <v>28.99252089749229</v>
      </c>
      <c r="L498" t="n">
        <v>0.3959524857017057</v>
      </c>
      <c r="M498">
        <f>IF(OR(B498="NW",COUNT(Risk_Rank_Keys!B498)=0),0.5,(SUMPRODUCT(--ISNUMBER(Risk_Rank_Keys!$B$2:$B$800),--(Risk_Rank_Keys!$B$2:$B$800&lt;Risk_Rank_Keys!B498))+(SUMPRODUCT(--ISNUMBER(Risk_Rank_Keys!$B$2:$B$800),--(Risk_Rank_Keys!$B$2:$B$800=Risk_Rank_Keys!B498))+1)/2)/COUNT(Risk_Rank_Keys!$B$2:$B$800))</f>
        <v/>
      </c>
      <c r="N498">
        <f>IF(OR(B498="NW",COUNT(Risk_Rank_Keys!C498)=0),0.5,(SUMPRODUCT(--ISNUMBER(Risk_Rank_Keys!$C$2:$C$800),--(Risk_Rank_Keys!$C$2:$C$800&lt;Risk_Rank_Keys!C498))+(SUMPRODUCT(--ISNUMBER(Risk_Rank_Keys!$C$2:$C$800),--(Risk_Rank_Keys!$C$2:$C$800=Risk_Rank_Keys!C498))+1)/2)/COUNT(Risk_Rank_Keys!$C$2:$C$800))</f>
        <v/>
      </c>
      <c r="O498">
        <f>IF(OR(B498="NW",COUNT(Risk_Rank_Keys!D498)=0),0.5,(SUMPRODUCT(--ISNUMBER(Risk_Rank_Keys!$D$2:$D$800),--(Risk_Rank_Keys!$D$2:$D$800&lt;Risk_Rank_Keys!D498))+(SUMPRODUCT(--ISNUMBER(Risk_Rank_Keys!$D$2:$D$800),--(Risk_Rank_Keys!$D$2:$D$800=Risk_Rank_Keys!D498))+1)/2)/COUNT(Risk_Rank_Keys!$D$2:$D$800))</f>
        <v/>
      </c>
      <c r="P498">
        <f>AVERAGE(M498:O498)</f>
        <v/>
      </c>
      <c r="Q498">
        <f>0.4*H498+0.4*I498+0.2*P498</f>
        <v/>
      </c>
      <c r="R498">
        <f>PERCENTILE($Q$2:$Q$800,0.75)</f>
        <v/>
      </c>
      <c r="S498">
        <f>OR(Q498&gt;=R498,AND(B498="CW",COUNT(J498:L498)&lt;3))</f>
        <v/>
      </c>
      <c r="T498" t="n">
        <v>0.249752044689011</v>
      </c>
      <c r="U498" t="n">
        <v>8.708784321796601</v>
      </c>
      <c r="V498" t="n">
        <v>0.5288016343069469</v>
      </c>
      <c r="W498">
        <f>Q498-V498</f>
        <v/>
      </c>
    </row>
    <row r="499">
      <c r="A499" t="inlineStr">
        <is>
          <t>2024-04-29</t>
        </is>
      </c>
      <c r="B499" t="inlineStr">
        <is>
          <t>CW</t>
        </is>
      </c>
      <c r="C499" t="n">
        <v>7.053598651473434</v>
      </c>
      <c r="D499">
        <f>SUMPRODUCT(Risk_Inputs!B499:AJ499,Risk_Coefs!$B$2:$AJ$2)</f>
        <v/>
      </c>
      <c r="E499">
        <f>1/(1+EXP(-MAX(-25,MIN(25,D499))))</f>
        <v/>
      </c>
      <c r="F499">
        <f>SUMPRODUCT(Risk_Inputs!B499:AJ499,Risk_Coefs!$B$3:$AJ$3)</f>
        <v/>
      </c>
      <c r="G499">
        <f>MAX(0,F499)</f>
        <v/>
      </c>
      <c r="H499">
        <f>(SUMPRODUCT(--ISNUMBER($E$2:$E$800),--($E$2:$E$800&lt;E499))+(SUMPRODUCT(--ISNUMBER($E$2:$E$800),--($E$2:$E$800=E499))+1)/2)/COUNT($E$2:$E$800)</f>
        <v/>
      </c>
      <c r="I499">
        <f>(SUMPRODUCT(--ISNUMBER($G$2:$G$800),--($G$2:$G$800&lt;G499))+(SUMPRODUCT(--ISNUMBER($G$2:$G$800),--($G$2:$G$800=G499))+1)/2)/COUNT($G$2:$G$800)</f>
        <v/>
      </c>
      <c r="J499" t="n">
        <v>3.637460520247509</v>
      </c>
      <c r="K499" t="n">
        <v>1.692708333333348</v>
      </c>
      <c r="L499" t="n">
        <v>0.1953125000000012</v>
      </c>
      <c r="M499">
        <f>IF(OR(B499="NW",COUNT(Risk_Rank_Keys!B499)=0),0.5,(SUMPRODUCT(--ISNUMBER(Risk_Rank_Keys!$B$2:$B$800),--(Risk_Rank_Keys!$B$2:$B$800&lt;Risk_Rank_Keys!B499))+(SUMPRODUCT(--ISNUMBER(Risk_Rank_Keys!$B$2:$B$800),--(Risk_Rank_Keys!$B$2:$B$800=Risk_Rank_Keys!B499))+1)/2)/COUNT(Risk_Rank_Keys!$B$2:$B$800))</f>
        <v/>
      </c>
      <c r="N499">
        <f>IF(OR(B499="NW",COUNT(Risk_Rank_Keys!C499)=0),0.5,(SUMPRODUCT(--ISNUMBER(Risk_Rank_Keys!$C$2:$C$800),--(Risk_Rank_Keys!$C$2:$C$800&lt;Risk_Rank_Keys!C499))+(SUMPRODUCT(--ISNUMBER(Risk_Rank_Keys!$C$2:$C$800),--(Risk_Rank_Keys!$C$2:$C$800=Risk_Rank_Keys!C499))+1)/2)/COUNT(Risk_Rank_Keys!$C$2:$C$800))</f>
        <v/>
      </c>
      <c r="O499">
        <f>IF(OR(B499="NW",COUNT(Risk_Rank_Keys!D499)=0),0.5,(SUMPRODUCT(--ISNUMBER(Risk_Rank_Keys!$D$2:$D$800),--(Risk_Rank_Keys!$D$2:$D$800&lt;Risk_Rank_Keys!D499))+(SUMPRODUCT(--ISNUMBER(Risk_Rank_Keys!$D$2:$D$800),--(Risk_Rank_Keys!$D$2:$D$800=Risk_Rank_Keys!D499))+1)/2)/COUNT(Risk_Rank_Keys!$D$2:$D$800))</f>
        <v/>
      </c>
      <c r="P499">
        <f>AVERAGE(M499:O499)</f>
        <v/>
      </c>
      <c r="Q499">
        <f>0.4*H499+0.4*I499+0.2*P499</f>
        <v/>
      </c>
      <c r="R499">
        <f>PERCENTILE($Q$2:$Q$800,0.75)</f>
        <v/>
      </c>
      <c r="S499">
        <f>OR(Q499&gt;=R499,AND(B499="CW",COUNT(J499:L499)&lt;3))</f>
        <v/>
      </c>
      <c r="T499" t="n">
        <v>0.2920789552913391</v>
      </c>
      <c r="U499" t="n">
        <v>8.205113678426116</v>
      </c>
      <c r="V499" t="n">
        <v>0.475697131875095</v>
      </c>
      <c r="W499">
        <f>Q499-V499</f>
        <v/>
      </c>
    </row>
    <row r="500">
      <c r="A500" t="inlineStr">
        <is>
          <t>2024-05-02</t>
        </is>
      </c>
      <c r="B500" t="inlineStr">
        <is>
          <t>CW</t>
        </is>
      </c>
      <c r="C500" t="n">
        <v>57.8206747207703</v>
      </c>
      <c r="D500">
        <f>SUMPRODUCT(Risk_Inputs!B500:AJ500,Risk_Coefs!$B$2:$AJ$2)</f>
        <v/>
      </c>
      <c r="E500">
        <f>1/(1+EXP(-MAX(-25,MIN(25,D500))))</f>
        <v/>
      </c>
      <c r="F500">
        <f>SUMPRODUCT(Risk_Inputs!B500:AJ500,Risk_Coefs!$B$3:$AJ$3)</f>
        <v/>
      </c>
      <c r="G500">
        <f>MAX(0,F500)</f>
        <v/>
      </c>
      <c r="H500">
        <f>(SUMPRODUCT(--ISNUMBER($E$2:$E$800),--($E$2:$E$800&lt;E500))+(SUMPRODUCT(--ISNUMBER($E$2:$E$800),--($E$2:$E$800=E500))+1)/2)/COUNT($E$2:$E$800)</f>
        <v/>
      </c>
      <c r="I500">
        <f>(SUMPRODUCT(--ISNUMBER($G$2:$G$800),--($G$2:$G$800&lt;G500))+(SUMPRODUCT(--ISNUMBER($G$2:$G$800),--($G$2:$G$800=G500))+1)/2)/COUNT($G$2:$G$800)</f>
        <v/>
      </c>
      <c r="J500" t="n">
        <v>27.40493156483607</v>
      </c>
      <c r="K500" t="n">
        <v>21.22713414634146</v>
      </c>
      <c r="L500" t="n">
        <v>0.2667682926829333</v>
      </c>
      <c r="M500">
        <f>IF(OR(B500="NW",COUNT(Risk_Rank_Keys!B500)=0),0.5,(SUMPRODUCT(--ISNUMBER(Risk_Rank_Keys!$B$2:$B$800),--(Risk_Rank_Keys!$B$2:$B$800&lt;Risk_Rank_Keys!B500))+(SUMPRODUCT(--ISNUMBER(Risk_Rank_Keys!$B$2:$B$800),--(Risk_Rank_Keys!$B$2:$B$800=Risk_Rank_Keys!B500))+1)/2)/COUNT(Risk_Rank_Keys!$B$2:$B$800))</f>
        <v/>
      </c>
      <c r="N500">
        <f>IF(OR(B500="NW",COUNT(Risk_Rank_Keys!C500)=0),0.5,(SUMPRODUCT(--ISNUMBER(Risk_Rank_Keys!$C$2:$C$800),--(Risk_Rank_Keys!$C$2:$C$800&lt;Risk_Rank_Keys!C500))+(SUMPRODUCT(--ISNUMBER(Risk_Rank_Keys!$C$2:$C$800),--(Risk_Rank_Keys!$C$2:$C$800=Risk_Rank_Keys!C500))+1)/2)/COUNT(Risk_Rank_Keys!$C$2:$C$800))</f>
        <v/>
      </c>
      <c r="O500">
        <f>IF(OR(B500="NW",COUNT(Risk_Rank_Keys!D500)=0),0.5,(SUMPRODUCT(--ISNUMBER(Risk_Rank_Keys!$D$2:$D$800),--(Risk_Rank_Keys!$D$2:$D$800&lt;Risk_Rank_Keys!D500))+(SUMPRODUCT(--ISNUMBER(Risk_Rank_Keys!$D$2:$D$800),--(Risk_Rank_Keys!$D$2:$D$800=Risk_Rank_Keys!D500))+1)/2)/COUNT(Risk_Rank_Keys!$D$2:$D$800))</f>
        <v/>
      </c>
      <c r="P500">
        <f>AVERAGE(M500:O500)</f>
        <v/>
      </c>
      <c r="Q500">
        <f>0.4*H500+0.4*I500+0.2*P500</f>
        <v/>
      </c>
      <c r="R500">
        <f>PERCENTILE($Q$2:$Q$800,0.75)</f>
        <v/>
      </c>
      <c r="S500">
        <f>OR(Q500&gt;=R500,AND(B500="CW",COUNT(J500:L500)&lt;3))</f>
        <v/>
      </c>
      <c r="T500" t="n">
        <v>0.1882035143800034</v>
      </c>
      <c r="U500" t="n">
        <v>6.744069025887089</v>
      </c>
      <c r="V500" t="n">
        <v>0.3541904135166634</v>
      </c>
      <c r="W500">
        <f>Q500-V500</f>
        <v/>
      </c>
    </row>
    <row r="501">
      <c r="A501" t="inlineStr">
        <is>
          <t>2024-05-07</t>
        </is>
      </c>
      <c r="B501" t="inlineStr">
        <is>
          <t>CW</t>
        </is>
      </c>
      <c r="C501" t="n">
        <v>-36.40265097202184</v>
      </c>
      <c r="D501">
        <f>SUMPRODUCT(Risk_Inputs!B501:AJ501,Risk_Coefs!$B$2:$AJ$2)</f>
        <v/>
      </c>
      <c r="E501">
        <f>1/(1+EXP(-MAX(-25,MIN(25,D501))))</f>
        <v/>
      </c>
      <c r="F501">
        <f>SUMPRODUCT(Risk_Inputs!B501:AJ501,Risk_Coefs!$B$3:$AJ$3)</f>
        <v/>
      </c>
      <c r="G501">
        <f>MAX(0,F501)</f>
        <v/>
      </c>
      <c r="H501">
        <f>(SUMPRODUCT(--ISNUMBER($E$2:$E$800),--($E$2:$E$800&lt;E501))+(SUMPRODUCT(--ISNUMBER($E$2:$E$800),--($E$2:$E$800=E501))+1)/2)/COUNT($E$2:$E$800)</f>
        <v/>
      </c>
      <c r="I501">
        <f>(SUMPRODUCT(--ISNUMBER($G$2:$G$800),--($G$2:$G$800&lt;G501))+(SUMPRODUCT(--ISNUMBER($G$2:$G$800),--($G$2:$G$800=G501))+1)/2)/COUNT($G$2:$G$800)</f>
        <v/>
      </c>
      <c r="J501" t="n">
        <v>7.604123124537991</v>
      </c>
      <c r="K501" t="n">
        <v>3.636363636363641</v>
      </c>
      <c r="L501" t="n">
        <v>0.1859504132231416</v>
      </c>
      <c r="M501">
        <f>IF(OR(B501="NW",COUNT(Risk_Rank_Keys!B501)=0),0.5,(SUMPRODUCT(--ISNUMBER(Risk_Rank_Keys!$B$2:$B$800),--(Risk_Rank_Keys!$B$2:$B$800&lt;Risk_Rank_Keys!B501))+(SUMPRODUCT(--ISNUMBER(Risk_Rank_Keys!$B$2:$B$800),--(Risk_Rank_Keys!$B$2:$B$800=Risk_Rank_Keys!B501))+1)/2)/COUNT(Risk_Rank_Keys!$B$2:$B$800))</f>
        <v/>
      </c>
      <c r="N501">
        <f>IF(OR(B501="NW",COUNT(Risk_Rank_Keys!C501)=0),0.5,(SUMPRODUCT(--ISNUMBER(Risk_Rank_Keys!$C$2:$C$800),--(Risk_Rank_Keys!$C$2:$C$800&lt;Risk_Rank_Keys!C501))+(SUMPRODUCT(--ISNUMBER(Risk_Rank_Keys!$C$2:$C$800),--(Risk_Rank_Keys!$C$2:$C$800=Risk_Rank_Keys!C501))+1)/2)/COUNT(Risk_Rank_Keys!$C$2:$C$800))</f>
        <v/>
      </c>
      <c r="O501">
        <f>IF(OR(B501="NW",COUNT(Risk_Rank_Keys!D501)=0),0.5,(SUMPRODUCT(--ISNUMBER(Risk_Rank_Keys!$D$2:$D$800),--(Risk_Rank_Keys!$D$2:$D$800&lt;Risk_Rank_Keys!D501))+(SUMPRODUCT(--ISNUMBER(Risk_Rank_Keys!$D$2:$D$800),--(Risk_Rank_Keys!$D$2:$D$800=Risk_Rank_Keys!D501))+1)/2)/COUNT(Risk_Rank_Keys!$D$2:$D$800))</f>
        <v/>
      </c>
      <c r="P501">
        <f>AVERAGE(M501:O501)</f>
        <v/>
      </c>
      <c r="Q501">
        <f>0.4*H501+0.4*I501+0.2*P501</f>
        <v/>
      </c>
      <c r="R501">
        <f>PERCENTILE($Q$2:$Q$800,0.75)</f>
        <v/>
      </c>
      <c r="S501">
        <f>OR(Q501&gt;=R501,AND(B501="CW",COUNT(J501:L501)&lt;3))</f>
        <v/>
      </c>
      <c r="T501" t="n">
        <v>0.2769008820388281</v>
      </c>
      <c r="U501" t="n">
        <v>7.567358801972855</v>
      </c>
      <c r="V501" t="n">
        <v>0.4500823612034802</v>
      </c>
      <c r="W501">
        <f>Q501-V501</f>
        <v/>
      </c>
    </row>
    <row r="502">
      <c r="A502" t="inlineStr">
        <is>
          <t>2024-05-08</t>
        </is>
      </c>
      <c r="B502" t="inlineStr">
        <is>
          <t>CW</t>
        </is>
      </c>
      <c r="C502" t="n">
        <v>4.550292535857943</v>
      </c>
      <c r="D502">
        <f>SUMPRODUCT(Risk_Inputs!B502:AJ502,Risk_Coefs!$B$2:$AJ$2)</f>
        <v/>
      </c>
      <c r="E502">
        <f>1/(1+EXP(-MAX(-25,MIN(25,D502))))</f>
        <v/>
      </c>
      <c r="F502">
        <f>SUMPRODUCT(Risk_Inputs!B502:AJ502,Risk_Coefs!$B$3:$AJ$3)</f>
        <v/>
      </c>
      <c r="G502">
        <f>MAX(0,F502)</f>
        <v/>
      </c>
      <c r="H502">
        <f>(SUMPRODUCT(--ISNUMBER($E$2:$E$800),--($E$2:$E$800&lt;E502))+(SUMPRODUCT(--ISNUMBER($E$2:$E$800),--($E$2:$E$800=E502))+1)/2)/COUNT($E$2:$E$800)</f>
        <v/>
      </c>
      <c r="I502">
        <f>(SUMPRODUCT(--ISNUMBER($G$2:$G$800),--($G$2:$G$800&lt;G502))+(SUMPRODUCT(--ISNUMBER($G$2:$G$800),--($G$2:$G$800=G502))+1)/2)/COUNT($G$2:$G$800)</f>
        <v/>
      </c>
      <c r="J502" t="n">
        <v>10.53783488023247</v>
      </c>
      <c r="K502" t="n">
        <v>4.238875878220146</v>
      </c>
      <c r="L502" t="n">
        <v>0.2107728337236547</v>
      </c>
      <c r="M502">
        <f>IF(OR(B502="NW",COUNT(Risk_Rank_Keys!B502)=0),0.5,(SUMPRODUCT(--ISNUMBER(Risk_Rank_Keys!$B$2:$B$800),--(Risk_Rank_Keys!$B$2:$B$800&lt;Risk_Rank_Keys!B502))+(SUMPRODUCT(--ISNUMBER(Risk_Rank_Keys!$B$2:$B$800),--(Risk_Rank_Keys!$B$2:$B$800=Risk_Rank_Keys!B502))+1)/2)/COUNT(Risk_Rank_Keys!$B$2:$B$800))</f>
        <v/>
      </c>
      <c r="N502">
        <f>IF(OR(B502="NW",COUNT(Risk_Rank_Keys!C502)=0),0.5,(SUMPRODUCT(--ISNUMBER(Risk_Rank_Keys!$C$2:$C$800),--(Risk_Rank_Keys!$C$2:$C$800&lt;Risk_Rank_Keys!C502))+(SUMPRODUCT(--ISNUMBER(Risk_Rank_Keys!$C$2:$C$800),--(Risk_Rank_Keys!$C$2:$C$800=Risk_Rank_Keys!C502))+1)/2)/COUNT(Risk_Rank_Keys!$C$2:$C$800))</f>
        <v/>
      </c>
      <c r="O502">
        <f>IF(OR(B502="NW",COUNT(Risk_Rank_Keys!D502)=0),0.5,(SUMPRODUCT(--ISNUMBER(Risk_Rank_Keys!$D$2:$D$800),--(Risk_Rank_Keys!$D$2:$D$800&lt;Risk_Rank_Keys!D502))+(SUMPRODUCT(--ISNUMBER(Risk_Rank_Keys!$D$2:$D$800),--(Risk_Rank_Keys!$D$2:$D$800=Risk_Rank_Keys!D502))+1)/2)/COUNT(Risk_Rank_Keys!$D$2:$D$800))</f>
        <v/>
      </c>
      <c r="P502">
        <f>AVERAGE(M502:O502)</f>
        <v/>
      </c>
      <c r="Q502">
        <f>0.4*H502+0.4*I502+0.2*P502</f>
        <v/>
      </c>
      <c r="R502">
        <f>PERCENTILE($Q$2:$Q$800,0.75)</f>
        <v/>
      </c>
      <c r="S502">
        <f>OR(Q502&gt;=R502,AND(B502="CW",COUNT(J502:L502)&lt;3))</f>
        <v/>
      </c>
      <c r="T502" t="n">
        <v>0.298227231598119</v>
      </c>
      <c r="U502" t="n">
        <v>8.987762487078859</v>
      </c>
      <c r="V502" t="n">
        <v>0.5986198461698695</v>
      </c>
      <c r="W502">
        <f>Q502-V502</f>
        <v/>
      </c>
    </row>
    <row r="503">
      <c r="A503" t="inlineStr">
        <is>
          <t>2024-05-09</t>
        </is>
      </c>
      <c r="B503" t="inlineStr">
        <is>
          <t>CW</t>
        </is>
      </c>
      <c r="C503" t="n">
        <v>-10.46319981444824</v>
      </c>
      <c r="D503">
        <f>SUMPRODUCT(Risk_Inputs!B503:AJ503,Risk_Coefs!$B$2:$AJ$2)</f>
        <v/>
      </c>
      <c r="E503">
        <f>1/(1+EXP(-MAX(-25,MIN(25,D503))))</f>
        <v/>
      </c>
      <c r="F503">
        <f>SUMPRODUCT(Risk_Inputs!B503:AJ503,Risk_Coefs!$B$3:$AJ$3)</f>
        <v/>
      </c>
      <c r="G503">
        <f>MAX(0,F503)</f>
        <v/>
      </c>
      <c r="H503">
        <f>(SUMPRODUCT(--ISNUMBER($E$2:$E$800),--($E$2:$E$800&lt;E503))+(SUMPRODUCT(--ISNUMBER($E$2:$E$800),--($E$2:$E$800=E503))+1)/2)/COUNT($E$2:$E$800)</f>
        <v/>
      </c>
      <c r="I503">
        <f>(SUMPRODUCT(--ISNUMBER($G$2:$G$800),--($G$2:$G$800&lt;G503))+(SUMPRODUCT(--ISNUMBER($G$2:$G$800),--($G$2:$G$800=G503))+1)/2)/COUNT($G$2:$G$800)</f>
        <v/>
      </c>
      <c r="J503" t="n">
        <v>20.17683878257438</v>
      </c>
      <c r="K503" t="n">
        <v>8.974358974358996</v>
      </c>
      <c r="L503" t="n">
        <v>0.1831501831501831</v>
      </c>
      <c r="M503">
        <f>IF(OR(B503="NW",COUNT(Risk_Rank_Keys!B503)=0),0.5,(SUMPRODUCT(--ISNUMBER(Risk_Rank_Keys!$B$2:$B$800),--(Risk_Rank_Keys!$B$2:$B$800&lt;Risk_Rank_Keys!B503))+(SUMPRODUCT(--ISNUMBER(Risk_Rank_Keys!$B$2:$B$800),--(Risk_Rank_Keys!$B$2:$B$800=Risk_Rank_Keys!B503))+1)/2)/COUNT(Risk_Rank_Keys!$B$2:$B$800))</f>
        <v/>
      </c>
      <c r="N503">
        <f>IF(OR(B503="NW",COUNT(Risk_Rank_Keys!C503)=0),0.5,(SUMPRODUCT(--ISNUMBER(Risk_Rank_Keys!$C$2:$C$800),--(Risk_Rank_Keys!$C$2:$C$800&lt;Risk_Rank_Keys!C503))+(SUMPRODUCT(--ISNUMBER(Risk_Rank_Keys!$C$2:$C$800),--(Risk_Rank_Keys!$C$2:$C$800=Risk_Rank_Keys!C503))+1)/2)/COUNT(Risk_Rank_Keys!$C$2:$C$800))</f>
        <v/>
      </c>
      <c r="O503">
        <f>IF(OR(B503="NW",COUNT(Risk_Rank_Keys!D503)=0),0.5,(SUMPRODUCT(--ISNUMBER(Risk_Rank_Keys!$D$2:$D$800),--(Risk_Rank_Keys!$D$2:$D$800&lt;Risk_Rank_Keys!D503))+(SUMPRODUCT(--ISNUMBER(Risk_Rank_Keys!$D$2:$D$800),--(Risk_Rank_Keys!$D$2:$D$800=Risk_Rank_Keys!D503))+1)/2)/COUNT(Risk_Rank_Keys!$D$2:$D$800))</f>
        <v/>
      </c>
      <c r="P503">
        <f>AVERAGE(M503:O503)</f>
        <v/>
      </c>
      <c r="Q503">
        <f>0.4*H503+0.4*I503+0.2*P503</f>
        <v/>
      </c>
      <c r="R503">
        <f>PERCENTILE($Q$2:$Q$800,0.75)</f>
        <v/>
      </c>
      <c r="S503">
        <f>OR(Q503&gt;=R503,AND(B503="CW",COUNT(J503:L503)&lt;3))</f>
        <v/>
      </c>
      <c r="T503" t="n">
        <v>0.3112716927714226</v>
      </c>
      <c r="U503" t="n">
        <v>10.00249661029619</v>
      </c>
      <c r="V503" t="n">
        <v>0.6893348205480002</v>
      </c>
      <c r="W503">
        <f>Q503-V503</f>
        <v/>
      </c>
    </row>
    <row r="504">
      <c r="A504" t="inlineStr">
        <is>
          <t>2024-05-13</t>
        </is>
      </c>
      <c r="B504" t="inlineStr">
        <is>
          <t>CW</t>
        </is>
      </c>
      <c r="C504" t="n">
        <v>6.363037328620813</v>
      </c>
      <c r="D504">
        <f>SUMPRODUCT(Risk_Inputs!B504:AJ504,Risk_Coefs!$B$2:$AJ$2)</f>
        <v/>
      </c>
      <c r="E504">
        <f>1/(1+EXP(-MAX(-25,MIN(25,D504))))</f>
        <v/>
      </c>
      <c r="F504">
        <f>SUMPRODUCT(Risk_Inputs!B504:AJ504,Risk_Coefs!$B$3:$AJ$3)</f>
        <v/>
      </c>
      <c r="G504">
        <f>MAX(0,F504)</f>
        <v/>
      </c>
      <c r="H504">
        <f>(SUMPRODUCT(--ISNUMBER($E$2:$E$800),--($E$2:$E$800&lt;E504))+(SUMPRODUCT(--ISNUMBER($E$2:$E$800),--($E$2:$E$800=E504))+1)/2)/COUNT($E$2:$E$800)</f>
        <v/>
      </c>
      <c r="I504">
        <f>(SUMPRODUCT(--ISNUMBER($G$2:$G$800),--($G$2:$G$800&lt;G504))+(SUMPRODUCT(--ISNUMBER($G$2:$G$800),--($G$2:$G$800=G504))+1)/2)/COUNT($G$2:$G$800)</f>
        <v/>
      </c>
      <c r="J504" t="n">
        <v>7.975496366719645</v>
      </c>
      <c r="K504" t="n">
        <v>2.761044176706847</v>
      </c>
      <c r="L504" t="n">
        <v>0.1506024096385504</v>
      </c>
      <c r="M504">
        <f>IF(OR(B504="NW",COUNT(Risk_Rank_Keys!B504)=0),0.5,(SUMPRODUCT(--ISNUMBER(Risk_Rank_Keys!$B$2:$B$800),--(Risk_Rank_Keys!$B$2:$B$800&lt;Risk_Rank_Keys!B504))+(SUMPRODUCT(--ISNUMBER(Risk_Rank_Keys!$B$2:$B$800),--(Risk_Rank_Keys!$B$2:$B$800=Risk_Rank_Keys!B504))+1)/2)/COUNT(Risk_Rank_Keys!$B$2:$B$800))</f>
        <v/>
      </c>
      <c r="N504">
        <f>IF(OR(B504="NW",COUNT(Risk_Rank_Keys!C504)=0),0.5,(SUMPRODUCT(--ISNUMBER(Risk_Rank_Keys!$C$2:$C$800),--(Risk_Rank_Keys!$C$2:$C$800&lt;Risk_Rank_Keys!C504))+(SUMPRODUCT(--ISNUMBER(Risk_Rank_Keys!$C$2:$C$800),--(Risk_Rank_Keys!$C$2:$C$800=Risk_Rank_Keys!C504))+1)/2)/COUNT(Risk_Rank_Keys!$C$2:$C$800))</f>
        <v/>
      </c>
      <c r="O504">
        <f>IF(OR(B504="NW",COUNT(Risk_Rank_Keys!D504)=0),0.5,(SUMPRODUCT(--ISNUMBER(Risk_Rank_Keys!$D$2:$D$800),--(Risk_Rank_Keys!$D$2:$D$800&lt;Risk_Rank_Keys!D504))+(SUMPRODUCT(--ISNUMBER(Risk_Rank_Keys!$D$2:$D$800),--(Risk_Rank_Keys!$D$2:$D$800=Risk_Rank_Keys!D504))+1)/2)/COUNT(Risk_Rank_Keys!$D$2:$D$800))</f>
        <v/>
      </c>
      <c r="P504">
        <f>AVERAGE(M504:O504)</f>
        <v/>
      </c>
      <c r="Q504">
        <f>0.4*H504+0.4*I504+0.2*P504</f>
        <v/>
      </c>
      <c r="R504">
        <f>PERCENTILE($Q$2:$Q$800,0.75)</f>
        <v/>
      </c>
      <c r="S504">
        <f>OR(Q504&gt;=R504,AND(B504="CW",COUNT(J504:L504)&lt;3))</f>
        <v/>
      </c>
      <c r="T504" t="n">
        <v>0.3306005642523629</v>
      </c>
      <c r="U504" t="n">
        <v>8.386694092103289</v>
      </c>
      <c r="V504" t="n">
        <v>0.5943688327284978</v>
      </c>
      <c r="W504">
        <f>Q504-V504</f>
        <v/>
      </c>
    </row>
    <row r="505">
      <c r="A505" t="inlineStr">
        <is>
          <t>2024-05-14</t>
        </is>
      </c>
      <c r="B505" t="inlineStr">
        <is>
          <t>CW</t>
        </is>
      </c>
      <c r="C505" t="n">
        <v>17.14225246686782</v>
      </c>
      <c r="D505">
        <f>SUMPRODUCT(Risk_Inputs!B505:AJ505,Risk_Coefs!$B$2:$AJ$2)</f>
        <v/>
      </c>
      <c r="E505">
        <f>1/(1+EXP(-MAX(-25,MIN(25,D505))))</f>
        <v/>
      </c>
      <c r="F505">
        <f>SUMPRODUCT(Risk_Inputs!B505:AJ505,Risk_Coefs!$B$3:$AJ$3)</f>
        <v/>
      </c>
      <c r="G505">
        <f>MAX(0,F505)</f>
        <v/>
      </c>
      <c r="H505">
        <f>(SUMPRODUCT(--ISNUMBER($E$2:$E$800),--($E$2:$E$800&lt;E505))+(SUMPRODUCT(--ISNUMBER($E$2:$E$800),--($E$2:$E$800=E505))+1)/2)/COUNT($E$2:$E$800)</f>
        <v/>
      </c>
      <c r="I505">
        <f>(SUMPRODUCT(--ISNUMBER($G$2:$G$800),--($G$2:$G$800&lt;G505))+(SUMPRODUCT(--ISNUMBER($G$2:$G$800),--($G$2:$G$800=G505))+1)/2)/COUNT($G$2:$G$800)</f>
        <v/>
      </c>
      <c r="J505" t="n">
        <v>7.305310103650052</v>
      </c>
      <c r="K505" t="n">
        <v>1.230304338441624</v>
      </c>
      <c r="L505" t="n">
        <v>0.2158428663932657</v>
      </c>
      <c r="M505">
        <f>IF(OR(B505="NW",COUNT(Risk_Rank_Keys!B505)=0),0.5,(SUMPRODUCT(--ISNUMBER(Risk_Rank_Keys!$B$2:$B$800),--(Risk_Rank_Keys!$B$2:$B$800&lt;Risk_Rank_Keys!B505))+(SUMPRODUCT(--ISNUMBER(Risk_Rank_Keys!$B$2:$B$800),--(Risk_Rank_Keys!$B$2:$B$800=Risk_Rank_Keys!B505))+1)/2)/COUNT(Risk_Rank_Keys!$B$2:$B$800))</f>
        <v/>
      </c>
      <c r="N505">
        <f>IF(OR(B505="NW",COUNT(Risk_Rank_Keys!C505)=0),0.5,(SUMPRODUCT(--ISNUMBER(Risk_Rank_Keys!$C$2:$C$800),--(Risk_Rank_Keys!$C$2:$C$800&lt;Risk_Rank_Keys!C505))+(SUMPRODUCT(--ISNUMBER(Risk_Rank_Keys!$C$2:$C$800),--(Risk_Rank_Keys!$C$2:$C$800=Risk_Rank_Keys!C505))+1)/2)/COUNT(Risk_Rank_Keys!$C$2:$C$800))</f>
        <v/>
      </c>
      <c r="O505">
        <f>IF(OR(B505="NW",COUNT(Risk_Rank_Keys!D505)=0),0.5,(SUMPRODUCT(--ISNUMBER(Risk_Rank_Keys!$D$2:$D$800),--(Risk_Rank_Keys!$D$2:$D$800&lt;Risk_Rank_Keys!D505))+(SUMPRODUCT(--ISNUMBER(Risk_Rank_Keys!$D$2:$D$800),--(Risk_Rank_Keys!$D$2:$D$800=Risk_Rank_Keys!D505))+1)/2)/COUNT(Risk_Rank_Keys!$D$2:$D$800))</f>
        <v/>
      </c>
      <c r="P505">
        <f>AVERAGE(M505:O505)</f>
        <v/>
      </c>
      <c r="Q505">
        <f>0.4*H505+0.4*I505+0.2*P505</f>
        <v/>
      </c>
      <c r="R505">
        <f>PERCENTILE($Q$2:$Q$800,0.75)</f>
        <v/>
      </c>
      <c r="S505">
        <f>OR(Q505&gt;=R505,AND(B505="CW",COUNT(J505:L505)&lt;3))</f>
        <v/>
      </c>
      <c r="T505" t="n">
        <v>0.2512684604403172</v>
      </c>
      <c r="U505" t="n">
        <v>5.823868152882596</v>
      </c>
      <c r="V505" t="n">
        <v>0.2622675136109817</v>
      </c>
      <c r="W505">
        <f>Q505-V505</f>
        <v/>
      </c>
    </row>
    <row r="506">
      <c r="A506" t="inlineStr">
        <is>
          <t>2024-05-15</t>
        </is>
      </c>
      <c r="B506" t="inlineStr">
        <is>
          <t>CW</t>
        </is>
      </c>
      <c r="C506" t="n">
        <v>24.94580018288649</v>
      </c>
      <c r="D506">
        <f>SUMPRODUCT(Risk_Inputs!B506:AJ506,Risk_Coefs!$B$2:$AJ$2)</f>
        <v/>
      </c>
      <c r="E506">
        <f>1/(1+EXP(-MAX(-25,MIN(25,D506))))</f>
        <v/>
      </c>
      <c r="F506">
        <f>SUMPRODUCT(Risk_Inputs!B506:AJ506,Risk_Coefs!$B$3:$AJ$3)</f>
        <v/>
      </c>
      <c r="G506">
        <f>MAX(0,F506)</f>
        <v/>
      </c>
      <c r="H506">
        <f>(SUMPRODUCT(--ISNUMBER($E$2:$E$800),--($E$2:$E$800&lt;E506))+(SUMPRODUCT(--ISNUMBER($E$2:$E$800),--($E$2:$E$800=E506))+1)/2)/COUNT($E$2:$E$800)</f>
        <v/>
      </c>
      <c r="I506">
        <f>(SUMPRODUCT(--ISNUMBER($G$2:$G$800),--($G$2:$G$800&lt;G506))+(SUMPRODUCT(--ISNUMBER($G$2:$G$800),--($G$2:$G$800=G506))+1)/2)/COUNT($G$2:$G$800)</f>
        <v/>
      </c>
      <c r="J506" t="n">
        <v>5.616601776194146</v>
      </c>
      <c r="K506" t="n">
        <v>2.026479329910835</v>
      </c>
      <c r="L506" t="n">
        <v>0.1891380707916825</v>
      </c>
      <c r="M506">
        <f>IF(OR(B506="NW",COUNT(Risk_Rank_Keys!B506)=0),0.5,(SUMPRODUCT(--ISNUMBER(Risk_Rank_Keys!$B$2:$B$800),--(Risk_Rank_Keys!$B$2:$B$800&lt;Risk_Rank_Keys!B506))+(SUMPRODUCT(--ISNUMBER(Risk_Rank_Keys!$B$2:$B$800),--(Risk_Rank_Keys!$B$2:$B$800=Risk_Rank_Keys!B506))+1)/2)/COUNT(Risk_Rank_Keys!$B$2:$B$800))</f>
        <v/>
      </c>
      <c r="N506">
        <f>IF(OR(B506="NW",COUNT(Risk_Rank_Keys!C506)=0),0.5,(SUMPRODUCT(--ISNUMBER(Risk_Rank_Keys!$C$2:$C$800),--(Risk_Rank_Keys!$C$2:$C$800&lt;Risk_Rank_Keys!C506))+(SUMPRODUCT(--ISNUMBER(Risk_Rank_Keys!$C$2:$C$800),--(Risk_Rank_Keys!$C$2:$C$800=Risk_Rank_Keys!C506))+1)/2)/COUNT(Risk_Rank_Keys!$C$2:$C$800))</f>
        <v/>
      </c>
      <c r="O506">
        <f>IF(OR(B506="NW",COUNT(Risk_Rank_Keys!D506)=0),0.5,(SUMPRODUCT(--ISNUMBER(Risk_Rank_Keys!$D$2:$D$800),--(Risk_Rank_Keys!$D$2:$D$800&lt;Risk_Rank_Keys!D506))+(SUMPRODUCT(--ISNUMBER(Risk_Rank_Keys!$D$2:$D$800),--(Risk_Rank_Keys!$D$2:$D$800=Risk_Rank_Keys!D506))+1)/2)/COUNT(Risk_Rank_Keys!$D$2:$D$800))</f>
        <v/>
      </c>
      <c r="P506">
        <f>AVERAGE(M506:O506)</f>
        <v/>
      </c>
      <c r="Q506">
        <f>0.4*H506+0.4*I506+0.2*P506</f>
        <v/>
      </c>
      <c r="R506">
        <f>PERCENTILE($Q$2:$Q$800,0.75)</f>
        <v/>
      </c>
      <c r="S506">
        <f>OR(Q506&gt;=R506,AND(B506="CW",COUNT(J506:L506)&lt;3))</f>
        <v/>
      </c>
      <c r="T506" t="n">
        <v>0.3213177866548677</v>
      </c>
      <c r="U506" t="n">
        <v>9.212244017997969</v>
      </c>
      <c r="V506" t="n">
        <v>0.6018342314224721</v>
      </c>
      <c r="W506">
        <f>Q506-V506</f>
        <v/>
      </c>
    </row>
    <row r="507">
      <c r="A507" t="inlineStr">
        <is>
          <t>2024-05-16</t>
        </is>
      </c>
      <c r="B507" t="inlineStr">
        <is>
          <t>CW</t>
        </is>
      </c>
      <c r="C507" t="n">
        <v>-41.44781080045983</v>
      </c>
      <c r="D507">
        <f>SUMPRODUCT(Risk_Inputs!B507:AJ507,Risk_Coefs!$B$2:$AJ$2)</f>
        <v/>
      </c>
      <c r="E507">
        <f>1/(1+EXP(-MAX(-25,MIN(25,D507))))</f>
        <v/>
      </c>
      <c r="F507">
        <f>SUMPRODUCT(Risk_Inputs!B507:AJ507,Risk_Coefs!$B$3:$AJ$3)</f>
        <v/>
      </c>
      <c r="G507">
        <f>MAX(0,F507)</f>
        <v/>
      </c>
      <c r="H507">
        <f>(SUMPRODUCT(--ISNUMBER($E$2:$E$800),--($E$2:$E$800&lt;E507))+(SUMPRODUCT(--ISNUMBER($E$2:$E$800),--($E$2:$E$800=E507))+1)/2)/COUNT($E$2:$E$800)</f>
        <v/>
      </c>
      <c r="I507">
        <f>(SUMPRODUCT(--ISNUMBER($G$2:$G$800),--($G$2:$G$800&lt;G507))+(SUMPRODUCT(--ISNUMBER($G$2:$G$800),--($G$2:$G$800=G507))+1)/2)/COUNT($G$2:$G$800)</f>
        <v/>
      </c>
      <c r="J507" t="n">
        <v>8.369909613950963</v>
      </c>
      <c r="K507" t="n">
        <v>10.99498327759198</v>
      </c>
      <c r="L507" t="n">
        <v>0.2926421404682227</v>
      </c>
      <c r="M507">
        <f>IF(OR(B507="NW",COUNT(Risk_Rank_Keys!B507)=0),0.5,(SUMPRODUCT(--ISNUMBER(Risk_Rank_Keys!$B$2:$B$800),--(Risk_Rank_Keys!$B$2:$B$800&lt;Risk_Rank_Keys!B507))+(SUMPRODUCT(--ISNUMBER(Risk_Rank_Keys!$B$2:$B$800),--(Risk_Rank_Keys!$B$2:$B$800=Risk_Rank_Keys!B507))+1)/2)/COUNT(Risk_Rank_Keys!$B$2:$B$800))</f>
        <v/>
      </c>
      <c r="N507">
        <f>IF(OR(B507="NW",COUNT(Risk_Rank_Keys!C507)=0),0.5,(SUMPRODUCT(--ISNUMBER(Risk_Rank_Keys!$C$2:$C$800),--(Risk_Rank_Keys!$C$2:$C$800&lt;Risk_Rank_Keys!C507))+(SUMPRODUCT(--ISNUMBER(Risk_Rank_Keys!$C$2:$C$800),--(Risk_Rank_Keys!$C$2:$C$800=Risk_Rank_Keys!C507))+1)/2)/COUNT(Risk_Rank_Keys!$C$2:$C$800))</f>
        <v/>
      </c>
      <c r="O507">
        <f>IF(OR(B507="NW",COUNT(Risk_Rank_Keys!D507)=0),0.5,(SUMPRODUCT(--ISNUMBER(Risk_Rank_Keys!$D$2:$D$800),--(Risk_Rank_Keys!$D$2:$D$800&lt;Risk_Rank_Keys!D507))+(SUMPRODUCT(--ISNUMBER(Risk_Rank_Keys!$D$2:$D$800),--(Risk_Rank_Keys!$D$2:$D$800=Risk_Rank_Keys!D507))+1)/2)/COUNT(Risk_Rank_Keys!$D$2:$D$800))</f>
        <v/>
      </c>
      <c r="P507">
        <f>AVERAGE(M507:O507)</f>
        <v/>
      </c>
      <c r="Q507">
        <f>0.4*H507+0.4*I507+0.2*P507</f>
        <v/>
      </c>
      <c r="R507">
        <f>PERCENTILE($Q$2:$Q$800,0.75)</f>
        <v/>
      </c>
      <c r="S507">
        <f>OR(Q507&gt;=R507,AND(B507="CW",COUNT(J507:L507)&lt;3))</f>
        <v/>
      </c>
      <c r="T507" t="n">
        <v>0.3209370154310188</v>
      </c>
      <c r="U507" t="n">
        <v>11.04984183773397</v>
      </c>
      <c r="V507" t="n">
        <v>0.759473283957341</v>
      </c>
      <c r="W507">
        <f>Q507-V507</f>
        <v/>
      </c>
    </row>
    <row r="508">
      <c r="A508" t="inlineStr">
        <is>
          <t>2024-05-17</t>
        </is>
      </c>
      <c r="B508" t="inlineStr">
        <is>
          <t>CW</t>
        </is>
      </c>
      <c r="C508" t="n">
        <v>31.07659030535611</v>
      </c>
      <c r="D508">
        <f>SUMPRODUCT(Risk_Inputs!B508:AJ508,Risk_Coefs!$B$2:$AJ$2)</f>
        <v/>
      </c>
      <c r="E508">
        <f>1/(1+EXP(-MAX(-25,MIN(25,D508))))</f>
        <v/>
      </c>
      <c r="F508">
        <f>SUMPRODUCT(Risk_Inputs!B508:AJ508,Risk_Coefs!$B$3:$AJ$3)</f>
        <v/>
      </c>
      <c r="G508">
        <f>MAX(0,F508)</f>
        <v/>
      </c>
      <c r="H508">
        <f>(SUMPRODUCT(--ISNUMBER($E$2:$E$800),--($E$2:$E$800&lt;E508))+(SUMPRODUCT(--ISNUMBER($E$2:$E$800),--($E$2:$E$800=E508))+1)/2)/COUNT($E$2:$E$800)</f>
        <v/>
      </c>
      <c r="I508">
        <f>(SUMPRODUCT(--ISNUMBER($G$2:$G$800),--($G$2:$G$800&lt;G508))+(SUMPRODUCT(--ISNUMBER($G$2:$G$800),--($G$2:$G$800=G508))+1)/2)/COUNT($G$2:$G$800)</f>
        <v/>
      </c>
      <c r="J508" t="n">
        <v>18.84450160312262</v>
      </c>
      <c r="K508" t="n">
        <v>3.635778635778639</v>
      </c>
      <c r="L508" t="n">
        <v>0.1447876447876502</v>
      </c>
      <c r="M508">
        <f>IF(OR(B508="NW",COUNT(Risk_Rank_Keys!B508)=0),0.5,(SUMPRODUCT(--ISNUMBER(Risk_Rank_Keys!$B$2:$B$800),--(Risk_Rank_Keys!$B$2:$B$800&lt;Risk_Rank_Keys!B508))+(SUMPRODUCT(--ISNUMBER(Risk_Rank_Keys!$B$2:$B$800),--(Risk_Rank_Keys!$B$2:$B$800=Risk_Rank_Keys!B508))+1)/2)/COUNT(Risk_Rank_Keys!$B$2:$B$800))</f>
        <v/>
      </c>
      <c r="N508">
        <f>IF(OR(B508="NW",COUNT(Risk_Rank_Keys!C508)=0),0.5,(SUMPRODUCT(--ISNUMBER(Risk_Rank_Keys!$C$2:$C$800),--(Risk_Rank_Keys!$C$2:$C$800&lt;Risk_Rank_Keys!C508))+(SUMPRODUCT(--ISNUMBER(Risk_Rank_Keys!$C$2:$C$800),--(Risk_Rank_Keys!$C$2:$C$800=Risk_Rank_Keys!C508))+1)/2)/COUNT(Risk_Rank_Keys!$C$2:$C$800))</f>
        <v/>
      </c>
      <c r="O508">
        <f>IF(OR(B508="NW",COUNT(Risk_Rank_Keys!D508)=0),0.5,(SUMPRODUCT(--ISNUMBER(Risk_Rank_Keys!$D$2:$D$800),--(Risk_Rank_Keys!$D$2:$D$800&lt;Risk_Rank_Keys!D508))+(SUMPRODUCT(--ISNUMBER(Risk_Rank_Keys!$D$2:$D$800),--(Risk_Rank_Keys!$D$2:$D$800=Risk_Rank_Keys!D508))+1)/2)/COUNT(Risk_Rank_Keys!$D$2:$D$800))</f>
        <v/>
      </c>
      <c r="P508">
        <f>AVERAGE(M508:O508)</f>
        <v/>
      </c>
      <c r="Q508">
        <f>0.4*H508+0.4*I508+0.2*P508</f>
        <v/>
      </c>
      <c r="R508">
        <f>PERCENTILE($Q$2:$Q$800,0.75)</f>
        <v/>
      </c>
      <c r="S508">
        <f>OR(Q508&gt;=R508,AND(B508="CW",COUNT(J508:L508)&lt;3))</f>
        <v/>
      </c>
      <c r="T508" t="n">
        <v>0.2008508230639184</v>
      </c>
      <c r="U508" t="n">
        <v>5.337700696950222</v>
      </c>
      <c r="V508" t="n">
        <v>0.2077020962395463</v>
      </c>
      <c r="W508">
        <f>Q508-V508</f>
        <v/>
      </c>
    </row>
    <row r="509">
      <c r="A509" t="inlineStr">
        <is>
          <t>2024-05-18</t>
        </is>
      </c>
      <c r="B509" t="inlineStr">
        <is>
          <t>CW</t>
        </is>
      </c>
      <c r="C509" t="n">
        <v>24.80834280971822</v>
      </c>
      <c r="D509">
        <f>SUMPRODUCT(Risk_Inputs!B509:AJ509,Risk_Coefs!$B$2:$AJ$2)</f>
        <v/>
      </c>
      <c r="E509">
        <f>1/(1+EXP(-MAX(-25,MIN(25,D509))))</f>
        <v/>
      </c>
      <c r="F509">
        <f>SUMPRODUCT(Risk_Inputs!B509:AJ509,Risk_Coefs!$B$3:$AJ$3)</f>
        <v/>
      </c>
      <c r="G509">
        <f>MAX(0,F509)</f>
        <v/>
      </c>
      <c r="H509">
        <f>(SUMPRODUCT(--ISNUMBER($E$2:$E$800),--($E$2:$E$800&lt;E509))+(SUMPRODUCT(--ISNUMBER($E$2:$E$800),--($E$2:$E$800=E509))+1)/2)/COUNT($E$2:$E$800)</f>
        <v/>
      </c>
      <c r="I509">
        <f>(SUMPRODUCT(--ISNUMBER($G$2:$G$800),--($G$2:$G$800&lt;G509))+(SUMPRODUCT(--ISNUMBER($G$2:$G$800),--($G$2:$G$800=G509))+1)/2)/COUNT($G$2:$G$800)</f>
        <v/>
      </c>
      <c r="J509" t="n">
        <v>2.112646300757945</v>
      </c>
      <c r="K509" t="n">
        <v>0.5694089927351333</v>
      </c>
      <c r="L509" t="n">
        <v>0.1767131356764141</v>
      </c>
      <c r="M509">
        <f>IF(OR(B509="NW",COUNT(Risk_Rank_Keys!B509)=0),0.5,(SUMPRODUCT(--ISNUMBER(Risk_Rank_Keys!$B$2:$B$800),--(Risk_Rank_Keys!$B$2:$B$800&lt;Risk_Rank_Keys!B509))+(SUMPRODUCT(--ISNUMBER(Risk_Rank_Keys!$B$2:$B$800),--(Risk_Rank_Keys!$B$2:$B$800=Risk_Rank_Keys!B509))+1)/2)/COUNT(Risk_Rank_Keys!$B$2:$B$800))</f>
        <v/>
      </c>
      <c r="N509">
        <f>IF(OR(B509="NW",COUNT(Risk_Rank_Keys!C509)=0),0.5,(SUMPRODUCT(--ISNUMBER(Risk_Rank_Keys!$C$2:$C$800),--(Risk_Rank_Keys!$C$2:$C$800&lt;Risk_Rank_Keys!C509))+(SUMPRODUCT(--ISNUMBER(Risk_Rank_Keys!$C$2:$C$800),--(Risk_Rank_Keys!$C$2:$C$800=Risk_Rank_Keys!C509))+1)/2)/COUNT(Risk_Rank_Keys!$C$2:$C$800))</f>
        <v/>
      </c>
      <c r="O509">
        <f>IF(OR(B509="NW",COUNT(Risk_Rank_Keys!D509)=0),0.5,(SUMPRODUCT(--ISNUMBER(Risk_Rank_Keys!$D$2:$D$800),--(Risk_Rank_Keys!$D$2:$D$800&lt;Risk_Rank_Keys!D509))+(SUMPRODUCT(--ISNUMBER(Risk_Rank_Keys!$D$2:$D$800),--(Risk_Rank_Keys!$D$2:$D$800=Risk_Rank_Keys!D509))+1)/2)/COUNT(Risk_Rank_Keys!$D$2:$D$800))</f>
        <v/>
      </c>
      <c r="P509">
        <f>AVERAGE(M509:O509)</f>
        <v/>
      </c>
      <c r="Q509">
        <f>0.4*H509+0.4*I509+0.2*P509</f>
        <v/>
      </c>
      <c r="R509">
        <f>PERCENTILE($Q$2:$Q$800,0.75)</f>
        <v/>
      </c>
      <c r="S509">
        <f>OR(Q509&gt;=R509,AND(B509="CW",COUNT(J509:L509)&lt;3))</f>
        <v/>
      </c>
      <c r="T509" t="n">
        <v>0.2555053508783555</v>
      </c>
      <c r="U509" t="n">
        <v>6.671963602108696</v>
      </c>
      <c r="V509" t="n">
        <v>0.2826900664417226</v>
      </c>
      <c r="W509">
        <f>Q509-V509</f>
        <v/>
      </c>
    </row>
    <row r="510">
      <c r="A510" t="inlineStr">
        <is>
          <t>2024-05-21</t>
        </is>
      </c>
      <c r="B510" t="inlineStr">
        <is>
          <t>CW</t>
        </is>
      </c>
      <c r="C510" t="n">
        <v>26.63579842383326</v>
      </c>
      <c r="D510">
        <f>SUMPRODUCT(Risk_Inputs!B510:AJ510,Risk_Coefs!$B$2:$AJ$2)</f>
        <v/>
      </c>
      <c r="E510">
        <f>1/(1+EXP(-MAX(-25,MIN(25,D510))))</f>
        <v/>
      </c>
      <c r="F510">
        <f>SUMPRODUCT(Risk_Inputs!B510:AJ510,Risk_Coefs!$B$3:$AJ$3)</f>
        <v/>
      </c>
      <c r="G510">
        <f>MAX(0,F510)</f>
        <v/>
      </c>
      <c r="H510">
        <f>(SUMPRODUCT(--ISNUMBER($E$2:$E$800),--($E$2:$E$800&lt;E510))+(SUMPRODUCT(--ISNUMBER($E$2:$E$800),--($E$2:$E$800=E510))+1)/2)/COUNT($E$2:$E$800)</f>
        <v/>
      </c>
      <c r="I510">
        <f>(SUMPRODUCT(--ISNUMBER($G$2:$G$800),--($G$2:$G$800&lt;G510))+(SUMPRODUCT(--ISNUMBER($G$2:$G$800),--($G$2:$G$800=G510))+1)/2)/COUNT($G$2:$G$800)</f>
        <v/>
      </c>
      <c r="J510" t="n">
        <v>31.1398563527089</v>
      </c>
      <c r="K510" t="n">
        <v>17.0032310177706</v>
      </c>
      <c r="L510" t="n">
        <v>0.2221324717285991</v>
      </c>
      <c r="M510">
        <f>IF(OR(B510="NW",COUNT(Risk_Rank_Keys!B510)=0),0.5,(SUMPRODUCT(--ISNUMBER(Risk_Rank_Keys!$B$2:$B$800),--(Risk_Rank_Keys!$B$2:$B$800&lt;Risk_Rank_Keys!B510))+(SUMPRODUCT(--ISNUMBER(Risk_Rank_Keys!$B$2:$B$800),--(Risk_Rank_Keys!$B$2:$B$800=Risk_Rank_Keys!B510))+1)/2)/COUNT(Risk_Rank_Keys!$B$2:$B$800))</f>
        <v/>
      </c>
      <c r="N510">
        <f>IF(OR(B510="NW",COUNT(Risk_Rank_Keys!C510)=0),0.5,(SUMPRODUCT(--ISNUMBER(Risk_Rank_Keys!$C$2:$C$800),--(Risk_Rank_Keys!$C$2:$C$800&lt;Risk_Rank_Keys!C510))+(SUMPRODUCT(--ISNUMBER(Risk_Rank_Keys!$C$2:$C$800),--(Risk_Rank_Keys!$C$2:$C$800=Risk_Rank_Keys!C510))+1)/2)/COUNT(Risk_Rank_Keys!$C$2:$C$800))</f>
        <v/>
      </c>
      <c r="O510">
        <f>IF(OR(B510="NW",COUNT(Risk_Rank_Keys!D510)=0),0.5,(SUMPRODUCT(--ISNUMBER(Risk_Rank_Keys!$D$2:$D$800),--(Risk_Rank_Keys!$D$2:$D$800&lt;Risk_Rank_Keys!D510))+(SUMPRODUCT(--ISNUMBER(Risk_Rank_Keys!$D$2:$D$800),--(Risk_Rank_Keys!$D$2:$D$800=Risk_Rank_Keys!D510))+1)/2)/COUNT(Risk_Rank_Keys!$D$2:$D$800))</f>
        <v/>
      </c>
      <c r="P510">
        <f>AVERAGE(M510:O510)</f>
        <v/>
      </c>
      <c r="Q510">
        <f>0.4*H510+0.4*I510+0.2*P510</f>
        <v/>
      </c>
      <c r="R510">
        <f>PERCENTILE($Q$2:$Q$800,0.75)</f>
        <v/>
      </c>
      <c r="S510">
        <f>OR(Q510&gt;=R510,AND(B510="CW",COUNT(J510:L510)&lt;3))</f>
        <v/>
      </c>
      <c r="T510" t="n">
        <v>0.1850834490025115</v>
      </c>
      <c r="U510" t="n">
        <v>5.150617396192319</v>
      </c>
      <c r="V510" t="n">
        <v>0.2454964335358761</v>
      </c>
      <c r="W510">
        <f>Q510-V510</f>
        <v/>
      </c>
    </row>
    <row r="511">
      <c r="A511" t="inlineStr">
        <is>
          <t>2024-05-22</t>
        </is>
      </c>
      <c r="B511" t="inlineStr">
        <is>
          <t>CW</t>
        </is>
      </c>
      <c r="C511" t="n">
        <v>0.2608313452163173</v>
      </c>
      <c r="D511">
        <f>SUMPRODUCT(Risk_Inputs!B511:AJ511,Risk_Coefs!$B$2:$AJ$2)</f>
        <v/>
      </c>
      <c r="E511">
        <f>1/(1+EXP(-MAX(-25,MIN(25,D511))))</f>
        <v/>
      </c>
      <c r="F511">
        <f>SUMPRODUCT(Risk_Inputs!B511:AJ511,Risk_Coefs!$B$3:$AJ$3)</f>
        <v/>
      </c>
      <c r="G511">
        <f>MAX(0,F511)</f>
        <v/>
      </c>
      <c r="H511">
        <f>(SUMPRODUCT(--ISNUMBER($E$2:$E$800),--($E$2:$E$800&lt;E511))+(SUMPRODUCT(--ISNUMBER($E$2:$E$800),--($E$2:$E$800=E511))+1)/2)/COUNT($E$2:$E$800)</f>
        <v/>
      </c>
      <c r="I511">
        <f>(SUMPRODUCT(--ISNUMBER($G$2:$G$800),--($G$2:$G$800&lt;G511))+(SUMPRODUCT(--ISNUMBER($G$2:$G$800),--($G$2:$G$800=G511))+1)/2)/COUNT($G$2:$G$800)</f>
        <v/>
      </c>
      <c r="J511" t="n">
        <v>4.167849035186319</v>
      </c>
      <c r="K511" t="n">
        <v>1.895355045381746</v>
      </c>
      <c r="L511" t="n">
        <v>0.2402562733582502</v>
      </c>
      <c r="M511">
        <f>IF(OR(B511="NW",COUNT(Risk_Rank_Keys!B511)=0),0.5,(SUMPRODUCT(--ISNUMBER(Risk_Rank_Keys!$B$2:$B$800),--(Risk_Rank_Keys!$B$2:$B$800&lt;Risk_Rank_Keys!B511))+(SUMPRODUCT(--ISNUMBER(Risk_Rank_Keys!$B$2:$B$800),--(Risk_Rank_Keys!$B$2:$B$800=Risk_Rank_Keys!B511))+1)/2)/COUNT(Risk_Rank_Keys!$B$2:$B$800))</f>
        <v/>
      </c>
      <c r="N511">
        <f>IF(OR(B511="NW",COUNT(Risk_Rank_Keys!C511)=0),0.5,(SUMPRODUCT(--ISNUMBER(Risk_Rank_Keys!$C$2:$C$800),--(Risk_Rank_Keys!$C$2:$C$800&lt;Risk_Rank_Keys!C511))+(SUMPRODUCT(--ISNUMBER(Risk_Rank_Keys!$C$2:$C$800),--(Risk_Rank_Keys!$C$2:$C$800=Risk_Rank_Keys!C511))+1)/2)/COUNT(Risk_Rank_Keys!$C$2:$C$800))</f>
        <v/>
      </c>
      <c r="O511">
        <f>IF(OR(B511="NW",COUNT(Risk_Rank_Keys!D511)=0),0.5,(SUMPRODUCT(--ISNUMBER(Risk_Rank_Keys!$D$2:$D$800),--(Risk_Rank_Keys!$D$2:$D$800&lt;Risk_Rank_Keys!D511))+(SUMPRODUCT(--ISNUMBER(Risk_Rank_Keys!$D$2:$D$800),--(Risk_Rank_Keys!$D$2:$D$800=Risk_Rank_Keys!D511))+1)/2)/COUNT(Risk_Rank_Keys!$D$2:$D$800))</f>
        <v/>
      </c>
      <c r="P511">
        <f>AVERAGE(M511:O511)</f>
        <v/>
      </c>
      <c r="Q511">
        <f>0.4*H511+0.4*I511+0.2*P511</f>
        <v/>
      </c>
      <c r="R511">
        <f>PERCENTILE($Q$2:$Q$800,0.75)</f>
        <v/>
      </c>
      <c r="S511">
        <f>OR(Q511&gt;=R511,AND(B511="CW",COUNT(J511:L511)&lt;3))</f>
        <v/>
      </c>
      <c r="T511" t="n">
        <v>0.3172038833438927</v>
      </c>
      <c r="U511" t="n">
        <v>10.26093923088472</v>
      </c>
      <c r="V511" t="n">
        <v>0.6467554457018274</v>
      </c>
      <c r="W511">
        <f>Q511-V511</f>
        <v/>
      </c>
    </row>
    <row r="512">
      <c r="A512" t="inlineStr">
        <is>
          <t>2024-05-23</t>
        </is>
      </c>
      <c r="B512" t="inlineStr">
        <is>
          <t>CW</t>
        </is>
      </c>
      <c r="C512" t="n">
        <v>-45.69628030409527</v>
      </c>
      <c r="D512">
        <f>SUMPRODUCT(Risk_Inputs!B512:AJ512,Risk_Coefs!$B$2:$AJ$2)</f>
        <v/>
      </c>
      <c r="E512">
        <f>1/(1+EXP(-MAX(-25,MIN(25,D512))))</f>
        <v/>
      </c>
      <c r="F512">
        <f>SUMPRODUCT(Risk_Inputs!B512:AJ512,Risk_Coefs!$B$3:$AJ$3)</f>
        <v/>
      </c>
      <c r="G512">
        <f>MAX(0,F512)</f>
        <v/>
      </c>
      <c r="H512">
        <f>(SUMPRODUCT(--ISNUMBER($E$2:$E$800),--($E$2:$E$800&lt;E512))+(SUMPRODUCT(--ISNUMBER($E$2:$E$800),--($E$2:$E$800=E512))+1)/2)/COUNT($E$2:$E$800)</f>
        <v/>
      </c>
      <c r="I512">
        <f>(SUMPRODUCT(--ISNUMBER($G$2:$G$800),--($G$2:$G$800&lt;G512))+(SUMPRODUCT(--ISNUMBER($G$2:$G$800),--($G$2:$G$800=G512))+1)/2)/COUNT($G$2:$G$800)</f>
        <v/>
      </c>
      <c r="J512" t="n">
        <v>11.69955369188245</v>
      </c>
      <c r="K512" t="n">
        <v>9.126365054602198</v>
      </c>
      <c r="L512" t="n">
        <v>0.2730109204368131</v>
      </c>
      <c r="M512">
        <f>IF(OR(B512="NW",COUNT(Risk_Rank_Keys!B512)=0),0.5,(SUMPRODUCT(--ISNUMBER(Risk_Rank_Keys!$B$2:$B$800),--(Risk_Rank_Keys!$B$2:$B$800&lt;Risk_Rank_Keys!B512))+(SUMPRODUCT(--ISNUMBER(Risk_Rank_Keys!$B$2:$B$800),--(Risk_Rank_Keys!$B$2:$B$800=Risk_Rank_Keys!B512))+1)/2)/COUNT(Risk_Rank_Keys!$B$2:$B$800))</f>
        <v/>
      </c>
      <c r="N512">
        <f>IF(OR(B512="NW",COUNT(Risk_Rank_Keys!C512)=0),0.5,(SUMPRODUCT(--ISNUMBER(Risk_Rank_Keys!$C$2:$C$800),--(Risk_Rank_Keys!$C$2:$C$800&lt;Risk_Rank_Keys!C512))+(SUMPRODUCT(--ISNUMBER(Risk_Rank_Keys!$C$2:$C$800),--(Risk_Rank_Keys!$C$2:$C$800=Risk_Rank_Keys!C512))+1)/2)/COUNT(Risk_Rank_Keys!$C$2:$C$800))</f>
        <v/>
      </c>
      <c r="O512">
        <f>IF(OR(B512="NW",COUNT(Risk_Rank_Keys!D512)=0),0.5,(SUMPRODUCT(--ISNUMBER(Risk_Rank_Keys!$D$2:$D$800),--(Risk_Rank_Keys!$D$2:$D$800&lt;Risk_Rank_Keys!D512))+(SUMPRODUCT(--ISNUMBER(Risk_Rank_Keys!$D$2:$D$800),--(Risk_Rank_Keys!$D$2:$D$800=Risk_Rank_Keys!D512))+1)/2)/COUNT(Risk_Rank_Keys!$D$2:$D$800))</f>
        <v/>
      </c>
      <c r="P512">
        <f>AVERAGE(M512:O512)</f>
        <v/>
      </c>
      <c r="Q512">
        <f>0.4*H512+0.4*I512+0.2*P512</f>
        <v/>
      </c>
      <c r="R512">
        <f>PERCENTILE($Q$2:$Q$800,0.75)</f>
        <v/>
      </c>
      <c r="S512">
        <f>OR(Q512&gt;=R512,AND(B512="CW",COUNT(J512:L512)&lt;3))</f>
        <v/>
      </c>
      <c r="T512" t="n">
        <v>0.3007395775017036</v>
      </c>
      <c r="U512" t="n">
        <v>10.30327612853386</v>
      </c>
      <c r="V512" t="n">
        <v>0.6982471697245919</v>
      </c>
      <c r="W512">
        <f>Q512-V512</f>
        <v/>
      </c>
    </row>
    <row r="513">
      <c r="A513" t="inlineStr">
        <is>
          <t>2024-05-24</t>
        </is>
      </c>
      <c r="B513" t="inlineStr">
        <is>
          <t>CW</t>
        </is>
      </c>
      <c r="C513" t="n">
        <v>21.62040515979846</v>
      </c>
      <c r="D513">
        <f>SUMPRODUCT(Risk_Inputs!B513:AJ513,Risk_Coefs!$B$2:$AJ$2)</f>
        <v/>
      </c>
      <c r="E513">
        <f>1/(1+EXP(-MAX(-25,MIN(25,D513))))</f>
        <v/>
      </c>
      <c r="F513">
        <f>SUMPRODUCT(Risk_Inputs!B513:AJ513,Risk_Coefs!$B$3:$AJ$3)</f>
        <v/>
      </c>
      <c r="G513">
        <f>MAX(0,F513)</f>
        <v/>
      </c>
      <c r="H513">
        <f>(SUMPRODUCT(--ISNUMBER($E$2:$E$800),--($E$2:$E$800&lt;E513))+(SUMPRODUCT(--ISNUMBER($E$2:$E$800),--($E$2:$E$800=E513))+1)/2)/COUNT($E$2:$E$800)</f>
        <v/>
      </c>
      <c r="I513">
        <f>(SUMPRODUCT(--ISNUMBER($G$2:$G$800),--($G$2:$G$800&lt;G513))+(SUMPRODUCT(--ISNUMBER($G$2:$G$800),--($G$2:$G$800=G513))+1)/2)/COUNT($G$2:$G$800)</f>
        <v/>
      </c>
      <c r="J513" t="n">
        <v>11.38263049761528</v>
      </c>
      <c r="K513" t="n">
        <v>4.885226603884645</v>
      </c>
      <c r="L513" t="n">
        <v>0.2942907592701589</v>
      </c>
      <c r="M513">
        <f>IF(OR(B513="NW",COUNT(Risk_Rank_Keys!B513)=0),0.5,(SUMPRODUCT(--ISNUMBER(Risk_Rank_Keys!$B$2:$B$800),--(Risk_Rank_Keys!$B$2:$B$800&lt;Risk_Rank_Keys!B513))+(SUMPRODUCT(--ISNUMBER(Risk_Rank_Keys!$B$2:$B$800),--(Risk_Rank_Keys!$B$2:$B$800=Risk_Rank_Keys!B513))+1)/2)/COUNT(Risk_Rank_Keys!$B$2:$B$800))</f>
        <v/>
      </c>
      <c r="N513">
        <f>IF(OR(B513="NW",COUNT(Risk_Rank_Keys!C513)=0),0.5,(SUMPRODUCT(--ISNUMBER(Risk_Rank_Keys!$C$2:$C$800),--(Risk_Rank_Keys!$C$2:$C$800&lt;Risk_Rank_Keys!C513))+(SUMPRODUCT(--ISNUMBER(Risk_Rank_Keys!$C$2:$C$800),--(Risk_Rank_Keys!$C$2:$C$800=Risk_Rank_Keys!C513))+1)/2)/COUNT(Risk_Rank_Keys!$C$2:$C$800))</f>
        <v/>
      </c>
      <c r="O513">
        <f>IF(OR(B513="NW",COUNT(Risk_Rank_Keys!D513)=0),0.5,(SUMPRODUCT(--ISNUMBER(Risk_Rank_Keys!$D$2:$D$800),--(Risk_Rank_Keys!$D$2:$D$800&lt;Risk_Rank_Keys!D513))+(SUMPRODUCT(--ISNUMBER(Risk_Rank_Keys!$D$2:$D$800),--(Risk_Rank_Keys!$D$2:$D$800=Risk_Rank_Keys!D513))+1)/2)/COUNT(Risk_Rank_Keys!$D$2:$D$800))</f>
        <v/>
      </c>
      <c r="P513">
        <f>AVERAGE(M513:O513)</f>
        <v/>
      </c>
      <c r="Q513">
        <f>0.4*H513+0.4*I513+0.2*P513</f>
        <v/>
      </c>
      <c r="R513">
        <f>PERCENTILE($Q$2:$Q$800,0.75)</f>
        <v/>
      </c>
      <c r="S513">
        <f>OR(Q513&gt;=R513,AND(B513="CW",COUNT(J513:L513)&lt;3))</f>
        <v/>
      </c>
      <c r="T513" t="n">
        <v>0.2385080559068673</v>
      </c>
      <c r="U513" t="n">
        <v>7.362171686521512</v>
      </c>
      <c r="V513" t="n">
        <v>0.4006816982408857</v>
      </c>
      <c r="W513">
        <f>Q513-V513</f>
        <v/>
      </c>
    </row>
    <row r="514">
      <c r="A514" t="inlineStr">
        <is>
          <t>2024-05-27</t>
        </is>
      </c>
      <c r="B514" t="inlineStr">
        <is>
          <t>CW</t>
        </is>
      </c>
      <c r="C514" t="n">
        <v>14.04218770514455</v>
      </c>
      <c r="D514">
        <f>SUMPRODUCT(Risk_Inputs!B514:AJ514,Risk_Coefs!$B$2:$AJ$2)</f>
        <v/>
      </c>
      <c r="E514">
        <f>1/(1+EXP(-MAX(-25,MIN(25,D514))))</f>
        <v/>
      </c>
      <c r="F514">
        <f>SUMPRODUCT(Risk_Inputs!B514:AJ514,Risk_Coefs!$B$3:$AJ$3)</f>
        <v/>
      </c>
      <c r="G514">
        <f>MAX(0,F514)</f>
        <v/>
      </c>
      <c r="H514">
        <f>(SUMPRODUCT(--ISNUMBER($E$2:$E$800),--($E$2:$E$800&lt;E514))+(SUMPRODUCT(--ISNUMBER($E$2:$E$800),--($E$2:$E$800=E514))+1)/2)/COUNT($E$2:$E$800)</f>
        <v/>
      </c>
      <c r="I514">
        <f>(SUMPRODUCT(--ISNUMBER($G$2:$G$800),--($G$2:$G$800&lt;G514))+(SUMPRODUCT(--ISNUMBER($G$2:$G$800),--($G$2:$G$800=G514))+1)/2)/COUNT($G$2:$G$800)</f>
        <v/>
      </c>
      <c r="J514" t="n">
        <v>3.318540883121345</v>
      </c>
      <c r="K514" t="n">
        <v>2.0611473720371</v>
      </c>
      <c r="L514" t="n">
        <v>0.2061147372037081</v>
      </c>
      <c r="M514">
        <f>IF(OR(B514="NW",COUNT(Risk_Rank_Keys!B514)=0),0.5,(SUMPRODUCT(--ISNUMBER(Risk_Rank_Keys!$B$2:$B$800),--(Risk_Rank_Keys!$B$2:$B$800&lt;Risk_Rank_Keys!B514))+(SUMPRODUCT(--ISNUMBER(Risk_Rank_Keys!$B$2:$B$800),--(Risk_Rank_Keys!$B$2:$B$800=Risk_Rank_Keys!B514))+1)/2)/COUNT(Risk_Rank_Keys!$B$2:$B$800))</f>
        <v/>
      </c>
      <c r="N514">
        <f>IF(OR(B514="NW",COUNT(Risk_Rank_Keys!C514)=0),0.5,(SUMPRODUCT(--ISNUMBER(Risk_Rank_Keys!$C$2:$C$800),--(Risk_Rank_Keys!$C$2:$C$800&lt;Risk_Rank_Keys!C514))+(SUMPRODUCT(--ISNUMBER(Risk_Rank_Keys!$C$2:$C$800),--(Risk_Rank_Keys!$C$2:$C$800=Risk_Rank_Keys!C514))+1)/2)/COUNT(Risk_Rank_Keys!$C$2:$C$800))</f>
        <v/>
      </c>
      <c r="O514">
        <f>IF(OR(B514="NW",COUNT(Risk_Rank_Keys!D514)=0),0.5,(SUMPRODUCT(--ISNUMBER(Risk_Rank_Keys!$D$2:$D$800),--(Risk_Rank_Keys!$D$2:$D$800&lt;Risk_Rank_Keys!D514))+(SUMPRODUCT(--ISNUMBER(Risk_Rank_Keys!$D$2:$D$800),--(Risk_Rank_Keys!$D$2:$D$800=Risk_Rank_Keys!D514))+1)/2)/COUNT(Risk_Rank_Keys!$D$2:$D$800))</f>
        <v/>
      </c>
      <c r="P514">
        <f>AVERAGE(M514:O514)</f>
        <v/>
      </c>
      <c r="Q514">
        <f>0.4*H514+0.4*I514+0.2*P514</f>
        <v/>
      </c>
      <c r="R514">
        <f>PERCENTILE($Q$2:$Q$800,0.75)</f>
        <v/>
      </c>
      <c r="S514">
        <f>OR(Q514&gt;=R514,AND(B514="CW",COUNT(J514:L514)&lt;3))</f>
        <v/>
      </c>
      <c r="T514" t="n">
        <v>0.3507949894239105</v>
      </c>
      <c r="U514" t="n">
        <v>9.830930690458159</v>
      </c>
      <c r="V514" t="n">
        <v>0.6802964421472912</v>
      </c>
      <c r="W514">
        <f>Q514-V514</f>
        <v/>
      </c>
    </row>
    <row r="515">
      <c r="A515" t="inlineStr">
        <is>
          <t>2024-05-28</t>
        </is>
      </c>
      <c r="B515" t="inlineStr">
        <is>
          <t>CW</t>
        </is>
      </c>
      <c r="C515" t="n">
        <v>37.64729301511029</v>
      </c>
      <c r="D515">
        <f>SUMPRODUCT(Risk_Inputs!B515:AJ515,Risk_Coefs!$B$2:$AJ$2)</f>
        <v/>
      </c>
      <c r="E515">
        <f>1/(1+EXP(-MAX(-25,MIN(25,D515))))</f>
        <v/>
      </c>
      <c r="F515">
        <f>SUMPRODUCT(Risk_Inputs!B515:AJ515,Risk_Coefs!$B$3:$AJ$3)</f>
        <v/>
      </c>
      <c r="G515">
        <f>MAX(0,F515)</f>
        <v/>
      </c>
      <c r="H515">
        <f>(SUMPRODUCT(--ISNUMBER($E$2:$E$800),--($E$2:$E$800&lt;E515))+(SUMPRODUCT(--ISNUMBER($E$2:$E$800),--($E$2:$E$800=E515))+1)/2)/COUNT($E$2:$E$800)</f>
        <v/>
      </c>
      <c r="I515">
        <f>(SUMPRODUCT(--ISNUMBER($G$2:$G$800),--($G$2:$G$800&lt;G515))+(SUMPRODUCT(--ISNUMBER($G$2:$G$800),--($G$2:$G$800=G515))+1)/2)/COUNT($G$2:$G$800)</f>
        <v/>
      </c>
      <c r="J515" t="n">
        <v>4.086370216447838</v>
      </c>
      <c r="K515" t="n">
        <v>1.993865030674842</v>
      </c>
      <c r="L515" t="n">
        <v>0.1917177914110429</v>
      </c>
      <c r="M515">
        <f>IF(OR(B515="NW",COUNT(Risk_Rank_Keys!B515)=0),0.5,(SUMPRODUCT(--ISNUMBER(Risk_Rank_Keys!$B$2:$B$800),--(Risk_Rank_Keys!$B$2:$B$800&lt;Risk_Rank_Keys!B515))+(SUMPRODUCT(--ISNUMBER(Risk_Rank_Keys!$B$2:$B$800),--(Risk_Rank_Keys!$B$2:$B$800=Risk_Rank_Keys!B515))+1)/2)/COUNT(Risk_Rank_Keys!$B$2:$B$800))</f>
        <v/>
      </c>
      <c r="N515">
        <f>IF(OR(B515="NW",COUNT(Risk_Rank_Keys!C515)=0),0.5,(SUMPRODUCT(--ISNUMBER(Risk_Rank_Keys!$C$2:$C$800),--(Risk_Rank_Keys!$C$2:$C$800&lt;Risk_Rank_Keys!C515))+(SUMPRODUCT(--ISNUMBER(Risk_Rank_Keys!$C$2:$C$800),--(Risk_Rank_Keys!$C$2:$C$800=Risk_Rank_Keys!C515))+1)/2)/COUNT(Risk_Rank_Keys!$C$2:$C$800))</f>
        <v/>
      </c>
      <c r="O515">
        <f>IF(OR(B515="NW",COUNT(Risk_Rank_Keys!D515)=0),0.5,(SUMPRODUCT(--ISNUMBER(Risk_Rank_Keys!$D$2:$D$800),--(Risk_Rank_Keys!$D$2:$D$800&lt;Risk_Rank_Keys!D515))+(SUMPRODUCT(--ISNUMBER(Risk_Rank_Keys!$D$2:$D$800),--(Risk_Rank_Keys!$D$2:$D$800=Risk_Rank_Keys!D515))+1)/2)/COUNT(Risk_Rank_Keys!$D$2:$D$800))</f>
        <v/>
      </c>
      <c r="P515">
        <f>AVERAGE(M515:O515)</f>
        <v/>
      </c>
      <c r="Q515">
        <f>0.4*H515+0.4*I515+0.2*P515</f>
        <v/>
      </c>
      <c r="R515">
        <f>PERCENTILE($Q$2:$Q$800,0.75)</f>
        <v/>
      </c>
      <c r="S515">
        <f>OR(Q515&gt;=R515,AND(B515="CW",COUNT(J515:L515)&lt;3))</f>
        <v/>
      </c>
      <c r="T515" t="n">
        <v>0.3164038267894862</v>
      </c>
      <c r="U515" t="n">
        <v>8.606540768130985</v>
      </c>
      <c r="V515" t="n">
        <v>0.5486744530151298</v>
      </c>
      <c r="W515">
        <f>Q515-V515</f>
        <v/>
      </c>
    </row>
    <row r="516">
      <c r="A516" t="inlineStr">
        <is>
          <t>2024-05-29</t>
        </is>
      </c>
      <c r="B516" t="inlineStr">
        <is>
          <t>CW</t>
        </is>
      </c>
      <c r="C516" t="n">
        <v>25.11006236669347</v>
      </c>
      <c r="D516">
        <f>SUMPRODUCT(Risk_Inputs!B516:AJ516,Risk_Coefs!$B$2:$AJ$2)</f>
        <v/>
      </c>
      <c r="E516">
        <f>1/(1+EXP(-MAX(-25,MIN(25,D516))))</f>
        <v/>
      </c>
      <c r="F516">
        <f>SUMPRODUCT(Risk_Inputs!B516:AJ516,Risk_Coefs!$B$3:$AJ$3)</f>
        <v/>
      </c>
      <c r="G516">
        <f>MAX(0,F516)</f>
        <v/>
      </c>
      <c r="H516">
        <f>(SUMPRODUCT(--ISNUMBER($E$2:$E$800),--($E$2:$E$800&lt;E516))+(SUMPRODUCT(--ISNUMBER($E$2:$E$800),--($E$2:$E$800=E516))+1)/2)/COUNT($E$2:$E$800)</f>
        <v/>
      </c>
      <c r="I516">
        <f>(SUMPRODUCT(--ISNUMBER($G$2:$G$800),--($G$2:$G$800&lt;G516))+(SUMPRODUCT(--ISNUMBER($G$2:$G$800),--($G$2:$G$800=G516))+1)/2)/COUNT($G$2:$G$800)</f>
        <v/>
      </c>
      <c r="J516" t="n">
        <v>11.96860593091562</v>
      </c>
      <c r="K516" t="n">
        <v>7.486875142661482</v>
      </c>
      <c r="L516" t="n">
        <v>0.1597808719470479</v>
      </c>
      <c r="M516">
        <f>IF(OR(B516="NW",COUNT(Risk_Rank_Keys!B516)=0),0.5,(SUMPRODUCT(--ISNUMBER(Risk_Rank_Keys!$B$2:$B$800),--(Risk_Rank_Keys!$B$2:$B$800&lt;Risk_Rank_Keys!B516))+(SUMPRODUCT(--ISNUMBER(Risk_Rank_Keys!$B$2:$B$800),--(Risk_Rank_Keys!$B$2:$B$800=Risk_Rank_Keys!B516))+1)/2)/COUNT(Risk_Rank_Keys!$B$2:$B$800))</f>
        <v/>
      </c>
      <c r="N516">
        <f>IF(OR(B516="NW",COUNT(Risk_Rank_Keys!C516)=0),0.5,(SUMPRODUCT(--ISNUMBER(Risk_Rank_Keys!$C$2:$C$800),--(Risk_Rank_Keys!$C$2:$C$800&lt;Risk_Rank_Keys!C516))+(SUMPRODUCT(--ISNUMBER(Risk_Rank_Keys!$C$2:$C$800),--(Risk_Rank_Keys!$C$2:$C$800=Risk_Rank_Keys!C516))+1)/2)/COUNT(Risk_Rank_Keys!$C$2:$C$800))</f>
        <v/>
      </c>
      <c r="O516">
        <f>IF(OR(B516="NW",COUNT(Risk_Rank_Keys!D516)=0),0.5,(SUMPRODUCT(--ISNUMBER(Risk_Rank_Keys!$D$2:$D$800),--(Risk_Rank_Keys!$D$2:$D$800&lt;Risk_Rank_Keys!D516))+(SUMPRODUCT(--ISNUMBER(Risk_Rank_Keys!$D$2:$D$800),--(Risk_Rank_Keys!$D$2:$D$800=Risk_Rank_Keys!D516))+1)/2)/COUNT(Risk_Rank_Keys!$D$2:$D$800))</f>
        <v/>
      </c>
      <c r="P516">
        <f>AVERAGE(M516:O516)</f>
        <v/>
      </c>
      <c r="Q516">
        <f>0.4*H516+0.4*I516+0.2*P516</f>
        <v/>
      </c>
      <c r="R516">
        <f>PERCENTILE($Q$2:$Q$800,0.75)</f>
        <v/>
      </c>
      <c r="S516">
        <f>OR(Q516&gt;=R516,AND(B516="CW",COUNT(J516:L516)&lt;3))</f>
        <v/>
      </c>
      <c r="T516" t="n">
        <v>0.3686927141159695</v>
      </c>
      <c r="U516" t="n">
        <v>10.55010382402651</v>
      </c>
      <c r="V516" t="n">
        <v>0.7886002319263562</v>
      </c>
      <c r="W516">
        <f>Q516-V516</f>
        <v/>
      </c>
    </row>
    <row r="517">
      <c r="A517" t="inlineStr">
        <is>
          <t>2024-05-30</t>
        </is>
      </c>
      <c r="B517" t="inlineStr">
        <is>
          <t>CW</t>
        </is>
      </c>
      <c r="C517" t="n">
        <v>50.85697618869027</v>
      </c>
      <c r="D517">
        <f>SUMPRODUCT(Risk_Inputs!B517:AJ517,Risk_Coefs!$B$2:$AJ$2)</f>
        <v/>
      </c>
      <c r="E517">
        <f>1/(1+EXP(-MAX(-25,MIN(25,D517))))</f>
        <v/>
      </c>
      <c r="F517">
        <f>SUMPRODUCT(Risk_Inputs!B517:AJ517,Risk_Coefs!$B$3:$AJ$3)</f>
        <v/>
      </c>
      <c r="G517">
        <f>MAX(0,F517)</f>
        <v/>
      </c>
      <c r="H517">
        <f>(SUMPRODUCT(--ISNUMBER($E$2:$E$800),--($E$2:$E$800&lt;E517))+(SUMPRODUCT(--ISNUMBER($E$2:$E$800),--($E$2:$E$800=E517))+1)/2)/COUNT($E$2:$E$800)</f>
        <v/>
      </c>
      <c r="I517">
        <f>(SUMPRODUCT(--ISNUMBER($G$2:$G$800),--($G$2:$G$800&lt;G517))+(SUMPRODUCT(--ISNUMBER($G$2:$G$800),--($G$2:$G$800=G517))+1)/2)/COUNT($G$2:$G$800)</f>
        <v/>
      </c>
      <c r="J517" t="n">
        <v>3.533178756762725</v>
      </c>
      <c r="K517" t="n">
        <v>4.141208418194177</v>
      </c>
      <c r="L517" t="n">
        <v>0.2036659877800484</v>
      </c>
      <c r="M517">
        <f>IF(OR(B517="NW",COUNT(Risk_Rank_Keys!B517)=0),0.5,(SUMPRODUCT(--ISNUMBER(Risk_Rank_Keys!$B$2:$B$800),--(Risk_Rank_Keys!$B$2:$B$800&lt;Risk_Rank_Keys!B517))+(SUMPRODUCT(--ISNUMBER(Risk_Rank_Keys!$B$2:$B$800),--(Risk_Rank_Keys!$B$2:$B$800=Risk_Rank_Keys!B517))+1)/2)/COUNT(Risk_Rank_Keys!$B$2:$B$800))</f>
        <v/>
      </c>
      <c r="N517">
        <f>IF(OR(B517="NW",COUNT(Risk_Rank_Keys!C517)=0),0.5,(SUMPRODUCT(--ISNUMBER(Risk_Rank_Keys!$C$2:$C$800),--(Risk_Rank_Keys!$C$2:$C$800&lt;Risk_Rank_Keys!C517))+(SUMPRODUCT(--ISNUMBER(Risk_Rank_Keys!$C$2:$C$800),--(Risk_Rank_Keys!$C$2:$C$800=Risk_Rank_Keys!C517))+1)/2)/COUNT(Risk_Rank_Keys!$C$2:$C$800))</f>
        <v/>
      </c>
      <c r="O517">
        <f>IF(OR(B517="NW",COUNT(Risk_Rank_Keys!D517)=0),0.5,(SUMPRODUCT(--ISNUMBER(Risk_Rank_Keys!$D$2:$D$800),--(Risk_Rank_Keys!$D$2:$D$800&lt;Risk_Rank_Keys!D517))+(SUMPRODUCT(--ISNUMBER(Risk_Rank_Keys!$D$2:$D$800),--(Risk_Rank_Keys!$D$2:$D$800=Risk_Rank_Keys!D517))+1)/2)/COUNT(Risk_Rank_Keys!$D$2:$D$800))</f>
        <v/>
      </c>
      <c r="P517">
        <f>AVERAGE(M517:O517)</f>
        <v/>
      </c>
      <c r="Q517">
        <f>0.4*H517+0.4*I517+0.2*P517</f>
        <v/>
      </c>
      <c r="R517">
        <f>PERCENTILE($Q$2:$Q$800,0.75)</f>
        <v/>
      </c>
      <c r="S517">
        <f>OR(Q517&gt;=R517,AND(B517="CW",COUNT(J517:L517)&lt;3))</f>
        <v/>
      </c>
      <c r="T517" t="n">
        <v>0.3792619679296964</v>
      </c>
      <c r="U517" t="n">
        <v>11.87550830828172</v>
      </c>
      <c r="V517" t="n">
        <v>0.7919231908318686</v>
      </c>
      <c r="W517">
        <f>Q517-V517</f>
        <v/>
      </c>
    </row>
    <row r="518">
      <c r="A518" t="inlineStr">
        <is>
          <t>2024-05-31</t>
        </is>
      </c>
      <c r="B518" t="inlineStr">
        <is>
          <t>CW</t>
        </is>
      </c>
      <c r="C518" t="n">
        <v>53.19105885924778</v>
      </c>
      <c r="D518">
        <f>SUMPRODUCT(Risk_Inputs!B518:AJ518,Risk_Coefs!$B$2:$AJ$2)</f>
        <v/>
      </c>
      <c r="E518">
        <f>1/(1+EXP(-MAX(-25,MIN(25,D518))))</f>
        <v/>
      </c>
      <c r="F518">
        <f>SUMPRODUCT(Risk_Inputs!B518:AJ518,Risk_Coefs!$B$3:$AJ$3)</f>
        <v/>
      </c>
      <c r="G518">
        <f>MAX(0,F518)</f>
        <v/>
      </c>
      <c r="H518">
        <f>(SUMPRODUCT(--ISNUMBER($E$2:$E$800),--($E$2:$E$800&lt;E518))+(SUMPRODUCT(--ISNUMBER($E$2:$E$800),--($E$2:$E$800=E518))+1)/2)/COUNT($E$2:$E$800)</f>
        <v/>
      </c>
      <c r="I518">
        <f>(SUMPRODUCT(--ISNUMBER($G$2:$G$800),--($G$2:$G$800&lt;G518))+(SUMPRODUCT(--ISNUMBER($G$2:$G$800),--($G$2:$G$800=G518))+1)/2)/COUNT($G$2:$G$800)</f>
        <v/>
      </c>
      <c r="J518" t="n">
        <v>8.506614168704939</v>
      </c>
      <c r="K518" t="n">
        <v>4.055315672773952</v>
      </c>
      <c r="L518" t="n">
        <v>0.0991947718520273</v>
      </c>
      <c r="M518">
        <f>IF(OR(B518="NW",COUNT(Risk_Rank_Keys!B518)=0),0.5,(SUMPRODUCT(--ISNUMBER(Risk_Rank_Keys!$B$2:$B$800),--(Risk_Rank_Keys!$B$2:$B$800&lt;Risk_Rank_Keys!B518))+(SUMPRODUCT(--ISNUMBER(Risk_Rank_Keys!$B$2:$B$800),--(Risk_Rank_Keys!$B$2:$B$800=Risk_Rank_Keys!B518))+1)/2)/COUNT(Risk_Rank_Keys!$B$2:$B$800))</f>
        <v/>
      </c>
      <c r="N518">
        <f>IF(OR(B518="NW",COUNT(Risk_Rank_Keys!C518)=0),0.5,(SUMPRODUCT(--ISNUMBER(Risk_Rank_Keys!$C$2:$C$800),--(Risk_Rank_Keys!$C$2:$C$800&lt;Risk_Rank_Keys!C518))+(SUMPRODUCT(--ISNUMBER(Risk_Rank_Keys!$C$2:$C$800),--(Risk_Rank_Keys!$C$2:$C$800=Risk_Rank_Keys!C518))+1)/2)/COUNT(Risk_Rank_Keys!$C$2:$C$800))</f>
        <v/>
      </c>
      <c r="O518">
        <f>IF(OR(B518="NW",COUNT(Risk_Rank_Keys!D518)=0),0.5,(SUMPRODUCT(--ISNUMBER(Risk_Rank_Keys!$D$2:$D$800),--(Risk_Rank_Keys!$D$2:$D$800&lt;Risk_Rank_Keys!D518))+(SUMPRODUCT(--ISNUMBER(Risk_Rank_Keys!$D$2:$D$800),--(Risk_Rank_Keys!$D$2:$D$800=Risk_Rank_Keys!D518))+1)/2)/COUNT(Risk_Rank_Keys!$D$2:$D$800))</f>
        <v/>
      </c>
      <c r="P518">
        <f>AVERAGE(M518:O518)</f>
        <v/>
      </c>
      <c r="Q518">
        <f>0.4*H518+0.4*I518+0.2*P518</f>
        <v/>
      </c>
      <c r="R518">
        <f>PERCENTILE($Q$2:$Q$800,0.75)</f>
        <v/>
      </c>
      <c r="S518">
        <f>OR(Q518&gt;=R518,AND(B518="CW",COUNT(J518:L518)&lt;3))</f>
        <v/>
      </c>
      <c r="T518" t="n">
        <v>0.4289152469351838</v>
      </c>
      <c r="U518" t="n">
        <v>16.67651479714164</v>
      </c>
      <c r="V518" t="n">
        <v>0.8543443134694753</v>
      </c>
      <c r="W518">
        <f>Q518-V518</f>
        <v/>
      </c>
    </row>
    <row r="519">
      <c r="A519" t="inlineStr">
        <is>
          <t>2024-06-04</t>
        </is>
      </c>
      <c r="B519" t="inlineStr">
        <is>
          <t>CW</t>
        </is>
      </c>
      <c r="C519" t="n">
        <v>-25.13083982256586</v>
      </c>
      <c r="D519">
        <f>SUMPRODUCT(Risk_Inputs!B519:AJ519,Risk_Coefs!$B$2:$AJ$2)</f>
        <v/>
      </c>
      <c r="E519">
        <f>1/(1+EXP(-MAX(-25,MIN(25,D519))))</f>
        <v/>
      </c>
      <c r="F519">
        <f>SUMPRODUCT(Risk_Inputs!B519:AJ519,Risk_Coefs!$B$3:$AJ$3)</f>
        <v/>
      </c>
      <c r="G519">
        <f>MAX(0,F519)</f>
        <v/>
      </c>
      <c r="H519">
        <f>(SUMPRODUCT(--ISNUMBER($E$2:$E$800),--($E$2:$E$800&lt;E519))+(SUMPRODUCT(--ISNUMBER($E$2:$E$800),--($E$2:$E$800=E519))+1)/2)/COUNT($E$2:$E$800)</f>
        <v/>
      </c>
      <c r="I519">
        <f>(SUMPRODUCT(--ISNUMBER($G$2:$G$800),--($G$2:$G$800&lt;G519))+(SUMPRODUCT(--ISNUMBER($G$2:$G$800),--($G$2:$G$800=G519))+1)/2)/COUNT($G$2:$G$800)</f>
        <v/>
      </c>
      <c r="J519" t="n">
        <v>21.96167720042144</v>
      </c>
      <c r="K519" t="n">
        <v>6.50859752821063</v>
      </c>
      <c r="L519" t="n">
        <v>0.2283718430951086</v>
      </c>
      <c r="M519">
        <f>IF(OR(B519="NW",COUNT(Risk_Rank_Keys!B519)=0),0.5,(SUMPRODUCT(--ISNUMBER(Risk_Rank_Keys!$B$2:$B$800),--(Risk_Rank_Keys!$B$2:$B$800&lt;Risk_Rank_Keys!B519))+(SUMPRODUCT(--ISNUMBER(Risk_Rank_Keys!$B$2:$B$800),--(Risk_Rank_Keys!$B$2:$B$800=Risk_Rank_Keys!B519))+1)/2)/COUNT(Risk_Rank_Keys!$B$2:$B$800))</f>
        <v/>
      </c>
      <c r="N519">
        <f>IF(OR(B519="NW",COUNT(Risk_Rank_Keys!C519)=0),0.5,(SUMPRODUCT(--ISNUMBER(Risk_Rank_Keys!$C$2:$C$800),--(Risk_Rank_Keys!$C$2:$C$800&lt;Risk_Rank_Keys!C519))+(SUMPRODUCT(--ISNUMBER(Risk_Rank_Keys!$C$2:$C$800),--(Risk_Rank_Keys!$C$2:$C$800=Risk_Rank_Keys!C519))+1)/2)/COUNT(Risk_Rank_Keys!$C$2:$C$800))</f>
        <v/>
      </c>
      <c r="O519">
        <f>IF(OR(B519="NW",COUNT(Risk_Rank_Keys!D519)=0),0.5,(SUMPRODUCT(--ISNUMBER(Risk_Rank_Keys!$D$2:$D$800),--(Risk_Rank_Keys!$D$2:$D$800&lt;Risk_Rank_Keys!D519))+(SUMPRODUCT(--ISNUMBER(Risk_Rank_Keys!$D$2:$D$800),--(Risk_Rank_Keys!$D$2:$D$800=Risk_Rank_Keys!D519))+1)/2)/COUNT(Risk_Rank_Keys!$D$2:$D$800))</f>
        <v/>
      </c>
      <c r="P519">
        <f>AVERAGE(M519:O519)</f>
        <v/>
      </c>
      <c r="Q519">
        <f>0.4*H519+0.4*I519+0.2*P519</f>
        <v/>
      </c>
      <c r="R519">
        <f>PERCENTILE($Q$2:$Q$800,0.75)</f>
        <v/>
      </c>
      <c r="S519">
        <f>OR(Q519&gt;=R519,AND(B519="CW",COUNT(J519:L519)&lt;3))</f>
        <v/>
      </c>
      <c r="T519" t="n">
        <v>0.4042783392390157</v>
      </c>
      <c r="U519" t="n">
        <v>7.542026605206358</v>
      </c>
      <c r="V519" t="n">
        <v>0.7137949633694838</v>
      </c>
      <c r="W519">
        <f>Q519-V519</f>
        <v/>
      </c>
    </row>
    <row r="520">
      <c r="A520" t="inlineStr">
        <is>
          <t>2024-06-05</t>
        </is>
      </c>
      <c r="B520" t="inlineStr">
        <is>
          <t>NW</t>
        </is>
      </c>
      <c r="C520" t="n">
        <v>-50.36913309552961</v>
      </c>
      <c r="D520">
        <f>SUMPRODUCT(Risk_Inputs!B520:AJ520,Risk_Coefs!$B$2:$AJ$2)</f>
        <v/>
      </c>
      <c r="E520">
        <f>1/(1+EXP(-MAX(-25,MIN(25,D520))))</f>
        <v/>
      </c>
      <c r="F520">
        <f>SUMPRODUCT(Risk_Inputs!B520:AJ520,Risk_Coefs!$B$3:$AJ$3)</f>
        <v/>
      </c>
      <c r="G520">
        <f>MAX(0,F520)</f>
        <v/>
      </c>
      <c r="H520">
        <f>(SUMPRODUCT(--ISNUMBER($E$2:$E$800),--($E$2:$E$800&lt;E520))+(SUMPRODUCT(--ISNUMBER($E$2:$E$800),--($E$2:$E$800=E520))+1)/2)/COUNT($E$2:$E$800)</f>
        <v/>
      </c>
      <c r="I520">
        <f>(SUMPRODUCT(--ISNUMBER($G$2:$G$800),--($G$2:$G$800&lt;G520))+(SUMPRODUCT(--ISNUMBER($G$2:$G$800),--($G$2:$G$800=G520))+1)/2)/COUNT($G$2:$G$800)</f>
        <v/>
      </c>
      <c r="M520">
        <f>IF(OR(B520="NW",COUNT(Risk_Rank_Keys!B520)=0),0.5,(SUMPRODUCT(--ISNUMBER(Risk_Rank_Keys!$B$2:$B$800),--(Risk_Rank_Keys!$B$2:$B$800&lt;Risk_Rank_Keys!B520))+(SUMPRODUCT(--ISNUMBER(Risk_Rank_Keys!$B$2:$B$800),--(Risk_Rank_Keys!$B$2:$B$800=Risk_Rank_Keys!B520))+1)/2)/COUNT(Risk_Rank_Keys!$B$2:$B$800))</f>
        <v/>
      </c>
      <c r="N520">
        <f>IF(OR(B520="NW",COUNT(Risk_Rank_Keys!C520)=0),0.5,(SUMPRODUCT(--ISNUMBER(Risk_Rank_Keys!$C$2:$C$800),--(Risk_Rank_Keys!$C$2:$C$800&lt;Risk_Rank_Keys!C520))+(SUMPRODUCT(--ISNUMBER(Risk_Rank_Keys!$C$2:$C$800),--(Risk_Rank_Keys!$C$2:$C$800=Risk_Rank_Keys!C520))+1)/2)/COUNT(Risk_Rank_Keys!$C$2:$C$800))</f>
        <v/>
      </c>
      <c r="O520">
        <f>IF(OR(B520="NW",COUNT(Risk_Rank_Keys!D520)=0),0.5,(SUMPRODUCT(--ISNUMBER(Risk_Rank_Keys!$D$2:$D$800),--(Risk_Rank_Keys!$D$2:$D$800&lt;Risk_Rank_Keys!D520))+(SUMPRODUCT(--ISNUMBER(Risk_Rank_Keys!$D$2:$D$800),--(Risk_Rank_Keys!$D$2:$D$800=Risk_Rank_Keys!D520))+1)/2)/COUNT(Risk_Rank_Keys!$D$2:$D$800))</f>
        <v/>
      </c>
      <c r="P520">
        <f>AVERAGE(M520:O520)</f>
        <v/>
      </c>
      <c r="Q520">
        <f>0.4*H520+0.4*I520+0.2*P520</f>
        <v/>
      </c>
      <c r="R520">
        <f>PERCENTILE($Q$2:$Q$800,0.75)</f>
        <v/>
      </c>
      <c r="S520">
        <f>OR(Q520&gt;=R520,AND(B520="CW",COUNT(J520:L520)&lt;3))</f>
        <v/>
      </c>
      <c r="T520" t="n">
        <v>0.515762235756712</v>
      </c>
      <c r="U520" t="n">
        <v>18.68998480398817</v>
      </c>
      <c r="V520" t="n">
        <v>0.8984981226533166</v>
      </c>
      <c r="W520">
        <f>Q520-V520</f>
        <v/>
      </c>
    </row>
    <row r="521">
      <c r="A521" t="inlineStr">
        <is>
          <t>2024-06-06</t>
        </is>
      </c>
      <c r="B521" t="inlineStr">
        <is>
          <t>CW</t>
        </is>
      </c>
      <c r="C521" t="n">
        <v>46.20841663100025</v>
      </c>
      <c r="D521">
        <f>SUMPRODUCT(Risk_Inputs!B521:AJ521,Risk_Coefs!$B$2:$AJ$2)</f>
        <v/>
      </c>
      <c r="E521">
        <f>1/(1+EXP(-MAX(-25,MIN(25,D521))))</f>
        <v/>
      </c>
      <c r="F521">
        <f>SUMPRODUCT(Risk_Inputs!B521:AJ521,Risk_Coefs!$B$3:$AJ$3)</f>
        <v/>
      </c>
      <c r="G521">
        <f>MAX(0,F521)</f>
        <v/>
      </c>
      <c r="H521">
        <f>(SUMPRODUCT(--ISNUMBER($E$2:$E$800),--($E$2:$E$800&lt;E521))+(SUMPRODUCT(--ISNUMBER($E$2:$E$800),--($E$2:$E$800=E521))+1)/2)/COUNT($E$2:$E$800)</f>
        <v/>
      </c>
      <c r="I521">
        <f>(SUMPRODUCT(--ISNUMBER($G$2:$G$800),--($G$2:$G$800&lt;G521))+(SUMPRODUCT(--ISNUMBER($G$2:$G$800),--($G$2:$G$800=G521))+1)/2)/COUNT($G$2:$G$800)</f>
        <v/>
      </c>
      <c r="J521" t="n">
        <v>20.77990688664477</v>
      </c>
      <c r="K521" t="n">
        <v>6.060606060606062</v>
      </c>
      <c r="L521" t="n">
        <v>0.2237136465324373</v>
      </c>
      <c r="M521">
        <f>IF(OR(B521="NW",COUNT(Risk_Rank_Keys!B521)=0),0.5,(SUMPRODUCT(--ISNUMBER(Risk_Rank_Keys!$B$2:$B$800),--(Risk_Rank_Keys!$B$2:$B$800&lt;Risk_Rank_Keys!B521))+(SUMPRODUCT(--ISNUMBER(Risk_Rank_Keys!$B$2:$B$800),--(Risk_Rank_Keys!$B$2:$B$800=Risk_Rank_Keys!B521))+1)/2)/COUNT(Risk_Rank_Keys!$B$2:$B$800))</f>
        <v/>
      </c>
      <c r="N521">
        <f>IF(OR(B521="NW",COUNT(Risk_Rank_Keys!C521)=0),0.5,(SUMPRODUCT(--ISNUMBER(Risk_Rank_Keys!$C$2:$C$800),--(Risk_Rank_Keys!$C$2:$C$800&lt;Risk_Rank_Keys!C521))+(SUMPRODUCT(--ISNUMBER(Risk_Rank_Keys!$C$2:$C$800),--(Risk_Rank_Keys!$C$2:$C$800=Risk_Rank_Keys!C521))+1)/2)/COUNT(Risk_Rank_Keys!$C$2:$C$800))</f>
        <v/>
      </c>
      <c r="O521">
        <f>IF(OR(B521="NW",COUNT(Risk_Rank_Keys!D521)=0),0.5,(SUMPRODUCT(--ISNUMBER(Risk_Rank_Keys!$D$2:$D$800),--(Risk_Rank_Keys!$D$2:$D$800&lt;Risk_Rank_Keys!D521))+(SUMPRODUCT(--ISNUMBER(Risk_Rank_Keys!$D$2:$D$800),--(Risk_Rank_Keys!$D$2:$D$800=Risk_Rank_Keys!D521))+1)/2)/COUNT(Risk_Rank_Keys!$D$2:$D$800))</f>
        <v/>
      </c>
      <c r="P521">
        <f>AVERAGE(M521:O521)</f>
        <v/>
      </c>
      <c r="Q521">
        <f>0.4*H521+0.4*I521+0.2*P521</f>
        <v/>
      </c>
      <c r="R521">
        <f>PERCENTILE($Q$2:$Q$800,0.75)</f>
        <v/>
      </c>
      <c r="S521">
        <f>OR(Q521&gt;=R521,AND(B521="CW",COUNT(J521:L521)&lt;3))</f>
        <v/>
      </c>
      <c r="T521" t="n">
        <v>0.3276774473989886</v>
      </c>
      <c r="U521" t="n">
        <v>10.39720185770048</v>
      </c>
      <c r="V521" t="n">
        <v>0.7535372260420832</v>
      </c>
      <c r="W521">
        <f>Q521-V521</f>
        <v/>
      </c>
    </row>
    <row r="522">
      <c r="A522" t="inlineStr">
        <is>
          <t>2024-06-10</t>
        </is>
      </c>
      <c r="B522" t="inlineStr">
        <is>
          <t>CW</t>
        </is>
      </c>
      <c r="C522" t="n">
        <v>53.28861343020974</v>
      </c>
      <c r="D522">
        <f>SUMPRODUCT(Risk_Inputs!B522:AJ522,Risk_Coefs!$B$2:$AJ$2)</f>
        <v/>
      </c>
      <c r="E522">
        <f>1/(1+EXP(-MAX(-25,MIN(25,D522))))</f>
        <v/>
      </c>
      <c r="F522">
        <f>SUMPRODUCT(Risk_Inputs!B522:AJ522,Risk_Coefs!$B$3:$AJ$3)</f>
        <v/>
      </c>
      <c r="G522">
        <f>MAX(0,F522)</f>
        <v/>
      </c>
      <c r="H522">
        <f>(SUMPRODUCT(--ISNUMBER($E$2:$E$800),--($E$2:$E$800&lt;E522))+(SUMPRODUCT(--ISNUMBER($E$2:$E$800),--($E$2:$E$800=E522))+1)/2)/COUNT($E$2:$E$800)</f>
        <v/>
      </c>
      <c r="I522">
        <f>(SUMPRODUCT(--ISNUMBER($G$2:$G$800),--($G$2:$G$800&lt;G522))+(SUMPRODUCT(--ISNUMBER($G$2:$G$800),--($G$2:$G$800=G522))+1)/2)/COUNT($G$2:$G$800)</f>
        <v/>
      </c>
      <c r="J522" t="n">
        <v>37.66719896703737</v>
      </c>
      <c r="K522" t="n">
        <v>5.452562704471102</v>
      </c>
      <c r="L522" t="n">
        <v>0.1817520901490367</v>
      </c>
      <c r="M522">
        <f>IF(OR(B522="NW",COUNT(Risk_Rank_Keys!B522)=0),0.5,(SUMPRODUCT(--ISNUMBER(Risk_Rank_Keys!$B$2:$B$800),--(Risk_Rank_Keys!$B$2:$B$800&lt;Risk_Rank_Keys!B522))+(SUMPRODUCT(--ISNUMBER(Risk_Rank_Keys!$B$2:$B$800),--(Risk_Rank_Keys!$B$2:$B$800=Risk_Rank_Keys!B522))+1)/2)/COUNT(Risk_Rank_Keys!$B$2:$B$800))</f>
        <v/>
      </c>
      <c r="N522">
        <f>IF(OR(B522="NW",COUNT(Risk_Rank_Keys!C522)=0),0.5,(SUMPRODUCT(--ISNUMBER(Risk_Rank_Keys!$C$2:$C$800),--(Risk_Rank_Keys!$C$2:$C$800&lt;Risk_Rank_Keys!C522))+(SUMPRODUCT(--ISNUMBER(Risk_Rank_Keys!$C$2:$C$800),--(Risk_Rank_Keys!$C$2:$C$800=Risk_Rank_Keys!C522))+1)/2)/COUNT(Risk_Rank_Keys!$C$2:$C$800))</f>
        <v/>
      </c>
      <c r="O522">
        <f>IF(OR(B522="NW",COUNT(Risk_Rank_Keys!D522)=0),0.5,(SUMPRODUCT(--ISNUMBER(Risk_Rank_Keys!$D$2:$D$800),--(Risk_Rank_Keys!$D$2:$D$800&lt;Risk_Rank_Keys!D522))+(SUMPRODUCT(--ISNUMBER(Risk_Rank_Keys!$D$2:$D$800),--(Risk_Rank_Keys!$D$2:$D$800=Risk_Rank_Keys!D522))+1)/2)/COUNT(Risk_Rank_Keys!$D$2:$D$800))</f>
        <v/>
      </c>
      <c r="P522">
        <f>AVERAGE(M522:O522)</f>
        <v/>
      </c>
      <c r="Q522">
        <f>0.4*H522+0.4*I522+0.2*P522</f>
        <v/>
      </c>
      <c r="R522">
        <f>PERCENTILE($Q$2:$Q$800,0.75)</f>
        <v/>
      </c>
      <c r="S522">
        <f>OR(Q522&gt;=R522,AND(B522="CW",COUNT(J522:L522)&lt;3))</f>
        <v/>
      </c>
      <c r="T522" t="n">
        <v>0.3229312554473656</v>
      </c>
      <c r="U522" t="n">
        <v>9.859485295949069</v>
      </c>
      <c r="V522" t="n">
        <v>0.7122921550590027</v>
      </c>
      <c r="W522">
        <f>Q522-V522</f>
        <v/>
      </c>
    </row>
    <row r="523">
      <c r="A523" t="inlineStr">
        <is>
          <t>2024-06-11</t>
        </is>
      </c>
      <c r="B523" t="inlineStr">
        <is>
          <t>CW</t>
        </is>
      </c>
      <c r="C523" t="n">
        <v>57.85212849626185</v>
      </c>
      <c r="D523">
        <f>SUMPRODUCT(Risk_Inputs!B523:AJ523,Risk_Coefs!$B$2:$AJ$2)</f>
        <v/>
      </c>
      <c r="E523">
        <f>1/(1+EXP(-MAX(-25,MIN(25,D523))))</f>
        <v/>
      </c>
      <c r="F523">
        <f>SUMPRODUCT(Risk_Inputs!B523:AJ523,Risk_Coefs!$B$3:$AJ$3)</f>
        <v/>
      </c>
      <c r="G523">
        <f>MAX(0,F523)</f>
        <v/>
      </c>
      <c r="H523">
        <f>(SUMPRODUCT(--ISNUMBER($E$2:$E$800),--($E$2:$E$800&lt;E523))+(SUMPRODUCT(--ISNUMBER($E$2:$E$800),--($E$2:$E$800=E523))+1)/2)/COUNT($E$2:$E$800)</f>
        <v/>
      </c>
      <c r="I523">
        <f>(SUMPRODUCT(--ISNUMBER($G$2:$G$800),--($G$2:$G$800&lt;G523))+(SUMPRODUCT(--ISNUMBER($G$2:$G$800),--($G$2:$G$800=G523))+1)/2)/COUNT($G$2:$G$800)</f>
        <v/>
      </c>
      <c r="J523" t="n">
        <v>8.736330655052342</v>
      </c>
      <c r="K523" t="n">
        <v>3.350915296307773</v>
      </c>
      <c r="L523" t="n">
        <v>0.2016754576481644</v>
      </c>
      <c r="M523">
        <f>IF(OR(B523="NW",COUNT(Risk_Rank_Keys!B523)=0),0.5,(SUMPRODUCT(--ISNUMBER(Risk_Rank_Keys!$B$2:$B$800),--(Risk_Rank_Keys!$B$2:$B$800&lt;Risk_Rank_Keys!B523))+(SUMPRODUCT(--ISNUMBER(Risk_Rank_Keys!$B$2:$B$800),--(Risk_Rank_Keys!$B$2:$B$800=Risk_Rank_Keys!B523))+1)/2)/COUNT(Risk_Rank_Keys!$B$2:$B$800))</f>
        <v/>
      </c>
      <c r="N523">
        <f>IF(OR(B523="NW",COUNT(Risk_Rank_Keys!C523)=0),0.5,(SUMPRODUCT(--ISNUMBER(Risk_Rank_Keys!$C$2:$C$800),--(Risk_Rank_Keys!$C$2:$C$800&lt;Risk_Rank_Keys!C523))+(SUMPRODUCT(--ISNUMBER(Risk_Rank_Keys!$C$2:$C$800),--(Risk_Rank_Keys!$C$2:$C$800=Risk_Rank_Keys!C523))+1)/2)/COUNT(Risk_Rank_Keys!$C$2:$C$800))</f>
        <v/>
      </c>
      <c r="O523">
        <f>IF(OR(B523="NW",COUNT(Risk_Rank_Keys!D523)=0),0.5,(SUMPRODUCT(--ISNUMBER(Risk_Rank_Keys!$D$2:$D$800),--(Risk_Rank_Keys!$D$2:$D$800&lt;Risk_Rank_Keys!D523))+(SUMPRODUCT(--ISNUMBER(Risk_Rank_Keys!$D$2:$D$800),--(Risk_Rank_Keys!$D$2:$D$800=Risk_Rank_Keys!D523))+1)/2)/COUNT(Risk_Rank_Keys!$D$2:$D$800))</f>
        <v/>
      </c>
      <c r="P523">
        <f>AVERAGE(M523:O523)</f>
        <v/>
      </c>
      <c r="Q523">
        <f>0.4*H523+0.4*I523+0.2*P523</f>
        <v/>
      </c>
      <c r="R523">
        <f>PERCENTILE($Q$2:$Q$800,0.75)</f>
        <v/>
      </c>
      <c r="S523">
        <f>OR(Q523&gt;=R523,AND(B523="CW",COUNT(J523:L523)&lt;3))</f>
        <v/>
      </c>
      <c r="T523" t="n">
        <v>0.349626269150705</v>
      </c>
      <c r="U523" t="n">
        <v>8.672802400865336</v>
      </c>
      <c r="V523" t="n">
        <v>0.6621480011334484</v>
      </c>
      <c r="W523">
        <f>Q523-V523</f>
        <v/>
      </c>
    </row>
    <row r="524">
      <c r="A524" t="inlineStr">
        <is>
          <t>2024-06-13</t>
        </is>
      </c>
      <c r="B524" t="inlineStr">
        <is>
          <t>CW</t>
        </is>
      </c>
      <c r="C524" t="n">
        <v>53.80877041947607</v>
      </c>
      <c r="D524">
        <f>SUMPRODUCT(Risk_Inputs!B524:AJ524,Risk_Coefs!$B$2:$AJ$2)</f>
        <v/>
      </c>
      <c r="E524">
        <f>1/(1+EXP(-MAX(-25,MIN(25,D524))))</f>
        <v/>
      </c>
      <c r="F524">
        <f>SUMPRODUCT(Risk_Inputs!B524:AJ524,Risk_Coefs!$B$3:$AJ$3)</f>
        <v/>
      </c>
      <c r="G524">
        <f>MAX(0,F524)</f>
        <v/>
      </c>
      <c r="H524">
        <f>(SUMPRODUCT(--ISNUMBER($E$2:$E$800),--($E$2:$E$800&lt;E524))+(SUMPRODUCT(--ISNUMBER($E$2:$E$800),--($E$2:$E$800=E524))+1)/2)/COUNT($E$2:$E$800)</f>
        <v/>
      </c>
      <c r="I524">
        <f>(SUMPRODUCT(--ISNUMBER($G$2:$G$800),--($G$2:$G$800&lt;G524))+(SUMPRODUCT(--ISNUMBER($G$2:$G$800),--($G$2:$G$800=G524))+1)/2)/COUNT($G$2:$G$800)</f>
        <v/>
      </c>
      <c r="J524" t="n">
        <v>13.66114386465066</v>
      </c>
      <c r="K524" t="n">
        <v>20.49180327868853</v>
      </c>
      <c r="L524" t="n">
        <v>0.2732240437158481</v>
      </c>
      <c r="M524">
        <f>IF(OR(B524="NW",COUNT(Risk_Rank_Keys!B524)=0),0.5,(SUMPRODUCT(--ISNUMBER(Risk_Rank_Keys!$B$2:$B$800),--(Risk_Rank_Keys!$B$2:$B$800&lt;Risk_Rank_Keys!B524))+(SUMPRODUCT(--ISNUMBER(Risk_Rank_Keys!$B$2:$B$800),--(Risk_Rank_Keys!$B$2:$B$800=Risk_Rank_Keys!B524))+1)/2)/COUNT(Risk_Rank_Keys!$B$2:$B$800))</f>
        <v/>
      </c>
      <c r="N524">
        <f>IF(OR(B524="NW",COUNT(Risk_Rank_Keys!C524)=0),0.5,(SUMPRODUCT(--ISNUMBER(Risk_Rank_Keys!$C$2:$C$800),--(Risk_Rank_Keys!$C$2:$C$800&lt;Risk_Rank_Keys!C524))+(SUMPRODUCT(--ISNUMBER(Risk_Rank_Keys!$C$2:$C$800),--(Risk_Rank_Keys!$C$2:$C$800=Risk_Rank_Keys!C524))+1)/2)/COUNT(Risk_Rank_Keys!$C$2:$C$800))</f>
        <v/>
      </c>
      <c r="O524">
        <f>IF(OR(B524="NW",COUNT(Risk_Rank_Keys!D524)=0),0.5,(SUMPRODUCT(--ISNUMBER(Risk_Rank_Keys!$D$2:$D$800),--(Risk_Rank_Keys!$D$2:$D$800&lt;Risk_Rank_Keys!D524))+(SUMPRODUCT(--ISNUMBER(Risk_Rank_Keys!$D$2:$D$800),--(Risk_Rank_Keys!$D$2:$D$800=Risk_Rank_Keys!D524))+1)/2)/COUNT(Risk_Rank_Keys!$D$2:$D$800))</f>
        <v/>
      </c>
      <c r="P524">
        <f>AVERAGE(M524:O524)</f>
        <v/>
      </c>
      <c r="Q524">
        <f>0.4*H524+0.4*I524+0.2*P524</f>
        <v/>
      </c>
      <c r="R524">
        <f>PERCENTILE($Q$2:$Q$800,0.75)</f>
        <v/>
      </c>
      <c r="S524">
        <f>OR(Q524&gt;=R524,AND(B524="CW",COUNT(J524:L524)&lt;3))</f>
        <v/>
      </c>
      <c r="T524" t="n">
        <v>0.2178280154086045</v>
      </c>
      <c r="U524" t="n">
        <v>8.184347695371816</v>
      </c>
      <c r="V524" t="n">
        <v>0.433767453389261</v>
      </c>
      <c r="W524">
        <f>Q524-V524</f>
        <v/>
      </c>
    </row>
    <row r="525">
      <c r="A525" t="inlineStr">
        <is>
          <t>2024-06-18</t>
        </is>
      </c>
      <c r="B525" t="inlineStr">
        <is>
          <t>CW</t>
        </is>
      </c>
      <c r="C525" t="n">
        <v>12.73095608916056</v>
      </c>
      <c r="D525">
        <f>SUMPRODUCT(Risk_Inputs!B525:AJ525,Risk_Coefs!$B$2:$AJ$2)</f>
        <v/>
      </c>
      <c r="E525">
        <f>1/(1+EXP(-MAX(-25,MIN(25,D525))))</f>
        <v/>
      </c>
      <c r="F525">
        <f>SUMPRODUCT(Risk_Inputs!B525:AJ525,Risk_Coefs!$B$3:$AJ$3)</f>
        <v/>
      </c>
      <c r="G525">
        <f>MAX(0,F525)</f>
        <v/>
      </c>
      <c r="H525">
        <f>(SUMPRODUCT(--ISNUMBER($E$2:$E$800),--($E$2:$E$800&lt;E525))+(SUMPRODUCT(--ISNUMBER($E$2:$E$800),--($E$2:$E$800=E525))+1)/2)/COUNT($E$2:$E$800)</f>
        <v/>
      </c>
      <c r="I525">
        <f>(SUMPRODUCT(--ISNUMBER($G$2:$G$800),--($G$2:$G$800&lt;G525))+(SUMPRODUCT(--ISNUMBER($G$2:$G$800),--($G$2:$G$800=G525))+1)/2)/COUNT($G$2:$G$800)</f>
        <v/>
      </c>
      <c r="J525" t="n">
        <v>3.694518523551802</v>
      </c>
      <c r="K525" t="n">
        <v>2.773575390821986</v>
      </c>
      <c r="L525" t="n">
        <v>0.2269288956127094</v>
      </c>
      <c r="M525">
        <f>IF(OR(B525="NW",COUNT(Risk_Rank_Keys!B525)=0),0.5,(SUMPRODUCT(--ISNUMBER(Risk_Rank_Keys!$B$2:$B$800),--(Risk_Rank_Keys!$B$2:$B$800&lt;Risk_Rank_Keys!B525))+(SUMPRODUCT(--ISNUMBER(Risk_Rank_Keys!$B$2:$B$800),--(Risk_Rank_Keys!$B$2:$B$800=Risk_Rank_Keys!B525))+1)/2)/COUNT(Risk_Rank_Keys!$B$2:$B$800))</f>
        <v/>
      </c>
      <c r="N525">
        <f>IF(OR(B525="NW",COUNT(Risk_Rank_Keys!C525)=0),0.5,(SUMPRODUCT(--ISNUMBER(Risk_Rank_Keys!$C$2:$C$800),--(Risk_Rank_Keys!$C$2:$C$800&lt;Risk_Rank_Keys!C525))+(SUMPRODUCT(--ISNUMBER(Risk_Rank_Keys!$C$2:$C$800),--(Risk_Rank_Keys!$C$2:$C$800=Risk_Rank_Keys!C525))+1)/2)/COUNT(Risk_Rank_Keys!$C$2:$C$800))</f>
        <v/>
      </c>
      <c r="O525">
        <f>IF(OR(B525="NW",COUNT(Risk_Rank_Keys!D525)=0),0.5,(SUMPRODUCT(--ISNUMBER(Risk_Rank_Keys!$D$2:$D$800),--(Risk_Rank_Keys!$D$2:$D$800&lt;Risk_Rank_Keys!D525))+(SUMPRODUCT(--ISNUMBER(Risk_Rank_Keys!$D$2:$D$800),--(Risk_Rank_Keys!$D$2:$D$800=Risk_Rank_Keys!D525))+1)/2)/COUNT(Risk_Rank_Keys!$D$2:$D$800))</f>
        <v/>
      </c>
      <c r="P525">
        <f>AVERAGE(M525:O525)</f>
        <v/>
      </c>
      <c r="Q525">
        <f>0.4*H525+0.4*I525+0.2*P525</f>
        <v/>
      </c>
      <c r="R525">
        <f>PERCENTILE($Q$2:$Q$800,0.75)</f>
        <v/>
      </c>
      <c r="S525">
        <f>OR(Q525&gt;=R525,AND(B525="CW",COUNT(J525:L525)&lt;3))</f>
        <v/>
      </c>
      <c r="T525" t="n">
        <v>0.2883389623428478</v>
      </c>
      <c r="U525" t="n">
        <v>5.988855173156351</v>
      </c>
      <c r="V525" t="n">
        <v>0.375881637262757</v>
      </c>
      <c r="W525">
        <f>Q525-V525</f>
        <v/>
      </c>
    </row>
    <row r="526">
      <c r="A526" t="inlineStr">
        <is>
          <t>2024-06-19</t>
        </is>
      </c>
      <c r="B526" t="inlineStr">
        <is>
          <t>CW</t>
        </is>
      </c>
      <c r="C526" t="n">
        <v>-43.78953501036337</v>
      </c>
      <c r="D526">
        <f>SUMPRODUCT(Risk_Inputs!B526:AJ526,Risk_Coefs!$B$2:$AJ$2)</f>
        <v/>
      </c>
      <c r="E526">
        <f>1/(1+EXP(-MAX(-25,MIN(25,D526))))</f>
        <v/>
      </c>
      <c r="F526">
        <f>SUMPRODUCT(Risk_Inputs!B526:AJ526,Risk_Coefs!$B$3:$AJ$3)</f>
        <v/>
      </c>
      <c r="G526">
        <f>MAX(0,F526)</f>
        <v/>
      </c>
      <c r="H526">
        <f>(SUMPRODUCT(--ISNUMBER($E$2:$E$800),--($E$2:$E$800&lt;E526))+(SUMPRODUCT(--ISNUMBER($E$2:$E$800),--($E$2:$E$800=E526))+1)/2)/COUNT($E$2:$E$800)</f>
        <v/>
      </c>
      <c r="I526">
        <f>(SUMPRODUCT(--ISNUMBER($G$2:$G$800),--($G$2:$G$800&lt;G526))+(SUMPRODUCT(--ISNUMBER($G$2:$G$800),--($G$2:$G$800=G526))+1)/2)/COUNT($G$2:$G$800)</f>
        <v/>
      </c>
      <c r="J526" t="n">
        <v>11.54969766967896</v>
      </c>
      <c r="K526" t="n">
        <v>4.647160068846828</v>
      </c>
      <c r="L526" t="n">
        <v>0.2008032128514105</v>
      </c>
      <c r="M526">
        <f>IF(OR(B526="NW",COUNT(Risk_Rank_Keys!B526)=0),0.5,(SUMPRODUCT(--ISNUMBER(Risk_Rank_Keys!$B$2:$B$800),--(Risk_Rank_Keys!$B$2:$B$800&lt;Risk_Rank_Keys!B526))+(SUMPRODUCT(--ISNUMBER(Risk_Rank_Keys!$B$2:$B$800),--(Risk_Rank_Keys!$B$2:$B$800=Risk_Rank_Keys!B526))+1)/2)/COUNT(Risk_Rank_Keys!$B$2:$B$800))</f>
        <v/>
      </c>
      <c r="N526">
        <f>IF(OR(B526="NW",COUNT(Risk_Rank_Keys!C526)=0),0.5,(SUMPRODUCT(--ISNUMBER(Risk_Rank_Keys!$C$2:$C$800),--(Risk_Rank_Keys!$C$2:$C$800&lt;Risk_Rank_Keys!C526))+(SUMPRODUCT(--ISNUMBER(Risk_Rank_Keys!$C$2:$C$800),--(Risk_Rank_Keys!$C$2:$C$800=Risk_Rank_Keys!C526))+1)/2)/COUNT(Risk_Rank_Keys!$C$2:$C$800))</f>
        <v/>
      </c>
      <c r="O526">
        <f>IF(OR(B526="NW",COUNT(Risk_Rank_Keys!D526)=0),0.5,(SUMPRODUCT(--ISNUMBER(Risk_Rank_Keys!$D$2:$D$800),--(Risk_Rank_Keys!$D$2:$D$800&lt;Risk_Rank_Keys!D526))+(SUMPRODUCT(--ISNUMBER(Risk_Rank_Keys!$D$2:$D$800),--(Risk_Rank_Keys!$D$2:$D$800=Risk_Rank_Keys!D526))+1)/2)/COUNT(Risk_Rank_Keys!$D$2:$D$800))</f>
        <v/>
      </c>
      <c r="P526">
        <f>AVERAGE(M526:O526)</f>
        <v/>
      </c>
      <c r="Q526">
        <f>0.4*H526+0.4*I526+0.2*P526</f>
        <v/>
      </c>
      <c r="R526">
        <f>PERCENTILE($Q$2:$Q$800,0.75)</f>
        <v/>
      </c>
      <c r="S526">
        <f>OR(Q526&gt;=R526,AND(B526="CW",COUNT(J526:L526)&lt;3))</f>
        <v/>
      </c>
      <c r="T526" t="n">
        <v>0.3573166830170514</v>
      </c>
      <c r="U526" t="n">
        <v>11.64219230914962</v>
      </c>
      <c r="V526" t="n">
        <v>0.8011731307556109</v>
      </c>
      <c r="W526">
        <f>Q526-V526</f>
        <v/>
      </c>
    </row>
    <row r="527">
      <c r="A527" t="inlineStr">
        <is>
          <t>2024-06-20</t>
        </is>
      </c>
      <c r="B527" t="inlineStr">
        <is>
          <t>CW</t>
        </is>
      </c>
      <c r="C527" t="n">
        <v>-49.12169850784694</v>
      </c>
      <c r="D527">
        <f>SUMPRODUCT(Risk_Inputs!B527:AJ527,Risk_Coefs!$B$2:$AJ$2)</f>
        <v/>
      </c>
      <c r="E527">
        <f>1/(1+EXP(-MAX(-25,MIN(25,D527))))</f>
        <v/>
      </c>
      <c r="F527">
        <f>SUMPRODUCT(Risk_Inputs!B527:AJ527,Risk_Coefs!$B$3:$AJ$3)</f>
        <v/>
      </c>
      <c r="G527">
        <f>MAX(0,F527)</f>
        <v/>
      </c>
      <c r="H527">
        <f>(SUMPRODUCT(--ISNUMBER($E$2:$E$800),--($E$2:$E$800&lt;E527))+(SUMPRODUCT(--ISNUMBER($E$2:$E$800),--($E$2:$E$800=E527))+1)/2)/COUNT($E$2:$E$800)</f>
        <v/>
      </c>
      <c r="I527">
        <f>(SUMPRODUCT(--ISNUMBER($G$2:$G$800),--($G$2:$G$800&lt;G527))+(SUMPRODUCT(--ISNUMBER($G$2:$G$800),--($G$2:$G$800=G527))+1)/2)/COUNT($G$2:$G$800)</f>
        <v/>
      </c>
      <c r="J527" t="n">
        <v>7.543529351768006</v>
      </c>
      <c r="K527" t="n">
        <v>4.885877318116972</v>
      </c>
      <c r="L527" t="n">
        <v>0.1069900142653393</v>
      </c>
      <c r="M527">
        <f>IF(OR(B527="NW",COUNT(Risk_Rank_Keys!B527)=0),0.5,(SUMPRODUCT(--ISNUMBER(Risk_Rank_Keys!$B$2:$B$800),--(Risk_Rank_Keys!$B$2:$B$800&lt;Risk_Rank_Keys!B527))+(SUMPRODUCT(--ISNUMBER(Risk_Rank_Keys!$B$2:$B$800),--(Risk_Rank_Keys!$B$2:$B$800=Risk_Rank_Keys!B527))+1)/2)/COUNT(Risk_Rank_Keys!$B$2:$B$800))</f>
        <v/>
      </c>
      <c r="N527">
        <f>IF(OR(B527="NW",COUNT(Risk_Rank_Keys!C527)=0),0.5,(SUMPRODUCT(--ISNUMBER(Risk_Rank_Keys!$C$2:$C$800),--(Risk_Rank_Keys!$C$2:$C$800&lt;Risk_Rank_Keys!C527))+(SUMPRODUCT(--ISNUMBER(Risk_Rank_Keys!$C$2:$C$800),--(Risk_Rank_Keys!$C$2:$C$800=Risk_Rank_Keys!C527))+1)/2)/COUNT(Risk_Rank_Keys!$C$2:$C$800))</f>
        <v/>
      </c>
      <c r="O527">
        <f>IF(OR(B527="NW",COUNT(Risk_Rank_Keys!D527)=0),0.5,(SUMPRODUCT(--ISNUMBER(Risk_Rank_Keys!$D$2:$D$800),--(Risk_Rank_Keys!$D$2:$D$800&lt;Risk_Rank_Keys!D527))+(SUMPRODUCT(--ISNUMBER(Risk_Rank_Keys!$D$2:$D$800),--(Risk_Rank_Keys!$D$2:$D$800=Risk_Rank_Keys!D527))+1)/2)/COUNT(Risk_Rank_Keys!$D$2:$D$800))</f>
        <v/>
      </c>
      <c r="P527">
        <f>AVERAGE(M527:O527)</f>
        <v/>
      </c>
      <c r="Q527">
        <f>0.4*H527+0.4*I527+0.2*P527</f>
        <v/>
      </c>
      <c r="R527">
        <f>PERCENTILE($Q$2:$Q$800,0.75)</f>
        <v/>
      </c>
      <c r="S527">
        <f>OR(Q527&gt;=R527,AND(B527="CW",COUNT(J527:L527)&lt;3))</f>
        <v/>
      </c>
      <c r="T527" t="n">
        <v>0.3379917685514423</v>
      </c>
      <c r="U527" t="n">
        <v>10.49168312862681</v>
      </c>
      <c r="V527" t="n">
        <v>0.7184388435334964</v>
      </c>
      <c r="W527">
        <f>Q527-V527</f>
        <v/>
      </c>
    </row>
    <row r="528">
      <c r="A528" t="inlineStr">
        <is>
          <t>2024-06-24</t>
        </is>
      </c>
      <c r="B528" t="inlineStr">
        <is>
          <t>CW</t>
        </is>
      </c>
      <c r="C528" t="n">
        <v>-7.28909653740275</v>
      </c>
      <c r="D528">
        <f>SUMPRODUCT(Risk_Inputs!B528:AJ528,Risk_Coefs!$B$2:$AJ$2)</f>
        <v/>
      </c>
      <c r="E528">
        <f>1/(1+EXP(-MAX(-25,MIN(25,D528))))</f>
        <v/>
      </c>
      <c r="F528">
        <f>SUMPRODUCT(Risk_Inputs!B528:AJ528,Risk_Coefs!$B$3:$AJ$3)</f>
        <v/>
      </c>
      <c r="G528">
        <f>MAX(0,F528)</f>
        <v/>
      </c>
      <c r="H528">
        <f>(SUMPRODUCT(--ISNUMBER($E$2:$E$800),--($E$2:$E$800&lt;E528))+(SUMPRODUCT(--ISNUMBER($E$2:$E$800),--($E$2:$E$800=E528))+1)/2)/COUNT($E$2:$E$800)</f>
        <v/>
      </c>
      <c r="I528">
        <f>(SUMPRODUCT(--ISNUMBER($G$2:$G$800),--($G$2:$G$800&lt;G528))+(SUMPRODUCT(--ISNUMBER($G$2:$G$800),--($G$2:$G$800=G528))+1)/2)/COUNT($G$2:$G$800)</f>
        <v/>
      </c>
      <c r="J528" t="n">
        <v>9.79848914999083</v>
      </c>
      <c r="K528" t="n">
        <v>2.268794462603337</v>
      </c>
      <c r="L528" t="n">
        <v>0.1730436454527986</v>
      </c>
      <c r="M528">
        <f>IF(OR(B528="NW",COUNT(Risk_Rank_Keys!B528)=0),0.5,(SUMPRODUCT(--ISNUMBER(Risk_Rank_Keys!$B$2:$B$800),--(Risk_Rank_Keys!$B$2:$B$800&lt;Risk_Rank_Keys!B528))+(SUMPRODUCT(--ISNUMBER(Risk_Rank_Keys!$B$2:$B$800),--(Risk_Rank_Keys!$B$2:$B$800=Risk_Rank_Keys!B528))+1)/2)/COUNT(Risk_Rank_Keys!$B$2:$B$800))</f>
        <v/>
      </c>
      <c r="N528">
        <f>IF(OR(B528="NW",COUNT(Risk_Rank_Keys!C528)=0),0.5,(SUMPRODUCT(--ISNUMBER(Risk_Rank_Keys!$C$2:$C$800),--(Risk_Rank_Keys!$C$2:$C$800&lt;Risk_Rank_Keys!C528))+(SUMPRODUCT(--ISNUMBER(Risk_Rank_Keys!$C$2:$C$800),--(Risk_Rank_Keys!$C$2:$C$800=Risk_Rank_Keys!C528))+1)/2)/COUNT(Risk_Rank_Keys!$C$2:$C$800))</f>
        <v/>
      </c>
      <c r="O528">
        <f>IF(OR(B528="NW",COUNT(Risk_Rank_Keys!D528)=0),0.5,(SUMPRODUCT(--ISNUMBER(Risk_Rank_Keys!$D$2:$D$800),--(Risk_Rank_Keys!$D$2:$D$800&lt;Risk_Rank_Keys!D528))+(SUMPRODUCT(--ISNUMBER(Risk_Rank_Keys!$D$2:$D$800),--(Risk_Rank_Keys!$D$2:$D$800=Risk_Rank_Keys!D528))+1)/2)/COUNT(Risk_Rank_Keys!$D$2:$D$800))</f>
        <v/>
      </c>
      <c r="P528">
        <f>AVERAGE(M528:O528)</f>
        <v/>
      </c>
      <c r="Q528">
        <f>0.4*H528+0.4*I528+0.2*P528</f>
        <v/>
      </c>
      <c r="R528">
        <f>PERCENTILE($Q$2:$Q$800,0.75)</f>
        <v/>
      </c>
      <c r="S528">
        <f>OR(Q528&gt;=R528,AND(B528="CW",COUNT(J528:L528)&lt;3))</f>
        <v/>
      </c>
      <c r="T528" t="n">
        <v>0.2895034543671978</v>
      </c>
      <c r="U528" t="n">
        <v>4.029983964420748</v>
      </c>
      <c r="V528" t="n">
        <v>0.2974194265379377</v>
      </c>
      <c r="W528">
        <f>Q528-V528</f>
        <v/>
      </c>
    </row>
    <row r="529">
      <c r="A529" t="inlineStr">
        <is>
          <t>2024-06-25</t>
        </is>
      </c>
      <c r="B529" t="inlineStr">
        <is>
          <t>CW</t>
        </is>
      </c>
      <c r="C529" t="n">
        <v>-8.890042852092618</v>
      </c>
      <c r="D529">
        <f>SUMPRODUCT(Risk_Inputs!B529:AJ529,Risk_Coefs!$B$2:$AJ$2)</f>
        <v/>
      </c>
      <c r="E529">
        <f>1/(1+EXP(-MAX(-25,MIN(25,D529))))</f>
        <v/>
      </c>
      <c r="F529">
        <f>SUMPRODUCT(Risk_Inputs!B529:AJ529,Risk_Coefs!$B$3:$AJ$3)</f>
        <v/>
      </c>
      <c r="G529">
        <f>MAX(0,F529)</f>
        <v/>
      </c>
      <c r="H529">
        <f>(SUMPRODUCT(--ISNUMBER($E$2:$E$800),--($E$2:$E$800&lt;E529))+(SUMPRODUCT(--ISNUMBER($E$2:$E$800),--($E$2:$E$800=E529))+1)/2)/COUNT($E$2:$E$800)</f>
        <v/>
      </c>
      <c r="I529">
        <f>(SUMPRODUCT(--ISNUMBER($G$2:$G$800),--($G$2:$G$800&lt;G529))+(SUMPRODUCT(--ISNUMBER($G$2:$G$800),--($G$2:$G$800=G529))+1)/2)/COUNT($G$2:$G$800)</f>
        <v/>
      </c>
      <c r="J529" t="n">
        <v>7.376835464773048</v>
      </c>
      <c r="K529" t="n">
        <v>1.147578609134726</v>
      </c>
      <c r="L529" t="n">
        <v>0.2295157218269451</v>
      </c>
      <c r="M529">
        <f>IF(OR(B529="NW",COUNT(Risk_Rank_Keys!B529)=0),0.5,(SUMPRODUCT(--ISNUMBER(Risk_Rank_Keys!$B$2:$B$800),--(Risk_Rank_Keys!$B$2:$B$800&lt;Risk_Rank_Keys!B529))+(SUMPRODUCT(--ISNUMBER(Risk_Rank_Keys!$B$2:$B$800),--(Risk_Rank_Keys!$B$2:$B$800=Risk_Rank_Keys!B529))+1)/2)/COUNT(Risk_Rank_Keys!$B$2:$B$800))</f>
        <v/>
      </c>
      <c r="N529">
        <f>IF(OR(B529="NW",COUNT(Risk_Rank_Keys!C529)=0),0.5,(SUMPRODUCT(--ISNUMBER(Risk_Rank_Keys!$C$2:$C$800),--(Risk_Rank_Keys!$C$2:$C$800&lt;Risk_Rank_Keys!C529))+(SUMPRODUCT(--ISNUMBER(Risk_Rank_Keys!$C$2:$C$800),--(Risk_Rank_Keys!$C$2:$C$800=Risk_Rank_Keys!C529))+1)/2)/COUNT(Risk_Rank_Keys!$C$2:$C$800))</f>
        <v/>
      </c>
      <c r="O529">
        <f>IF(OR(B529="NW",COUNT(Risk_Rank_Keys!D529)=0),0.5,(SUMPRODUCT(--ISNUMBER(Risk_Rank_Keys!$D$2:$D$800),--(Risk_Rank_Keys!$D$2:$D$800&lt;Risk_Rank_Keys!D529))+(SUMPRODUCT(--ISNUMBER(Risk_Rank_Keys!$D$2:$D$800),--(Risk_Rank_Keys!$D$2:$D$800=Risk_Rank_Keys!D529))+1)/2)/COUNT(Risk_Rank_Keys!$D$2:$D$800))</f>
        <v/>
      </c>
      <c r="P529">
        <f>AVERAGE(M529:O529)</f>
        <v/>
      </c>
      <c r="Q529">
        <f>0.4*H529+0.4*I529+0.2*P529</f>
        <v/>
      </c>
      <c r="R529">
        <f>PERCENTILE($Q$2:$Q$800,0.75)</f>
        <v/>
      </c>
      <c r="S529">
        <f>OR(Q529&gt;=R529,AND(B529="CW",COUNT(J529:L529)&lt;3))</f>
        <v/>
      </c>
      <c r="T529" t="n">
        <v>0.3227669211558907</v>
      </c>
      <c r="U529" t="n">
        <v>5.146824985311299</v>
      </c>
      <c r="V529" t="n">
        <v>0.3957060458534582</v>
      </c>
      <c r="W529">
        <f>Q529-V529</f>
        <v/>
      </c>
    </row>
    <row r="530">
      <c r="A530" t="inlineStr">
        <is>
          <t>2024-06-26</t>
        </is>
      </c>
      <c r="B530" t="inlineStr">
        <is>
          <t>CW</t>
        </is>
      </c>
      <c r="C530" t="n">
        <v>20.41199282223619</v>
      </c>
      <c r="D530">
        <f>SUMPRODUCT(Risk_Inputs!B530:AJ530,Risk_Coefs!$B$2:$AJ$2)</f>
        <v/>
      </c>
      <c r="E530">
        <f>1/(1+EXP(-MAX(-25,MIN(25,D530))))</f>
        <v/>
      </c>
      <c r="F530">
        <f>SUMPRODUCT(Risk_Inputs!B530:AJ530,Risk_Coefs!$B$3:$AJ$3)</f>
        <v/>
      </c>
      <c r="G530">
        <f>MAX(0,F530)</f>
        <v/>
      </c>
      <c r="H530">
        <f>(SUMPRODUCT(--ISNUMBER($E$2:$E$800),--($E$2:$E$800&lt;E530))+(SUMPRODUCT(--ISNUMBER($E$2:$E$800),--($E$2:$E$800=E530))+1)/2)/COUNT($E$2:$E$800)</f>
        <v/>
      </c>
      <c r="I530">
        <f>(SUMPRODUCT(--ISNUMBER($G$2:$G$800),--($G$2:$G$800&lt;G530))+(SUMPRODUCT(--ISNUMBER($G$2:$G$800),--($G$2:$G$800=G530))+1)/2)/COUNT($G$2:$G$800)</f>
        <v/>
      </c>
      <c r="J530" t="n">
        <v>11.04734758244277</v>
      </c>
      <c r="K530" t="n">
        <v>10.22556390977444</v>
      </c>
      <c r="L530" t="n">
        <v>0.2506265664160401</v>
      </c>
      <c r="M530">
        <f>IF(OR(B530="NW",COUNT(Risk_Rank_Keys!B530)=0),0.5,(SUMPRODUCT(--ISNUMBER(Risk_Rank_Keys!$B$2:$B$800),--(Risk_Rank_Keys!$B$2:$B$800&lt;Risk_Rank_Keys!B530))+(SUMPRODUCT(--ISNUMBER(Risk_Rank_Keys!$B$2:$B$800),--(Risk_Rank_Keys!$B$2:$B$800=Risk_Rank_Keys!B530))+1)/2)/COUNT(Risk_Rank_Keys!$B$2:$B$800))</f>
        <v/>
      </c>
      <c r="N530">
        <f>IF(OR(B530="NW",COUNT(Risk_Rank_Keys!C530)=0),0.5,(SUMPRODUCT(--ISNUMBER(Risk_Rank_Keys!$C$2:$C$800),--(Risk_Rank_Keys!$C$2:$C$800&lt;Risk_Rank_Keys!C530))+(SUMPRODUCT(--ISNUMBER(Risk_Rank_Keys!$C$2:$C$800),--(Risk_Rank_Keys!$C$2:$C$800=Risk_Rank_Keys!C530))+1)/2)/COUNT(Risk_Rank_Keys!$C$2:$C$800))</f>
        <v/>
      </c>
      <c r="O530">
        <f>IF(OR(B530="NW",COUNT(Risk_Rank_Keys!D530)=0),0.5,(SUMPRODUCT(--ISNUMBER(Risk_Rank_Keys!$D$2:$D$800),--(Risk_Rank_Keys!$D$2:$D$800&lt;Risk_Rank_Keys!D530))+(SUMPRODUCT(--ISNUMBER(Risk_Rank_Keys!$D$2:$D$800),--(Risk_Rank_Keys!$D$2:$D$800=Risk_Rank_Keys!D530))+1)/2)/COUNT(Risk_Rank_Keys!$D$2:$D$800))</f>
        <v/>
      </c>
      <c r="P530">
        <f>AVERAGE(M530:O530)</f>
        <v/>
      </c>
      <c r="Q530">
        <f>0.4*H530+0.4*I530+0.2*P530</f>
        <v/>
      </c>
      <c r="R530">
        <f>PERCENTILE($Q$2:$Q$800,0.75)</f>
        <v/>
      </c>
      <c r="S530">
        <f>OR(Q530&gt;=R530,AND(B530="CW",COUNT(J530:L530)&lt;3))</f>
        <v/>
      </c>
      <c r="T530" t="n">
        <v>0.3028368476557423</v>
      </c>
      <c r="U530" t="n">
        <v>6.906464692159</v>
      </c>
      <c r="V530" t="n">
        <v>0.5310949472521731</v>
      </c>
      <c r="W530">
        <f>Q530-V530</f>
        <v/>
      </c>
    </row>
    <row r="531">
      <c r="A531" t="inlineStr">
        <is>
          <t>2024-06-27</t>
        </is>
      </c>
      <c r="B531" t="inlineStr">
        <is>
          <t>CW</t>
        </is>
      </c>
      <c r="C531" t="n">
        <v>11.26612255797156</v>
      </c>
      <c r="D531">
        <f>SUMPRODUCT(Risk_Inputs!B531:AJ531,Risk_Coefs!$B$2:$AJ$2)</f>
        <v/>
      </c>
      <c r="E531">
        <f>1/(1+EXP(-MAX(-25,MIN(25,D531))))</f>
        <v/>
      </c>
      <c r="F531">
        <f>SUMPRODUCT(Risk_Inputs!B531:AJ531,Risk_Coefs!$B$3:$AJ$3)</f>
        <v/>
      </c>
      <c r="G531">
        <f>MAX(0,F531)</f>
        <v/>
      </c>
      <c r="H531">
        <f>(SUMPRODUCT(--ISNUMBER($E$2:$E$800),--($E$2:$E$800&lt;E531))+(SUMPRODUCT(--ISNUMBER($E$2:$E$800),--($E$2:$E$800=E531))+1)/2)/COUNT($E$2:$E$800)</f>
        <v/>
      </c>
      <c r="I531">
        <f>(SUMPRODUCT(--ISNUMBER($G$2:$G$800),--($G$2:$G$800&lt;G531))+(SUMPRODUCT(--ISNUMBER($G$2:$G$800),--($G$2:$G$800=G531))+1)/2)/COUNT($G$2:$G$800)</f>
        <v/>
      </c>
      <c r="J531" t="n">
        <v>15.82863092838787</v>
      </c>
      <c r="K531" t="n">
        <v>8.209459459459444</v>
      </c>
      <c r="L531" t="n">
        <v>0.2364864864864922</v>
      </c>
      <c r="M531">
        <f>IF(OR(B531="NW",COUNT(Risk_Rank_Keys!B531)=0),0.5,(SUMPRODUCT(--ISNUMBER(Risk_Rank_Keys!$B$2:$B$800),--(Risk_Rank_Keys!$B$2:$B$800&lt;Risk_Rank_Keys!B531))+(SUMPRODUCT(--ISNUMBER(Risk_Rank_Keys!$B$2:$B$800),--(Risk_Rank_Keys!$B$2:$B$800=Risk_Rank_Keys!B531))+1)/2)/COUNT(Risk_Rank_Keys!$B$2:$B$800))</f>
        <v/>
      </c>
      <c r="N531">
        <f>IF(OR(B531="NW",COUNT(Risk_Rank_Keys!C531)=0),0.5,(SUMPRODUCT(--ISNUMBER(Risk_Rank_Keys!$C$2:$C$800),--(Risk_Rank_Keys!$C$2:$C$800&lt;Risk_Rank_Keys!C531))+(SUMPRODUCT(--ISNUMBER(Risk_Rank_Keys!$C$2:$C$800),--(Risk_Rank_Keys!$C$2:$C$800=Risk_Rank_Keys!C531))+1)/2)/COUNT(Risk_Rank_Keys!$C$2:$C$800))</f>
        <v/>
      </c>
      <c r="O531">
        <f>IF(OR(B531="NW",COUNT(Risk_Rank_Keys!D531)=0),0.5,(SUMPRODUCT(--ISNUMBER(Risk_Rank_Keys!$D$2:$D$800),--(Risk_Rank_Keys!$D$2:$D$800&lt;Risk_Rank_Keys!D531))+(SUMPRODUCT(--ISNUMBER(Risk_Rank_Keys!$D$2:$D$800),--(Risk_Rank_Keys!$D$2:$D$800=Risk_Rank_Keys!D531))+1)/2)/COUNT(Risk_Rank_Keys!$D$2:$D$800))</f>
        <v/>
      </c>
      <c r="P531">
        <f>AVERAGE(M531:O531)</f>
        <v/>
      </c>
      <c r="Q531">
        <f>0.4*H531+0.4*I531+0.2*P531</f>
        <v/>
      </c>
      <c r="R531">
        <f>PERCENTILE($Q$2:$Q$800,0.75)</f>
        <v/>
      </c>
      <c r="S531">
        <f>OR(Q531&gt;=R531,AND(B531="CW",COUNT(J531:L531)&lt;3))</f>
        <v/>
      </c>
      <c r="T531" t="n">
        <v>0.3916493616545644</v>
      </c>
      <c r="U531" t="n">
        <v>9.978668169720116</v>
      </c>
      <c r="V531" t="n">
        <v>0.8244905155153845</v>
      </c>
      <c r="W531">
        <f>Q531-V531</f>
        <v/>
      </c>
    </row>
    <row r="532">
      <c r="A532" t="inlineStr">
        <is>
          <t>2024-06-28</t>
        </is>
      </c>
      <c r="B532" t="inlineStr">
        <is>
          <t>CW</t>
        </is>
      </c>
      <c r="C532" t="n">
        <v>20.43849350174323</v>
      </c>
      <c r="D532">
        <f>SUMPRODUCT(Risk_Inputs!B532:AJ532,Risk_Coefs!$B$2:$AJ$2)</f>
        <v/>
      </c>
      <c r="E532">
        <f>1/(1+EXP(-MAX(-25,MIN(25,D532))))</f>
        <v/>
      </c>
      <c r="F532">
        <f>SUMPRODUCT(Risk_Inputs!B532:AJ532,Risk_Coefs!$B$3:$AJ$3)</f>
        <v/>
      </c>
      <c r="G532">
        <f>MAX(0,F532)</f>
        <v/>
      </c>
      <c r="H532">
        <f>(SUMPRODUCT(--ISNUMBER($E$2:$E$800),--($E$2:$E$800&lt;E532))+(SUMPRODUCT(--ISNUMBER($E$2:$E$800),--($E$2:$E$800=E532))+1)/2)/COUNT($E$2:$E$800)</f>
        <v/>
      </c>
      <c r="I532">
        <f>(SUMPRODUCT(--ISNUMBER($G$2:$G$800),--($G$2:$G$800&lt;G532))+(SUMPRODUCT(--ISNUMBER($G$2:$G$800),--($G$2:$G$800=G532))+1)/2)/COUNT($G$2:$G$800)</f>
        <v/>
      </c>
      <c r="J532" t="n">
        <v>25.42292044243468</v>
      </c>
      <c r="K532" t="n">
        <v>6.341390629662786</v>
      </c>
      <c r="L532" t="n">
        <v>0.2238137869292748</v>
      </c>
      <c r="M532">
        <f>IF(OR(B532="NW",COUNT(Risk_Rank_Keys!B532)=0),0.5,(SUMPRODUCT(--ISNUMBER(Risk_Rank_Keys!$B$2:$B$800),--(Risk_Rank_Keys!$B$2:$B$800&lt;Risk_Rank_Keys!B532))+(SUMPRODUCT(--ISNUMBER(Risk_Rank_Keys!$B$2:$B$800),--(Risk_Rank_Keys!$B$2:$B$800=Risk_Rank_Keys!B532))+1)/2)/COUNT(Risk_Rank_Keys!$B$2:$B$800))</f>
        <v/>
      </c>
      <c r="N532">
        <f>IF(OR(B532="NW",COUNT(Risk_Rank_Keys!C532)=0),0.5,(SUMPRODUCT(--ISNUMBER(Risk_Rank_Keys!$C$2:$C$800),--(Risk_Rank_Keys!$C$2:$C$800&lt;Risk_Rank_Keys!C532))+(SUMPRODUCT(--ISNUMBER(Risk_Rank_Keys!$C$2:$C$800),--(Risk_Rank_Keys!$C$2:$C$800=Risk_Rank_Keys!C532))+1)/2)/COUNT(Risk_Rank_Keys!$C$2:$C$800))</f>
        <v/>
      </c>
      <c r="O532">
        <f>IF(OR(B532="NW",COUNT(Risk_Rank_Keys!D532)=0),0.5,(SUMPRODUCT(--ISNUMBER(Risk_Rank_Keys!$D$2:$D$800),--(Risk_Rank_Keys!$D$2:$D$800&lt;Risk_Rank_Keys!D532))+(SUMPRODUCT(--ISNUMBER(Risk_Rank_Keys!$D$2:$D$800),--(Risk_Rank_Keys!$D$2:$D$800=Risk_Rank_Keys!D532))+1)/2)/COUNT(Risk_Rank_Keys!$D$2:$D$800))</f>
        <v/>
      </c>
      <c r="P532">
        <f>AVERAGE(M532:O532)</f>
        <v/>
      </c>
      <c r="Q532">
        <f>0.4*H532+0.4*I532+0.2*P532</f>
        <v/>
      </c>
      <c r="R532">
        <f>PERCENTILE($Q$2:$Q$800,0.75)</f>
        <v/>
      </c>
      <c r="S532">
        <f>OR(Q532&gt;=R532,AND(B532="CW",COUNT(J532:L532)&lt;3))</f>
        <v/>
      </c>
      <c r="T532" t="n">
        <v>0.22966587774786</v>
      </c>
      <c r="U532" t="n">
        <v>5.581660731835205</v>
      </c>
      <c r="V532" t="n">
        <v>0.2936984806088969</v>
      </c>
      <c r="W532">
        <f>Q532-V532</f>
        <v/>
      </c>
    </row>
    <row r="533">
      <c r="A533" t="inlineStr">
        <is>
          <t>2024-07-01</t>
        </is>
      </c>
      <c r="B533" t="inlineStr">
        <is>
          <t>CW</t>
        </is>
      </c>
      <c r="C533" t="n">
        <v>15.76737236580095</v>
      </c>
      <c r="D533">
        <f>SUMPRODUCT(Risk_Inputs!B533:AJ533,Risk_Coefs!$B$2:$AJ$2)</f>
        <v/>
      </c>
      <c r="E533">
        <f>1/(1+EXP(-MAX(-25,MIN(25,D533))))</f>
        <v/>
      </c>
      <c r="F533">
        <f>SUMPRODUCT(Risk_Inputs!B533:AJ533,Risk_Coefs!$B$3:$AJ$3)</f>
        <v/>
      </c>
      <c r="G533">
        <f>MAX(0,F533)</f>
        <v/>
      </c>
      <c r="H533">
        <f>(SUMPRODUCT(--ISNUMBER($E$2:$E$800),--($E$2:$E$800&lt;E533))+(SUMPRODUCT(--ISNUMBER($E$2:$E$800),--($E$2:$E$800=E533))+1)/2)/COUNT($E$2:$E$800)</f>
        <v/>
      </c>
      <c r="I533">
        <f>(SUMPRODUCT(--ISNUMBER($G$2:$G$800),--($G$2:$G$800&lt;G533))+(SUMPRODUCT(--ISNUMBER($G$2:$G$800),--($G$2:$G$800=G533))+1)/2)/COUNT($G$2:$G$800)</f>
        <v/>
      </c>
      <c r="J533" t="n">
        <v>5.469503876485482</v>
      </c>
      <c r="K533" t="n">
        <v>2.381792519407218</v>
      </c>
      <c r="L533" t="n">
        <v>0.2117148906139712</v>
      </c>
      <c r="M533">
        <f>IF(OR(B533="NW",COUNT(Risk_Rank_Keys!B533)=0),0.5,(SUMPRODUCT(--ISNUMBER(Risk_Rank_Keys!$B$2:$B$800),--(Risk_Rank_Keys!$B$2:$B$800&lt;Risk_Rank_Keys!B533))+(SUMPRODUCT(--ISNUMBER(Risk_Rank_Keys!$B$2:$B$800),--(Risk_Rank_Keys!$B$2:$B$800=Risk_Rank_Keys!B533))+1)/2)/COUNT(Risk_Rank_Keys!$B$2:$B$800))</f>
        <v/>
      </c>
      <c r="N533">
        <f>IF(OR(B533="NW",COUNT(Risk_Rank_Keys!C533)=0),0.5,(SUMPRODUCT(--ISNUMBER(Risk_Rank_Keys!$C$2:$C$800),--(Risk_Rank_Keys!$C$2:$C$800&lt;Risk_Rank_Keys!C533))+(SUMPRODUCT(--ISNUMBER(Risk_Rank_Keys!$C$2:$C$800),--(Risk_Rank_Keys!$C$2:$C$800=Risk_Rank_Keys!C533))+1)/2)/COUNT(Risk_Rank_Keys!$C$2:$C$800))</f>
        <v/>
      </c>
      <c r="O533">
        <f>IF(OR(B533="NW",COUNT(Risk_Rank_Keys!D533)=0),0.5,(SUMPRODUCT(--ISNUMBER(Risk_Rank_Keys!$D$2:$D$800),--(Risk_Rank_Keys!$D$2:$D$800&lt;Risk_Rank_Keys!D533))+(SUMPRODUCT(--ISNUMBER(Risk_Rank_Keys!$D$2:$D$800),--(Risk_Rank_Keys!$D$2:$D$800=Risk_Rank_Keys!D533))+1)/2)/COUNT(Risk_Rank_Keys!$D$2:$D$800))</f>
        <v/>
      </c>
      <c r="P533">
        <f>AVERAGE(M533:O533)</f>
        <v/>
      </c>
      <c r="Q533">
        <f>0.4*H533+0.4*I533+0.2*P533</f>
        <v/>
      </c>
      <c r="R533">
        <f>PERCENTILE($Q$2:$Q$800,0.75)</f>
        <v/>
      </c>
      <c r="S533">
        <f>OR(Q533&gt;=R533,AND(B533="CW",COUNT(J533:L533)&lt;3))</f>
        <v/>
      </c>
      <c r="T533" t="n">
        <v>0.3492895938531588</v>
      </c>
      <c r="U533" t="n">
        <v>6.633193695565168</v>
      </c>
      <c r="V533" t="n">
        <v>0.5327703329766579</v>
      </c>
      <c r="W533">
        <f>Q533-V533</f>
        <v/>
      </c>
    </row>
    <row r="534">
      <c r="A534" t="inlineStr">
        <is>
          <t>2024-07-02</t>
        </is>
      </c>
      <c r="B534" t="inlineStr">
        <is>
          <t>CW</t>
        </is>
      </c>
      <c r="C534" t="n">
        <v>-1.122454164116002</v>
      </c>
      <c r="D534">
        <f>SUMPRODUCT(Risk_Inputs!B534:AJ534,Risk_Coefs!$B$2:$AJ$2)</f>
        <v/>
      </c>
      <c r="E534">
        <f>1/(1+EXP(-MAX(-25,MIN(25,D534))))</f>
        <v/>
      </c>
      <c r="F534">
        <f>SUMPRODUCT(Risk_Inputs!B534:AJ534,Risk_Coefs!$B$3:$AJ$3)</f>
        <v/>
      </c>
      <c r="G534">
        <f>MAX(0,F534)</f>
        <v/>
      </c>
      <c r="H534">
        <f>(SUMPRODUCT(--ISNUMBER($E$2:$E$800),--($E$2:$E$800&lt;E534))+(SUMPRODUCT(--ISNUMBER($E$2:$E$800),--($E$2:$E$800=E534))+1)/2)/COUNT($E$2:$E$800)</f>
        <v/>
      </c>
      <c r="I534">
        <f>(SUMPRODUCT(--ISNUMBER($G$2:$G$800),--($G$2:$G$800&lt;G534))+(SUMPRODUCT(--ISNUMBER($G$2:$G$800),--($G$2:$G$800=G534))+1)/2)/COUNT($G$2:$G$800)</f>
        <v/>
      </c>
      <c r="J534" t="n">
        <v>9.37927387066398</v>
      </c>
      <c r="K534" t="n">
        <v>2.983138780804141</v>
      </c>
      <c r="L534" t="n">
        <v>0.0432338953739707</v>
      </c>
      <c r="M534">
        <f>IF(OR(B534="NW",COUNT(Risk_Rank_Keys!B534)=0),0.5,(SUMPRODUCT(--ISNUMBER(Risk_Rank_Keys!$B$2:$B$800),--(Risk_Rank_Keys!$B$2:$B$800&lt;Risk_Rank_Keys!B534))+(SUMPRODUCT(--ISNUMBER(Risk_Rank_Keys!$B$2:$B$800),--(Risk_Rank_Keys!$B$2:$B$800=Risk_Rank_Keys!B534))+1)/2)/COUNT(Risk_Rank_Keys!$B$2:$B$800))</f>
        <v/>
      </c>
      <c r="N534">
        <f>IF(OR(B534="NW",COUNT(Risk_Rank_Keys!C534)=0),0.5,(SUMPRODUCT(--ISNUMBER(Risk_Rank_Keys!$C$2:$C$800),--(Risk_Rank_Keys!$C$2:$C$800&lt;Risk_Rank_Keys!C534))+(SUMPRODUCT(--ISNUMBER(Risk_Rank_Keys!$C$2:$C$800),--(Risk_Rank_Keys!$C$2:$C$800=Risk_Rank_Keys!C534))+1)/2)/COUNT(Risk_Rank_Keys!$C$2:$C$800))</f>
        <v/>
      </c>
      <c r="O534">
        <f>IF(OR(B534="NW",COUNT(Risk_Rank_Keys!D534)=0),0.5,(SUMPRODUCT(--ISNUMBER(Risk_Rank_Keys!$D$2:$D$800),--(Risk_Rank_Keys!$D$2:$D$800&lt;Risk_Rank_Keys!D534))+(SUMPRODUCT(--ISNUMBER(Risk_Rank_Keys!$D$2:$D$800),--(Risk_Rank_Keys!$D$2:$D$800=Risk_Rank_Keys!D534))+1)/2)/COUNT(Risk_Rank_Keys!$D$2:$D$800))</f>
        <v/>
      </c>
      <c r="P534">
        <f>AVERAGE(M534:O534)</f>
        <v/>
      </c>
      <c r="Q534">
        <f>0.4*H534+0.4*I534+0.2*P534</f>
        <v/>
      </c>
      <c r="R534">
        <f>PERCENTILE($Q$2:$Q$800,0.75)</f>
        <v/>
      </c>
      <c r="S534">
        <f>OR(Q534&gt;=R534,AND(B534="CW",COUNT(J534:L534)&lt;3))</f>
        <v/>
      </c>
      <c r="T534" t="n">
        <v>0.3342682524170861</v>
      </c>
      <c r="U534" t="n">
        <v>6.302197724530081</v>
      </c>
      <c r="V534" t="n">
        <v>0.4904246300437146</v>
      </c>
      <c r="W534">
        <f>Q534-V534</f>
        <v/>
      </c>
    </row>
    <row r="535">
      <c r="A535" t="inlineStr">
        <is>
          <t>2024-07-03</t>
        </is>
      </c>
      <c r="B535" t="inlineStr">
        <is>
          <t>CW</t>
        </is>
      </c>
      <c r="C535" t="n">
        <v>-1.041546630802415</v>
      </c>
      <c r="D535">
        <f>SUMPRODUCT(Risk_Inputs!B535:AJ535,Risk_Coefs!$B$2:$AJ$2)</f>
        <v/>
      </c>
      <c r="E535">
        <f>1/(1+EXP(-MAX(-25,MIN(25,D535))))</f>
        <v/>
      </c>
      <c r="F535">
        <f>SUMPRODUCT(Risk_Inputs!B535:AJ535,Risk_Coefs!$B$3:$AJ$3)</f>
        <v/>
      </c>
      <c r="G535">
        <f>MAX(0,F535)</f>
        <v/>
      </c>
      <c r="H535">
        <f>(SUMPRODUCT(--ISNUMBER($E$2:$E$800),--($E$2:$E$800&lt;E535))+(SUMPRODUCT(--ISNUMBER($E$2:$E$800),--($E$2:$E$800=E535))+1)/2)/COUNT($E$2:$E$800)</f>
        <v/>
      </c>
      <c r="I535">
        <f>(SUMPRODUCT(--ISNUMBER($G$2:$G$800),--($G$2:$G$800&lt;G535))+(SUMPRODUCT(--ISNUMBER($G$2:$G$800),--($G$2:$G$800=G535))+1)/2)/COUNT($G$2:$G$800)</f>
        <v/>
      </c>
      <c r="J535" t="n">
        <v>7.634769151405726</v>
      </c>
      <c r="K535" t="n">
        <v>4.58970792767733</v>
      </c>
      <c r="L535" t="n">
        <v>0.2225312934631464</v>
      </c>
      <c r="M535">
        <f>IF(OR(B535="NW",COUNT(Risk_Rank_Keys!B535)=0),0.5,(SUMPRODUCT(--ISNUMBER(Risk_Rank_Keys!$B$2:$B$800),--(Risk_Rank_Keys!$B$2:$B$800&lt;Risk_Rank_Keys!B535))+(SUMPRODUCT(--ISNUMBER(Risk_Rank_Keys!$B$2:$B$800),--(Risk_Rank_Keys!$B$2:$B$800=Risk_Rank_Keys!B535))+1)/2)/COUNT(Risk_Rank_Keys!$B$2:$B$800))</f>
        <v/>
      </c>
      <c r="N535">
        <f>IF(OR(B535="NW",COUNT(Risk_Rank_Keys!C535)=0),0.5,(SUMPRODUCT(--ISNUMBER(Risk_Rank_Keys!$C$2:$C$800),--(Risk_Rank_Keys!$C$2:$C$800&lt;Risk_Rank_Keys!C535))+(SUMPRODUCT(--ISNUMBER(Risk_Rank_Keys!$C$2:$C$800),--(Risk_Rank_Keys!$C$2:$C$800=Risk_Rank_Keys!C535))+1)/2)/COUNT(Risk_Rank_Keys!$C$2:$C$800))</f>
        <v/>
      </c>
      <c r="O535">
        <f>IF(OR(B535="NW",COUNT(Risk_Rank_Keys!D535)=0),0.5,(SUMPRODUCT(--ISNUMBER(Risk_Rank_Keys!$D$2:$D$800),--(Risk_Rank_Keys!$D$2:$D$800&lt;Risk_Rank_Keys!D535))+(SUMPRODUCT(--ISNUMBER(Risk_Rank_Keys!$D$2:$D$800),--(Risk_Rank_Keys!$D$2:$D$800=Risk_Rank_Keys!D535))+1)/2)/COUNT(Risk_Rank_Keys!$D$2:$D$800))</f>
        <v/>
      </c>
      <c r="P535">
        <f>AVERAGE(M535:O535)</f>
        <v/>
      </c>
      <c r="Q535">
        <f>0.4*H535+0.4*I535+0.2*P535</f>
        <v/>
      </c>
      <c r="R535">
        <f>PERCENTILE($Q$2:$Q$800,0.75)</f>
        <v/>
      </c>
      <c r="S535">
        <f>OR(Q535&gt;=R535,AND(B535="CW",COUNT(J535:L535)&lt;3))</f>
        <v/>
      </c>
      <c r="T535" t="n">
        <v>0.3165486723799579</v>
      </c>
      <c r="U535" t="n">
        <v>8.131845802762946</v>
      </c>
      <c r="V535" t="n">
        <v>0.5801965380947477</v>
      </c>
      <c r="W535">
        <f>Q535-V535</f>
        <v/>
      </c>
    </row>
    <row r="536">
      <c r="A536" t="inlineStr">
        <is>
          <t>2024-07-04</t>
        </is>
      </c>
      <c r="B536" t="inlineStr">
        <is>
          <t>CW</t>
        </is>
      </c>
      <c r="C536" t="n">
        <v>50.34539586187093</v>
      </c>
      <c r="D536">
        <f>SUMPRODUCT(Risk_Inputs!B536:AJ536,Risk_Coefs!$B$2:$AJ$2)</f>
        <v/>
      </c>
      <c r="E536">
        <f>1/(1+EXP(-MAX(-25,MIN(25,D536))))</f>
        <v/>
      </c>
      <c r="F536">
        <f>SUMPRODUCT(Risk_Inputs!B536:AJ536,Risk_Coefs!$B$3:$AJ$3)</f>
        <v/>
      </c>
      <c r="G536">
        <f>MAX(0,F536)</f>
        <v/>
      </c>
      <c r="H536">
        <f>(SUMPRODUCT(--ISNUMBER($E$2:$E$800),--($E$2:$E$800&lt;E536))+(SUMPRODUCT(--ISNUMBER($E$2:$E$800),--($E$2:$E$800=E536))+1)/2)/COUNT($E$2:$E$800)</f>
        <v/>
      </c>
      <c r="I536">
        <f>(SUMPRODUCT(--ISNUMBER($G$2:$G$800),--($G$2:$G$800&lt;G536))+(SUMPRODUCT(--ISNUMBER($G$2:$G$800),--($G$2:$G$800=G536))+1)/2)/COUNT($G$2:$G$800)</f>
        <v/>
      </c>
      <c r="J536" t="n">
        <v>14.01282522801601</v>
      </c>
      <c r="K536" t="n">
        <v>14.24625098658248</v>
      </c>
      <c r="L536" t="n">
        <v>0.1973164956590371</v>
      </c>
      <c r="M536">
        <f>IF(OR(B536="NW",COUNT(Risk_Rank_Keys!B536)=0),0.5,(SUMPRODUCT(--ISNUMBER(Risk_Rank_Keys!$B$2:$B$800),--(Risk_Rank_Keys!$B$2:$B$800&lt;Risk_Rank_Keys!B536))+(SUMPRODUCT(--ISNUMBER(Risk_Rank_Keys!$B$2:$B$800),--(Risk_Rank_Keys!$B$2:$B$800=Risk_Rank_Keys!B536))+1)/2)/COUNT(Risk_Rank_Keys!$B$2:$B$800))</f>
        <v/>
      </c>
      <c r="N536">
        <f>IF(OR(B536="NW",COUNT(Risk_Rank_Keys!C536)=0),0.5,(SUMPRODUCT(--ISNUMBER(Risk_Rank_Keys!$C$2:$C$800),--(Risk_Rank_Keys!$C$2:$C$800&lt;Risk_Rank_Keys!C536))+(SUMPRODUCT(--ISNUMBER(Risk_Rank_Keys!$C$2:$C$800),--(Risk_Rank_Keys!$C$2:$C$800=Risk_Rank_Keys!C536))+1)/2)/COUNT(Risk_Rank_Keys!$C$2:$C$800))</f>
        <v/>
      </c>
      <c r="O536">
        <f>IF(OR(B536="NW",COUNT(Risk_Rank_Keys!D536)=0),0.5,(SUMPRODUCT(--ISNUMBER(Risk_Rank_Keys!$D$2:$D$800),--(Risk_Rank_Keys!$D$2:$D$800&lt;Risk_Rank_Keys!D536))+(SUMPRODUCT(--ISNUMBER(Risk_Rank_Keys!$D$2:$D$800),--(Risk_Rank_Keys!$D$2:$D$800=Risk_Rank_Keys!D536))+1)/2)/COUNT(Risk_Rank_Keys!$D$2:$D$800))</f>
        <v/>
      </c>
      <c r="P536">
        <f>AVERAGE(M536:O536)</f>
        <v/>
      </c>
      <c r="Q536">
        <f>0.4*H536+0.4*I536+0.2*P536</f>
        <v/>
      </c>
      <c r="R536">
        <f>PERCENTILE($Q$2:$Q$800,0.75)</f>
        <v/>
      </c>
      <c r="S536">
        <f>OR(Q536&gt;=R536,AND(B536="CW",COUNT(J536:L536)&lt;3))</f>
        <v/>
      </c>
      <c r="T536" t="n">
        <v>0.2628871075995481</v>
      </c>
      <c r="U536" t="n">
        <v>8.602048488216507</v>
      </c>
      <c r="V536" t="n">
        <v>0.5167192370286195</v>
      </c>
      <c r="W536">
        <f>Q536-V536</f>
        <v/>
      </c>
    </row>
    <row r="537">
      <c r="A537" t="inlineStr">
        <is>
          <t>2024-07-10</t>
        </is>
      </c>
      <c r="B537" t="inlineStr">
        <is>
          <t>CW</t>
        </is>
      </c>
      <c r="C537" t="n">
        <v>-36.64822318965132</v>
      </c>
      <c r="D537">
        <f>SUMPRODUCT(Risk_Inputs!B537:AJ537,Risk_Coefs!$B$2:$AJ$2)</f>
        <v/>
      </c>
      <c r="E537">
        <f>1/(1+EXP(-MAX(-25,MIN(25,D537))))</f>
        <v/>
      </c>
      <c r="F537">
        <f>SUMPRODUCT(Risk_Inputs!B537:AJ537,Risk_Coefs!$B$3:$AJ$3)</f>
        <v/>
      </c>
      <c r="G537">
        <f>MAX(0,F537)</f>
        <v/>
      </c>
      <c r="H537">
        <f>(SUMPRODUCT(--ISNUMBER($E$2:$E$800),--($E$2:$E$800&lt;E537))+(SUMPRODUCT(--ISNUMBER($E$2:$E$800),--($E$2:$E$800=E537))+1)/2)/COUNT($E$2:$E$800)</f>
        <v/>
      </c>
      <c r="I537">
        <f>(SUMPRODUCT(--ISNUMBER($G$2:$G$800),--($G$2:$G$800&lt;G537))+(SUMPRODUCT(--ISNUMBER($G$2:$G$800),--($G$2:$G$800=G537))+1)/2)/COUNT($G$2:$G$800)</f>
        <v/>
      </c>
      <c r="J537" t="n">
        <v>16.49143658507938</v>
      </c>
      <c r="K537" t="n">
        <v>4.66571834992887</v>
      </c>
      <c r="L537" t="n">
        <v>0.3413940256045568</v>
      </c>
      <c r="M537">
        <f>IF(OR(B537="NW",COUNT(Risk_Rank_Keys!B537)=0),0.5,(SUMPRODUCT(--ISNUMBER(Risk_Rank_Keys!$B$2:$B$800),--(Risk_Rank_Keys!$B$2:$B$800&lt;Risk_Rank_Keys!B537))+(SUMPRODUCT(--ISNUMBER(Risk_Rank_Keys!$B$2:$B$800),--(Risk_Rank_Keys!$B$2:$B$800=Risk_Rank_Keys!B537))+1)/2)/COUNT(Risk_Rank_Keys!$B$2:$B$800))</f>
        <v/>
      </c>
      <c r="N537">
        <f>IF(OR(B537="NW",COUNT(Risk_Rank_Keys!C537)=0),0.5,(SUMPRODUCT(--ISNUMBER(Risk_Rank_Keys!$C$2:$C$800),--(Risk_Rank_Keys!$C$2:$C$800&lt;Risk_Rank_Keys!C537))+(SUMPRODUCT(--ISNUMBER(Risk_Rank_Keys!$C$2:$C$800),--(Risk_Rank_Keys!$C$2:$C$800=Risk_Rank_Keys!C537))+1)/2)/COUNT(Risk_Rank_Keys!$C$2:$C$800))</f>
        <v/>
      </c>
      <c r="O537">
        <f>IF(OR(B537="NW",COUNT(Risk_Rank_Keys!D537)=0),0.5,(SUMPRODUCT(--ISNUMBER(Risk_Rank_Keys!$D$2:$D$800),--(Risk_Rank_Keys!$D$2:$D$800&lt;Risk_Rank_Keys!D537))+(SUMPRODUCT(--ISNUMBER(Risk_Rank_Keys!$D$2:$D$800),--(Risk_Rank_Keys!$D$2:$D$800=Risk_Rank_Keys!D537))+1)/2)/COUNT(Risk_Rank_Keys!$D$2:$D$800))</f>
        <v/>
      </c>
      <c r="P537">
        <f>AVERAGE(M537:O537)</f>
        <v/>
      </c>
      <c r="Q537">
        <f>0.4*H537+0.4*I537+0.2*P537</f>
        <v/>
      </c>
      <c r="R537">
        <f>PERCENTILE($Q$2:$Q$800,0.75)</f>
        <v/>
      </c>
      <c r="S537">
        <f>OR(Q537&gt;=R537,AND(B537="CW",COUNT(J537:L537)&lt;3))</f>
        <v/>
      </c>
      <c r="T537" t="n">
        <v>0.3812917999493728</v>
      </c>
      <c r="U537" t="n">
        <v>13.21665850367038</v>
      </c>
      <c r="V537" t="n">
        <v>0.8918038529100475</v>
      </c>
      <c r="W537">
        <f>Q537-V537</f>
        <v/>
      </c>
    </row>
    <row r="538">
      <c r="A538" t="inlineStr">
        <is>
          <t>2024-07-15</t>
        </is>
      </c>
      <c r="B538" t="inlineStr">
        <is>
          <t>CW</t>
        </is>
      </c>
      <c r="C538" t="n">
        <v>20.74617456707046</v>
      </c>
      <c r="D538">
        <f>SUMPRODUCT(Risk_Inputs!B538:AJ538,Risk_Coefs!$B$2:$AJ$2)</f>
        <v/>
      </c>
      <c r="E538">
        <f>1/(1+EXP(-MAX(-25,MIN(25,D538))))</f>
        <v/>
      </c>
      <c r="F538">
        <f>SUMPRODUCT(Risk_Inputs!B538:AJ538,Risk_Coefs!$B$3:$AJ$3)</f>
        <v/>
      </c>
      <c r="G538">
        <f>MAX(0,F538)</f>
        <v/>
      </c>
      <c r="H538">
        <f>(SUMPRODUCT(--ISNUMBER($E$2:$E$800),--($E$2:$E$800&lt;E538))+(SUMPRODUCT(--ISNUMBER($E$2:$E$800),--($E$2:$E$800=E538))+1)/2)/COUNT($E$2:$E$800)</f>
        <v/>
      </c>
      <c r="I538">
        <f>(SUMPRODUCT(--ISNUMBER($G$2:$G$800),--($G$2:$G$800&lt;G538))+(SUMPRODUCT(--ISNUMBER($G$2:$G$800),--($G$2:$G$800=G538))+1)/2)/COUNT($G$2:$G$800)</f>
        <v/>
      </c>
      <c r="J538" t="n">
        <v>4.536383627519297</v>
      </c>
      <c r="K538" t="n">
        <v>2.049088043233511</v>
      </c>
      <c r="L538" t="n">
        <v>0.1576221571718055</v>
      </c>
      <c r="M538">
        <f>IF(OR(B538="NW",COUNT(Risk_Rank_Keys!B538)=0),0.5,(SUMPRODUCT(--ISNUMBER(Risk_Rank_Keys!$B$2:$B$800),--(Risk_Rank_Keys!$B$2:$B$800&lt;Risk_Rank_Keys!B538))+(SUMPRODUCT(--ISNUMBER(Risk_Rank_Keys!$B$2:$B$800),--(Risk_Rank_Keys!$B$2:$B$800=Risk_Rank_Keys!B538))+1)/2)/COUNT(Risk_Rank_Keys!$B$2:$B$800))</f>
        <v/>
      </c>
      <c r="N538">
        <f>IF(OR(B538="NW",COUNT(Risk_Rank_Keys!C538)=0),0.5,(SUMPRODUCT(--ISNUMBER(Risk_Rank_Keys!$C$2:$C$800),--(Risk_Rank_Keys!$C$2:$C$800&lt;Risk_Rank_Keys!C538))+(SUMPRODUCT(--ISNUMBER(Risk_Rank_Keys!$C$2:$C$800),--(Risk_Rank_Keys!$C$2:$C$800=Risk_Rank_Keys!C538))+1)/2)/COUNT(Risk_Rank_Keys!$C$2:$C$800))</f>
        <v/>
      </c>
      <c r="O538">
        <f>IF(OR(B538="NW",COUNT(Risk_Rank_Keys!D538)=0),0.5,(SUMPRODUCT(--ISNUMBER(Risk_Rank_Keys!$D$2:$D$800),--(Risk_Rank_Keys!$D$2:$D$800&lt;Risk_Rank_Keys!D538))+(SUMPRODUCT(--ISNUMBER(Risk_Rank_Keys!$D$2:$D$800),--(Risk_Rank_Keys!$D$2:$D$800=Risk_Rank_Keys!D538))+1)/2)/COUNT(Risk_Rank_Keys!$D$2:$D$800))</f>
        <v/>
      </c>
      <c r="P538">
        <f>AVERAGE(M538:O538)</f>
        <v/>
      </c>
      <c r="Q538">
        <f>0.4*H538+0.4*I538+0.2*P538</f>
        <v/>
      </c>
      <c r="R538">
        <f>PERCENTILE($Q$2:$Q$800,0.75)</f>
        <v/>
      </c>
      <c r="S538">
        <f>OR(Q538&gt;=R538,AND(B538="CW",COUNT(J538:L538)&lt;3))</f>
        <v/>
      </c>
      <c r="T538" t="n">
        <v>0.3829719184371845</v>
      </c>
      <c r="U538" t="n">
        <v>10.27970227651359</v>
      </c>
      <c r="V538" t="n">
        <v>0.7266750802519886</v>
      </c>
      <c r="W538">
        <f>Q538-V538</f>
        <v/>
      </c>
    </row>
    <row r="539">
      <c r="A539" t="inlineStr">
        <is>
          <t>2024-07-16</t>
        </is>
      </c>
      <c r="B539" t="inlineStr">
        <is>
          <t>CW</t>
        </is>
      </c>
      <c r="C539" t="n">
        <v>37.87937761617429</v>
      </c>
      <c r="D539">
        <f>SUMPRODUCT(Risk_Inputs!B539:AJ539,Risk_Coefs!$B$2:$AJ$2)</f>
        <v/>
      </c>
      <c r="E539">
        <f>1/(1+EXP(-MAX(-25,MIN(25,D539))))</f>
        <v/>
      </c>
      <c r="F539">
        <f>SUMPRODUCT(Risk_Inputs!B539:AJ539,Risk_Coefs!$B$3:$AJ$3)</f>
        <v/>
      </c>
      <c r="G539">
        <f>MAX(0,F539)</f>
        <v/>
      </c>
      <c r="H539">
        <f>(SUMPRODUCT(--ISNUMBER($E$2:$E$800),--($E$2:$E$800&lt;E539))+(SUMPRODUCT(--ISNUMBER($E$2:$E$800),--($E$2:$E$800=E539))+1)/2)/COUNT($E$2:$E$800)</f>
        <v/>
      </c>
      <c r="I539">
        <f>(SUMPRODUCT(--ISNUMBER($G$2:$G$800),--($G$2:$G$800&lt;G539))+(SUMPRODUCT(--ISNUMBER($G$2:$G$800),--($G$2:$G$800=G539))+1)/2)/COUNT($G$2:$G$800)</f>
        <v/>
      </c>
      <c r="J539" t="n">
        <v>3.532779729153849</v>
      </c>
      <c r="K539" t="n">
        <v>2.622860298177802</v>
      </c>
      <c r="L539" t="n">
        <v>0.2484815019326355</v>
      </c>
      <c r="M539">
        <f>IF(OR(B539="NW",COUNT(Risk_Rank_Keys!B539)=0),0.5,(SUMPRODUCT(--ISNUMBER(Risk_Rank_Keys!$B$2:$B$800),--(Risk_Rank_Keys!$B$2:$B$800&lt;Risk_Rank_Keys!B539))+(SUMPRODUCT(--ISNUMBER(Risk_Rank_Keys!$B$2:$B$800),--(Risk_Rank_Keys!$B$2:$B$800=Risk_Rank_Keys!B539))+1)/2)/COUNT(Risk_Rank_Keys!$B$2:$B$800))</f>
        <v/>
      </c>
      <c r="N539">
        <f>IF(OR(B539="NW",COUNT(Risk_Rank_Keys!C539)=0),0.5,(SUMPRODUCT(--ISNUMBER(Risk_Rank_Keys!$C$2:$C$800),--(Risk_Rank_Keys!$C$2:$C$800&lt;Risk_Rank_Keys!C539))+(SUMPRODUCT(--ISNUMBER(Risk_Rank_Keys!$C$2:$C$800),--(Risk_Rank_Keys!$C$2:$C$800=Risk_Rank_Keys!C539))+1)/2)/COUNT(Risk_Rank_Keys!$C$2:$C$800))</f>
        <v/>
      </c>
      <c r="O539">
        <f>IF(OR(B539="NW",COUNT(Risk_Rank_Keys!D539)=0),0.5,(SUMPRODUCT(--ISNUMBER(Risk_Rank_Keys!$D$2:$D$800),--(Risk_Rank_Keys!$D$2:$D$800&lt;Risk_Rank_Keys!D539))+(SUMPRODUCT(--ISNUMBER(Risk_Rank_Keys!$D$2:$D$800),--(Risk_Rank_Keys!$D$2:$D$800=Risk_Rank_Keys!D539))+1)/2)/COUNT(Risk_Rank_Keys!$D$2:$D$800))</f>
        <v/>
      </c>
      <c r="P539">
        <f>AVERAGE(M539:O539)</f>
        <v/>
      </c>
      <c r="Q539">
        <f>0.4*H539+0.4*I539+0.2*P539</f>
        <v/>
      </c>
      <c r="R539">
        <f>PERCENTILE($Q$2:$Q$800,0.75)</f>
        <v/>
      </c>
      <c r="S539">
        <f>OR(Q539&gt;=R539,AND(B539="CW",COUNT(J539:L539)&lt;3))</f>
        <v/>
      </c>
      <c r="T539" t="n">
        <v>0.288589756518883</v>
      </c>
      <c r="U539" t="n">
        <v>7.759485219851563</v>
      </c>
      <c r="V539" t="n">
        <v>0.4826010430285649</v>
      </c>
      <c r="W539">
        <f>Q539-V539</f>
        <v/>
      </c>
    </row>
    <row r="540">
      <c r="A540" t="inlineStr">
        <is>
          <t>2024-07-18</t>
        </is>
      </c>
      <c r="B540" t="inlineStr">
        <is>
          <t>NW</t>
        </is>
      </c>
      <c r="C540" t="n">
        <v>-27.71545999374472</v>
      </c>
      <c r="D540">
        <f>SUMPRODUCT(Risk_Inputs!B540:AJ540,Risk_Coefs!$B$2:$AJ$2)</f>
        <v/>
      </c>
      <c r="E540">
        <f>1/(1+EXP(-MAX(-25,MIN(25,D540))))</f>
        <v/>
      </c>
      <c r="F540">
        <f>SUMPRODUCT(Risk_Inputs!B540:AJ540,Risk_Coefs!$B$3:$AJ$3)</f>
        <v/>
      </c>
      <c r="G540">
        <f>MAX(0,F540)</f>
        <v/>
      </c>
      <c r="H540">
        <f>(SUMPRODUCT(--ISNUMBER($E$2:$E$800),--($E$2:$E$800&lt;E540))+(SUMPRODUCT(--ISNUMBER($E$2:$E$800),--($E$2:$E$800=E540))+1)/2)/COUNT($E$2:$E$800)</f>
        <v/>
      </c>
      <c r="I540">
        <f>(SUMPRODUCT(--ISNUMBER($G$2:$G$800),--($G$2:$G$800&lt;G540))+(SUMPRODUCT(--ISNUMBER($G$2:$G$800),--($G$2:$G$800=G540))+1)/2)/COUNT($G$2:$G$800)</f>
        <v/>
      </c>
      <c r="M540">
        <f>IF(OR(B540="NW",COUNT(Risk_Rank_Keys!B540)=0),0.5,(SUMPRODUCT(--ISNUMBER(Risk_Rank_Keys!$B$2:$B$800),--(Risk_Rank_Keys!$B$2:$B$800&lt;Risk_Rank_Keys!B540))+(SUMPRODUCT(--ISNUMBER(Risk_Rank_Keys!$B$2:$B$800),--(Risk_Rank_Keys!$B$2:$B$800=Risk_Rank_Keys!B540))+1)/2)/COUNT(Risk_Rank_Keys!$B$2:$B$800))</f>
        <v/>
      </c>
      <c r="N540">
        <f>IF(OR(B540="NW",COUNT(Risk_Rank_Keys!C540)=0),0.5,(SUMPRODUCT(--ISNUMBER(Risk_Rank_Keys!$C$2:$C$800),--(Risk_Rank_Keys!$C$2:$C$800&lt;Risk_Rank_Keys!C540))+(SUMPRODUCT(--ISNUMBER(Risk_Rank_Keys!$C$2:$C$800),--(Risk_Rank_Keys!$C$2:$C$800=Risk_Rank_Keys!C540))+1)/2)/COUNT(Risk_Rank_Keys!$C$2:$C$800))</f>
        <v/>
      </c>
      <c r="O540">
        <f>IF(OR(B540="NW",COUNT(Risk_Rank_Keys!D540)=0),0.5,(SUMPRODUCT(--ISNUMBER(Risk_Rank_Keys!$D$2:$D$800),--(Risk_Rank_Keys!$D$2:$D$800&lt;Risk_Rank_Keys!D540))+(SUMPRODUCT(--ISNUMBER(Risk_Rank_Keys!$D$2:$D$800),--(Risk_Rank_Keys!$D$2:$D$800=Risk_Rank_Keys!D540))+1)/2)/COUNT(Risk_Rank_Keys!$D$2:$D$800))</f>
        <v/>
      </c>
      <c r="P540">
        <f>AVERAGE(M540:O540)</f>
        <v/>
      </c>
      <c r="Q540">
        <f>0.4*H540+0.4*I540+0.2*P540</f>
        <v/>
      </c>
      <c r="R540">
        <f>PERCENTILE($Q$2:$Q$800,0.75)</f>
        <v/>
      </c>
      <c r="S540">
        <f>OR(Q540&gt;=R540,AND(B540="CW",COUNT(J540:L540)&lt;3))</f>
        <v/>
      </c>
      <c r="T540" t="n">
        <v>0.4649314860176744</v>
      </c>
      <c r="U540" t="n">
        <v>16.27716400400489</v>
      </c>
      <c r="V540" t="n">
        <v>0.8904881101376722</v>
      </c>
      <c r="W540">
        <f>Q540-V540</f>
        <v/>
      </c>
    </row>
    <row r="541">
      <c r="A541" t="inlineStr">
        <is>
          <t>2024-07-19</t>
        </is>
      </c>
      <c r="B541" t="inlineStr">
        <is>
          <t>CW</t>
        </is>
      </c>
      <c r="C541" t="n">
        <v>-41.08964780551291</v>
      </c>
      <c r="D541">
        <f>SUMPRODUCT(Risk_Inputs!B541:AJ541,Risk_Coefs!$B$2:$AJ$2)</f>
        <v/>
      </c>
      <c r="E541">
        <f>1/(1+EXP(-MAX(-25,MIN(25,D541))))</f>
        <v/>
      </c>
      <c r="F541">
        <f>SUMPRODUCT(Risk_Inputs!B541:AJ541,Risk_Coefs!$B$3:$AJ$3)</f>
        <v/>
      </c>
      <c r="G541">
        <f>MAX(0,F541)</f>
        <v/>
      </c>
      <c r="H541">
        <f>(SUMPRODUCT(--ISNUMBER($E$2:$E$800),--($E$2:$E$800&lt;E541))+(SUMPRODUCT(--ISNUMBER($E$2:$E$800),--($E$2:$E$800=E541))+1)/2)/COUNT($E$2:$E$800)</f>
        <v/>
      </c>
      <c r="I541">
        <f>(SUMPRODUCT(--ISNUMBER($G$2:$G$800),--($G$2:$G$800&lt;G541))+(SUMPRODUCT(--ISNUMBER($G$2:$G$800),--($G$2:$G$800=G541))+1)/2)/COUNT($G$2:$G$800)</f>
        <v/>
      </c>
      <c r="J541" t="n">
        <v>4.460087264332989</v>
      </c>
      <c r="K541" t="n">
        <v>0.7434106780806385</v>
      </c>
      <c r="L541" t="n">
        <v>0.1351655778328375</v>
      </c>
      <c r="M541">
        <f>IF(OR(B541="NW",COUNT(Risk_Rank_Keys!B541)=0),0.5,(SUMPRODUCT(--ISNUMBER(Risk_Rank_Keys!$B$2:$B$800),--(Risk_Rank_Keys!$B$2:$B$800&lt;Risk_Rank_Keys!B541))+(SUMPRODUCT(--ISNUMBER(Risk_Rank_Keys!$B$2:$B$800),--(Risk_Rank_Keys!$B$2:$B$800=Risk_Rank_Keys!B541))+1)/2)/COUNT(Risk_Rank_Keys!$B$2:$B$800))</f>
        <v/>
      </c>
      <c r="N541">
        <f>IF(OR(B541="NW",COUNT(Risk_Rank_Keys!C541)=0),0.5,(SUMPRODUCT(--ISNUMBER(Risk_Rank_Keys!$C$2:$C$800),--(Risk_Rank_Keys!$C$2:$C$800&lt;Risk_Rank_Keys!C541))+(SUMPRODUCT(--ISNUMBER(Risk_Rank_Keys!$C$2:$C$800),--(Risk_Rank_Keys!$C$2:$C$800=Risk_Rank_Keys!C541))+1)/2)/COUNT(Risk_Rank_Keys!$C$2:$C$800))</f>
        <v/>
      </c>
      <c r="O541">
        <f>IF(OR(B541="NW",COUNT(Risk_Rank_Keys!D541)=0),0.5,(SUMPRODUCT(--ISNUMBER(Risk_Rank_Keys!$D$2:$D$800),--(Risk_Rank_Keys!$D$2:$D$800&lt;Risk_Rank_Keys!D541))+(SUMPRODUCT(--ISNUMBER(Risk_Rank_Keys!$D$2:$D$800),--(Risk_Rank_Keys!$D$2:$D$800=Risk_Rank_Keys!D541))+1)/2)/COUNT(Risk_Rank_Keys!$D$2:$D$800))</f>
        <v/>
      </c>
      <c r="P541">
        <f>AVERAGE(M541:O541)</f>
        <v/>
      </c>
      <c r="Q541">
        <f>0.4*H541+0.4*I541+0.2*P541</f>
        <v/>
      </c>
      <c r="R541">
        <f>PERCENTILE($Q$2:$Q$800,0.75)</f>
        <v/>
      </c>
      <c r="S541">
        <f>OR(Q541&gt;=R541,AND(B541="CW",COUNT(J541:L541)&lt;3))</f>
        <v/>
      </c>
      <c r="T541" t="n">
        <v>0.3449532630369383</v>
      </c>
      <c r="U541" t="n">
        <v>13.16258689952177</v>
      </c>
      <c r="V541" t="n">
        <v>0.7154666252387777</v>
      </c>
      <c r="W541">
        <f>Q541-V541</f>
        <v/>
      </c>
    </row>
    <row r="542">
      <c r="A542" t="inlineStr">
        <is>
          <t>2024-07-22</t>
        </is>
      </c>
      <c r="B542" t="inlineStr">
        <is>
          <t>CW</t>
        </is>
      </c>
      <c r="C542" t="n">
        <v>16.48122546999994</v>
      </c>
      <c r="D542">
        <f>SUMPRODUCT(Risk_Inputs!B542:AJ542,Risk_Coefs!$B$2:$AJ$2)</f>
        <v/>
      </c>
      <c r="E542">
        <f>1/(1+EXP(-MAX(-25,MIN(25,D542))))</f>
        <v/>
      </c>
      <c r="F542">
        <f>SUMPRODUCT(Risk_Inputs!B542:AJ542,Risk_Coefs!$B$3:$AJ$3)</f>
        <v/>
      </c>
      <c r="G542">
        <f>MAX(0,F542)</f>
        <v/>
      </c>
      <c r="H542">
        <f>(SUMPRODUCT(--ISNUMBER($E$2:$E$800),--($E$2:$E$800&lt;E542))+(SUMPRODUCT(--ISNUMBER($E$2:$E$800),--($E$2:$E$800=E542))+1)/2)/COUNT($E$2:$E$800)</f>
        <v/>
      </c>
      <c r="I542">
        <f>(SUMPRODUCT(--ISNUMBER($G$2:$G$800),--($G$2:$G$800&lt;G542))+(SUMPRODUCT(--ISNUMBER($G$2:$G$800),--($G$2:$G$800=G542))+1)/2)/COUNT($G$2:$G$800)</f>
        <v/>
      </c>
      <c r="J542" t="n">
        <v>26.83447431059833</v>
      </c>
      <c r="K542" t="n">
        <v>7.24573941726223</v>
      </c>
      <c r="L542" t="n">
        <v>0.1979109400769666</v>
      </c>
      <c r="M542">
        <f>IF(OR(B542="NW",COUNT(Risk_Rank_Keys!B542)=0),0.5,(SUMPRODUCT(--ISNUMBER(Risk_Rank_Keys!$B$2:$B$800),--(Risk_Rank_Keys!$B$2:$B$800&lt;Risk_Rank_Keys!B542))+(SUMPRODUCT(--ISNUMBER(Risk_Rank_Keys!$B$2:$B$800),--(Risk_Rank_Keys!$B$2:$B$800=Risk_Rank_Keys!B542))+1)/2)/COUNT(Risk_Rank_Keys!$B$2:$B$800))</f>
        <v/>
      </c>
      <c r="N542">
        <f>IF(OR(B542="NW",COUNT(Risk_Rank_Keys!C542)=0),0.5,(SUMPRODUCT(--ISNUMBER(Risk_Rank_Keys!$C$2:$C$800),--(Risk_Rank_Keys!$C$2:$C$800&lt;Risk_Rank_Keys!C542))+(SUMPRODUCT(--ISNUMBER(Risk_Rank_Keys!$C$2:$C$800),--(Risk_Rank_Keys!$C$2:$C$800=Risk_Rank_Keys!C542))+1)/2)/COUNT(Risk_Rank_Keys!$C$2:$C$800))</f>
        <v/>
      </c>
      <c r="O542">
        <f>IF(OR(B542="NW",COUNT(Risk_Rank_Keys!D542)=0),0.5,(SUMPRODUCT(--ISNUMBER(Risk_Rank_Keys!$D$2:$D$800),--(Risk_Rank_Keys!$D$2:$D$800&lt;Risk_Rank_Keys!D542))+(SUMPRODUCT(--ISNUMBER(Risk_Rank_Keys!$D$2:$D$800),--(Risk_Rank_Keys!$D$2:$D$800=Risk_Rank_Keys!D542))+1)/2)/COUNT(Risk_Rank_Keys!$D$2:$D$800))</f>
        <v/>
      </c>
      <c r="P542">
        <f>AVERAGE(M542:O542)</f>
        <v/>
      </c>
      <c r="Q542">
        <f>0.4*H542+0.4*I542+0.2*P542</f>
        <v/>
      </c>
      <c r="R542">
        <f>PERCENTILE($Q$2:$Q$800,0.75)</f>
        <v/>
      </c>
      <c r="S542">
        <f>OR(Q542&gt;=R542,AND(B542="CW",COUNT(J542:L542)&lt;3))</f>
        <v/>
      </c>
      <c r="T542" t="n">
        <v>0.3689974983152066</v>
      </c>
      <c r="U542" t="n">
        <v>12.8034302243308</v>
      </c>
      <c r="V542" t="n">
        <v>0.8588472689886069</v>
      </c>
      <c r="W542">
        <f>Q542-V542</f>
        <v/>
      </c>
    </row>
    <row r="543">
      <c r="A543" t="inlineStr">
        <is>
          <t>2024-07-23</t>
        </is>
      </c>
      <c r="B543" t="inlineStr">
        <is>
          <t>CW</t>
        </is>
      </c>
      <c r="C543" t="n">
        <v>-13.26431724959482</v>
      </c>
      <c r="D543">
        <f>SUMPRODUCT(Risk_Inputs!B543:AJ543,Risk_Coefs!$B$2:$AJ$2)</f>
        <v/>
      </c>
      <c r="E543">
        <f>1/(1+EXP(-MAX(-25,MIN(25,D543))))</f>
        <v/>
      </c>
      <c r="F543">
        <f>SUMPRODUCT(Risk_Inputs!B543:AJ543,Risk_Coefs!$B$3:$AJ$3)</f>
        <v/>
      </c>
      <c r="G543">
        <f>MAX(0,F543)</f>
        <v/>
      </c>
      <c r="H543">
        <f>(SUMPRODUCT(--ISNUMBER($E$2:$E$800),--($E$2:$E$800&lt;E543))+(SUMPRODUCT(--ISNUMBER($E$2:$E$800),--($E$2:$E$800=E543))+1)/2)/COUNT($E$2:$E$800)</f>
        <v/>
      </c>
      <c r="I543">
        <f>(SUMPRODUCT(--ISNUMBER($G$2:$G$800),--($G$2:$G$800&lt;G543))+(SUMPRODUCT(--ISNUMBER($G$2:$G$800),--($G$2:$G$800=G543))+1)/2)/COUNT($G$2:$G$800)</f>
        <v/>
      </c>
      <c r="J543" t="n">
        <v>5.073887208914036</v>
      </c>
      <c r="K543" t="n">
        <v>2.279855247285884</v>
      </c>
      <c r="L543" t="n">
        <v>0.180940892641737</v>
      </c>
      <c r="M543">
        <f>IF(OR(B543="NW",COUNT(Risk_Rank_Keys!B543)=0),0.5,(SUMPRODUCT(--ISNUMBER(Risk_Rank_Keys!$B$2:$B$800),--(Risk_Rank_Keys!$B$2:$B$800&lt;Risk_Rank_Keys!B543))+(SUMPRODUCT(--ISNUMBER(Risk_Rank_Keys!$B$2:$B$800),--(Risk_Rank_Keys!$B$2:$B$800=Risk_Rank_Keys!B543))+1)/2)/COUNT(Risk_Rank_Keys!$B$2:$B$800))</f>
        <v/>
      </c>
      <c r="N543">
        <f>IF(OR(B543="NW",COUNT(Risk_Rank_Keys!C543)=0),0.5,(SUMPRODUCT(--ISNUMBER(Risk_Rank_Keys!$C$2:$C$800),--(Risk_Rank_Keys!$C$2:$C$800&lt;Risk_Rank_Keys!C543))+(SUMPRODUCT(--ISNUMBER(Risk_Rank_Keys!$C$2:$C$800),--(Risk_Rank_Keys!$C$2:$C$800=Risk_Rank_Keys!C543))+1)/2)/COUNT(Risk_Rank_Keys!$C$2:$C$800))</f>
        <v/>
      </c>
      <c r="O543">
        <f>IF(OR(B543="NW",COUNT(Risk_Rank_Keys!D543)=0),0.5,(SUMPRODUCT(--ISNUMBER(Risk_Rank_Keys!$D$2:$D$800),--(Risk_Rank_Keys!$D$2:$D$800&lt;Risk_Rank_Keys!D543))+(SUMPRODUCT(--ISNUMBER(Risk_Rank_Keys!$D$2:$D$800),--(Risk_Rank_Keys!$D$2:$D$800=Risk_Rank_Keys!D543))+1)/2)/COUNT(Risk_Rank_Keys!$D$2:$D$800))</f>
        <v/>
      </c>
      <c r="P543">
        <f>AVERAGE(M543:O543)</f>
        <v/>
      </c>
      <c r="Q543">
        <f>0.4*H543+0.4*I543+0.2*P543</f>
        <v/>
      </c>
      <c r="R543">
        <f>PERCENTILE($Q$2:$Q$800,0.75)</f>
        <v/>
      </c>
      <c r="S543">
        <f>OR(Q543&gt;=R543,AND(B543="CW",COUNT(J543:L543)&lt;3))</f>
        <v/>
      </c>
      <c r="T543" t="n">
        <v>0.436897180288789</v>
      </c>
      <c r="U543" t="n">
        <v>10.15663878504205</v>
      </c>
      <c r="V543" t="n">
        <v>0.758079398411194</v>
      </c>
      <c r="W543">
        <f>Q543-V543</f>
        <v/>
      </c>
    </row>
    <row r="544">
      <c r="A544" t="inlineStr">
        <is>
          <t>2024-07-24</t>
        </is>
      </c>
      <c r="B544" t="inlineStr">
        <is>
          <t>NW</t>
        </is>
      </c>
      <c r="C544" t="n">
        <v>-43.87973219074794</v>
      </c>
      <c r="D544">
        <f>SUMPRODUCT(Risk_Inputs!B544:AJ544,Risk_Coefs!$B$2:$AJ$2)</f>
        <v/>
      </c>
      <c r="E544">
        <f>1/(1+EXP(-MAX(-25,MIN(25,D544))))</f>
        <v/>
      </c>
      <c r="F544">
        <f>SUMPRODUCT(Risk_Inputs!B544:AJ544,Risk_Coefs!$B$3:$AJ$3)</f>
        <v/>
      </c>
      <c r="G544">
        <f>MAX(0,F544)</f>
        <v/>
      </c>
      <c r="H544">
        <f>(SUMPRODUCT(--ISNUMBER($E$2:$E$800),--($E$2:$E$800&lt;E544))+(SUMPRODUCT(--ISNUMBER($E$2:$E$800),--($E$2:$E$800=E544))+1)/2)/COUNT($E$2:$E$800)</f>
        <v/>
      </c>
      <c r="I544">
        <f>(SUMPRODUCT(--ISNUMBER($G$2:$G$800),--($G$2:$G$800&lt;G544))+(SUMPRODUCT(--ISNUMBER($G$2:$G$800),--($G$2:$G$800=G544))+1)/2)/COUNT($G$2:$G$800)</f>
        <v/>
      </c>
      <c r="M544">
        <f>IF(OR(B544="NW",COUNT(Risk_Rank_Keys!B544)=0),0.5,(SUMPRODUCT(--ISNUMBER(Risk_Rank_Keys!$B$2:$B$800),--(Risk_Rank_Keys!$B$2:$B$800&lt;Risk_Rank_Keys!B544))+(SUMPRODUCT(--ISNUMBER(Risk_Rank_Keys!$B$2:$B$800),--(Risk_Rank_Keys!$B$2:$B$800=Risk_Rank_Keys!B544))+1)/2)/COUNT(Risk_Rank_Keys!$B$2:$B$800))</f>
        <v/>
      </c>
      <c r="N544">
        <f>IF(OR(B544="NW",COUNT(Risk_Rank_Keys!C544)=0),0.5,(SUMPRODUCT(--ISNUMBER(Risk_Rank_Keys!$C$2:$C$800),--(Risk_Rank_Keys!$C$2:$C$800&lt;Risk_Rank_Keys!C544))+(SUMPRODUCT(--ISNUMBER(Risk_Rank_Keys!$C$2:$C$800),--(Risk_Rank_Keys!$C$2:$C$800=Risk_Rank_Keys!C544))+1)/2)/COUNT(Risk_Rank_Keys!$C$2:$C$800))</f>
        <v/>
      </c>
      <c r="O544">
        <f>IF(OR(B544="NW",COUNT(Risk_Rank_Keys!D544)=0),0.5,(SUMPRODUCT(--ISNUMBER(Risk_Rank_Keys!$D$2:$D$800),--(Risk_Rank_Keys!$D$2:$D$800&lt;Risk_Rank_Keys!D544))+(SUMPRODUCT(--ISNUMBER(Risk_Rank_Keys!$D$2:$D$800),--(Risk_Rank_Keys!$D$2:$D$800=Risk_Rank_Keys!D544))+1)/2)/COUNT(Risk_Rank_Keys!$D$2:$D$800))</f>
        <v/>
      </c>
      <c r="P544">
        <f>AVERAGE(M544:O544)</f>
        <v/>
      </c>
      <c r="Q544">
        <f>0.4*H544+0.4*I544+0.2*P544</f>
        <v/>
      </c>
      <c r="R544">
        <f>PERCENTILE($Q$2:$Q$800,0.75)</f>
        <v/>
      </c>
      <c r="S544">
        <f>OR(Q544&gt;=R544,AND(B544="CW",COUNT(J544:L544)&lt;3))</f>
        <v/>
      </c>
      <c r="T544" t="n">
        <v>0.3676369733699589</v>
      </c>
      <c r="U544" t="n">
        <v>11.3560957542829</v>
      </c>
      <c r="V544" t="n">
        <v>0.8058823529411765</v>
      </c>
      <c r="W544">
        <f>Q544-V544</f>
        <v/>
      </c>
    </row>
    <row r="545">
      <c r="A545" t="inlineStr">
        <is>
          <t>2024-07-25</t>
        </is>
      </c>
      <c r="B545" t="inlineStr">
        <is>
          <t>CW</t>
        </is>
      </c>
      <c r="C545" t="n">
        <v>39.24873662346216</v>
      </c>
      <c r="D545">
        <f>SUMPRODUCT(Risk_Inputs!B545:AJ545,Risk_Coefs!$B$2:$AJ$2)</f>
        <v/>
      </c>
      <c r="E545">
        <f>1/(1+EXP(-MAX(-25,MIN(25,D545))))</f>
        <v/>
      </c>
      <c r="F545">
        <f>SUMPRODUCT(Risk_Inputs!B545:AJ545,Risk_Coefs!$B$3:$AJ$3)</f>
        <v/>
      </c>
      <c r="G545">
        <f>MAX(0,F545)</f>
        <v/>
      </c>
      <c r="H545">
        <f>(SUMPRODUCT(--ISNUMBER($E$2:$E$800),--($E$2:$E$800&lt;E545))+(SUMPRODUCT(--ISNUMBER($E$2:$E$800),--($E$2:$E$800=E545))+1)/2)/COUNT($E$2:$E$800)</f>
        <v/>
      </c>
      <c r="I545">
        <f>(SUMPRODUCT(--ISNUMBER($G$2:$G$800),--($G$2:$G$800&lt;G545))+(SUMPRODUCT(--ISNUMBER($G$2:$G$800),--($G$2:$G$800=G545))+1)/2)/COUNT($G$2:$G$800)</f>
        <v/>
      </c>
      <c r="J545" t="n">
        <v>22.77608263756969</v>
      </c>
      <c r="K545" t="n">
        <v>13.22632423756021</v>
      </c>
      <c r="L545" t="n">
        <v>0.3210272873194221</v>
      </c>
      <c r="M545">
        <f>IF(OR(B545="NW",COUNT(Risk_Rank_Keys!B545)=0),0.5,(SUMPRODUCT(--ISNUMBER(Risk_Rank_Keys!$B$2:$B$800),--(Risk_Rank_Keys!$B$2:$B$800&lt;Risk_Rank_Keys!B545))+(SUMPRODUCT(--ISNUMBER(Risk_Rank_Keys!$B$2:$B$800),--(Risk_Rank_Keys!$B$2:$B$800=Risk_Rank_Keys!B545))+1)/2)/COUNT(Risk_Rank_Keys!$B$2:$B$800))</f>
        <v/>
      </c>
      <c r="N545">
        <f>IF(OR(B545="NW",COUNT(Risk_Rank_Keys!C545)=0),0.5,(SUMPRODUCT(--ISNUMBER(Risk_Rank_Keys!$C$2:$C$800),--(Risk_Rank_Keys!$C$2:$C$800&lt;Risk_Rank_Keys!C545))+(SUMPRODUCT(--ISNUMBER(Risk_Rank_Keys!$C$2:$C$800),--(Risk_Rank_Keys!$C$2:$C$800=Risk_Rank_Keys!C545))+1)/2)/COUNT(Risk_Rank_Keys!$C$2:$C$800))</f>
        <v/>
      </c>
      <c r="O545">
        <f>IF(OR(B545="NW",COUNT(Risk_Rank_Keys!D545)=0),0.5,(SUMPRODUCT(--ISNUMBER(Risk_Rank_Keys!$D$2:$D$800),--(Risk_Rank_Keys!$D$2:$D$800&lt;Risk_Rank_Keys!D545))+(SUMPRODUCT(--ISNUMBER(Risk_Rank_Keys!$D$2:$D$800),--(Risk_Rank_Keys!$D$2:$D$800=Risk_Rank_Keys!D545))+1)/2)/COUNT(Risk_Rank_Keys!$D$2:$D$800))</f>
        <v/>
      </c>
      <c r="P545">
        <f>AVERAGE(M545:O545)</f>
        <v/>
      </c>
      <c r="Q545">
        <f>0.4*H545+0.4*I545+0.2*P545</f>
        <v/>
      </c>
      <c r="R545">
        <f>PERCENTILE($Q$2:$Q$800,0.75)</f>
        <v/>
      </c>
      <c r="S545">
        <f>OR(Q545&gt;=R545,AND(B545="CW",COUNT(J545:L545)&lt;3))</f>
        <v/>
      </c>
      <c r="T545" t="n">
        <v>0.264494984852814</v>
      </c>
      <c r="U545" t="n">
        <v>8.310524451493711</v>
      </c>
      <c r="V545" t="n">
        <v>0.5461733024020612</v>
      </c>
      <c r="W545">
        <f>Q545-V545</f>
        <v/>
      </c>
    </row>
    <row r="546">
      <c r="A546" t="inlineStr">
        <is>
          <t>2024-07-26</t>
        </is>
      </c>
      <c r="B546" t="inlineStr">
        <is>
          <t>CW</t>
        </is>
      </c>
      <c r="C546" t="n">
        <v>-39.42921674601953</v>
      </c>
      <c r="D546">
        <f>SUMPRODUCT(Risk_Inputs!B546:AJ546,Risk_Coefs!$B$2:$AJ$2)</f>
        <v/>
      </c>
      <c r="E546">
        <f>1/(1+EXP(-MAX(-25,MIN(25,D546))))</f>
        <v/>
      </c>
      <c r="F546">
        <f>SUMPRODUCT(Risk_Inputs!B546:AJ546,Risk_Coefs!$B$3:$AJ$3)</f>
        <v/>
      </c>
      <c r="G546">
        <f>MAX(0,F546)</f>
        <v/>
      </c>
      <c r="H546">
        <f>(SUMPRODUCT(--ISNUMBER($E$2:$E$800),--($E$2:$E$800&lt;E546))+(SUMPRODUCT(--ISNUMBER($E$2:$E$800),--($E$2:$E$800=E546))+1)/2)/COUNT($E$2:$E$800)</f>
        <v/>
      </c>
      <c r="I546">
        <f>(SUMPRODUCT(--ISNUMBER($G$2:$G$800),--($G$2:$G$800&lt;G546))+(SUMPRODUCT(--ISNUMBER($G$2:$G$800),--($G$2:$G$800=G546))+1)/2)/COUNT($G$2:$G$800)</f>
        <v/>
      </c>
      <c r="J546" t="n">
        <v>3.884027041005105</v>
      </c>
      <c r="K546" t="n">
        <v>2.093370991859135</v>
      </c>
      <c r="L546" t="n">
        <v>0.182754610400393</v>
      </c>
      <c r="M546">
        <f>IF(OR(B546="NW",COUNT(Risk_Rank_Keys!B546)=0),0.5,(SUMPRODUCT(--ISNUMBER(Risk_Rank_Keys!$B$2:$B$800),--(Risk_Rank_Keys!$B$2:$B$800&lt;Risk_Rank_Keys!B546))+(SUMPRODUCT(--ISNUMBER(Risk_Rank_Keys!$B$2:$B$800),--(Risk_Rank_Keys!$B$2:$B$800=Risk_Rank_Keys!B546))+1)/2)/COUNT(Risk_Rank_Keys!$B$2:$B$800))</f>
        <v/>
      </c>
      <c r="N546">
        <f>IF(OR(B546="NW",COUNT(Risk_Rank_Keys!C546)=0),0.5,(SUMPRODUCT(--ISNUMBER(Risk_Rank_Keys!$C$2:$C$800),--(Risk_Rank_Keys!$C$2:$C$800&lt;Risk_Rank_Keys!C546))+(SUMPRODUCT(--ISNUMBER(Risk_Rank_Keys!$C$2:$C$800),--(Risk_Rank_Keys!$C$2:$C$800=Risk_Rank_Keys!C546))+1)/2)/COUNT(Risk_Rank_Keys!$C$2:$C$800))</f>
        <v/>
      </c>
      <c r="O546">
        <f>IF(OR(B546="NW",COUNT(Risk_Rank_Keys!D546)=0),0.5,(SUMPRODUCT(--ISNUMBER(Risk_Rank_Keys!$D$2:$D$800),--(Risk_Rank_Keys!$D$2:$D$800&lt;Risk_Rank_Keys!D546))+(SUMPRODUCT(--ISNUMBER(Risk_Rank_Keys!$D$2:$D$800),--(Risk_Rank_Keys!$D$2:$D$800=Risk_Rank_Keys!D546))+1)/2)/COUNT(Risk_Rank_Keys!$D$2:$D$800))</f>
        <v/>
      </c>
      <c r="P546">
        <f>AVERAGE(M546:O546)</f>
        <v/>
      </c>
      <c r="Q546">
        <f>0.4*H546+0.4*I546+0.2*P546</f>
        <v/>
      </c>
      <c r="R546">
        <f>PERCENTILE($Q$2:$Q$800,0.75)</f>
        <v/>
      </c>
      <c r="S546">
        <f>OR(Q546&gt;=R546,AND(B546="CW",COUNT(J546:L546)&lt;3))</f>
        <v/>
      </c>
      <c r="T546" t="n">
        <v>0.2434696475688406</v>
      </c>
      <c r="U546" t="n">
        <v>6.134112384501281</v>
      </c>
      <c r="V546" t="n">
        <v>0.2469042835389891</v>
      </c>
      <c r="W546">
        <f>Q546-V546</f>
        <v/>
      </c>
    </row>
    <row r="547">
      <c r="A547" t="inlineStr">
        <is>
          <t>2024-07-31</t>
        </is>
      </c>
      <c r="B547" t="inlineStr">
        <is>
          <t>CW</t>
        </is>
      </c>
      <c r="C547" t="n">
        <v>-12.46184134845574</v>
      </c>
      <c r="D547">
        <f>SUMPRODUCT(Risk_Inputs!B547:AJ547,Risk_Coefs!$B$2:$AJ$2)</f>
        <v/>
      </c>
      <c r="E547">
        <f>1/(1+EXP(-MAX(-25,MIN(25,D547))))</f>
        <v/>
      </c>
      <c r="F547">
        <f>SUMPRODUCT(Risk_Inputs!B547:AJ547,Risk_Coefs!$B$3:$AJ$3)</f>
        <v/>
      </c>
      <c r="G547">
        <f>MAX(0,F547)</f>
        <v/>
      </c>
      <c r="H547">
        <f>(SUMPRODUCT(--ISNUMBER($E$2:$E$800),--($E$2:$E$800&lt;E547))+(SUMPRODUCT(--ISNUMBER($E$2:$E$800),--($E$2:$E$800=E547))+1)/2)/COUNT($E$2:$E$800)</f>
        <v/>
      </c>
      <c r="I547">
        <f>(SUMPRODUCT(--ISNUMBER($G$2:$G$800),--($G$2:$G$800&lt;G547))+(SUMPRODUCT(--ISNUMBER($G$2:$G$800),--($G$2:$G$800=G547))+1)/2)/COUNT($G$2:$G$800)</f>
        <v/>
      </c>
      <c r="J547" t="n">
        <v>2.608875394092157</v>
      </c>
      <c r="K547" t="n">
        <v>2.241904234708005</v>
      </c>
      <c r="L547" t="n">
        <v>0.1107113202325032</v>
      </c>
      <c r="M547">
        <f>IF(OR(B547="NW",COUNT(Risk_Rank_Keys!B547)=0),0.5,(SUMPRODUCT(--ISNUMBER(Risk_Rank_Keys!$B$2:$B$800),--(Risk_Rank_Keys!$B$2:$B$800&lt;Risk_Rank_Keys!B547))+(SUMPRODUCT(--ISNUMBER(Risk_Rank_Keys!$B$2:$B$800),--(Risk_Rank_Keys!$B$2:$B$800=Risk_Rank_Keys!B547))+1)/2)/COUNT(Risk_Rank_Keys!$B$2:$B$800))</f>
        <v/>
      </c>
      <c r="N547">
        <f>IF(OR(B547="NW",COUNT(Risk_Rank_Keys!C547)=0),0.5,(SUMPRODUCT(--ISNUMBER(Risk_Rank_Keys!$C$2:$C$800),--(Risk_Rank_Keys!$C$2:$C$800&lt;Risk_Rank_Keys!C547))+(SUMPRODUCT(--ISNUMBER(Risk_Rank_Keys!$C$2:$C$800),--(Risk_Rank_Keys!$C$2:$C$800=Risk_Rank_Keys!C547))+1)/2)/COUNT(Risk_Rank_Keys!$C$2:$C$800))</f>
        <v/>
      </c>
      <c r="O547">
        <f>IF(OR(B547="NW",COUNT(Risk_Rank_Keys!D547)=0),0.5,(SUMPRODUCT(--ISNUMBER(Risk_Rank_Keys!$D$2:$D$800),--(Risk_Rank_Keys!$D$2:$D$800&lt;Risk_Rank_Keys!D547))+(SUMPRODUCT(--ISNUMBER(Risk_Rank_Keys!$D$2:$D$800),--(Risk_Rank_Keys!$D$2:$D$800=Risk_Rank_Keys!D547))+1)/2)/COUNT(Risk_Rank_Keys!$D$2:$D$800))</f>
        <v/>
      </c>
      <c r="P547">
        <f>AVERAGE(M547:O547)</f>
        <v/>
      </c>
      <c r="Q547">
        <f>0.4*H547+0.4*I547+0.2*P547</f>
        <v/>
      </c>
      <c r="R547">
        <f>PERCENTILE($Q$2:$Q$800,0.75)</f>
        <v/>
      </c>
      <c r="S547">
        <f>OR(Q547&gt;=R547,AND(B547="CW",COUNT(J547:L547)&lt;3))</f>
        <v/>
      </c>
      <c r="T547" t="n">
        <v>0.303158900087103</v>
      </c>
      <c r="U547" t="n">
        <v>7.932168109432176</v>
      </c>
      <c r="V547" t="n">
        <v>0.4703826086652947</v>
      </c>
      <c r="W547">
        <f>Q547-V547</f>
        <v/>
      </c>
    </row>
    <row r="548">
      <c r="A548" t="inlineStr">
        <is>
          <t>2024-08-01</t>
        </is>
      </c>
      <c r="B548" t="inlineStr">
        <is>
          <t>CW</t>
        </is>
      </c>
      <c r="C548" t="n">
        <v>54.47939845423934</v>
      </c>
      <c r="D548">
        <f>SUMPRODUCT(Risk_Inputs!B548:AJ548,Risk_Coefs!$B$2:$AJ$2)</f>
        <v/>
      </c>
      <c r="E548">
        <f>1/(1+EXP(-MAX(-25,MIN(25,D548))))</f>
        <v/>
      </c>
      <c r="F548">
        <f>SUMPRODUCT(Risk_Inputs!B548:AJ548,Risk_Coefs!$B$3:$AJ$3)</f>
        <v/>
      </c>
      <c r="G548">
        <f>MAX(0,F548)</f>
        <v/>
      </c>
      <c r="H548">
        <f>(SUMPRODUCT(--ISNUMBER($E$2:$E$800),--($E$2:$E$800&lt;E548))+(SUMPRODUCT(--ISNUMBER($E$2:$E$800),--($E$2:$E$800=E548))+1)/2)/COUNT($E$2:$E$800)</f>
        <v/>
      </c>
      <c r="I548">
        <f>(SUMPRODUCT(--ISNUMBER($G$2:$G$800),--($G$2:$G$800&lt;G548))+(SUMPRODUCT(--ISNUMBER($G$2:$G$800),--($G$2:$G$800=G548))+1)/2)/COUNT($G$2:$G$800)</f>
        <v/>
      </c>
      <c r="J548" t="n">
        <v>8.52654511181443</v>
      </c>
      <c r="K548" t="n">
        <v>4.845814977973544</v>
      </c>
      <c r="L548" t="n">
        <v>0.2202643171806146</v>
      </c>
      <c r="M548">
        <f>IF(OR(B548="NW",COUNT(Risk_Rank_Keys!B548)=0),0.5,(SUMPRODUCT(--ISNUMBER(Risk_Rank_Keys!$B$2:$B$800),--(Risk_Rank_Keys!$B$2:$B$800&lt;Risk_Rank_Keys!B548))+(SUMPRODUCT(--ISNUMBER(Risk_Rank_Keys!$B$2:$B$800),--(Risk_Rank_Keys!$B$2:$B$800=Risk_Rank_Keys!B548))+1)/2)/COUNT(Risk_Rank_Keys!$B$2:$B$800))</f>
        <v/>
      </c>
      <c r="N548">
        <f>IF(OR(B548="NW",COUNT(Risk_Rank_Keys!C548)=0),0.5,(SUMPRODUCT(--ISNUMBER(Risk_Rank_Keys!$C$2:$C$800),--(Risk_Rank_Keys!$C$2:$C$800&lt;Risk_Rank_Keys!C548))+(SUMPRODUCT(--ISNUMBER(Risk_Rank_Keys!$C$2:$C$800),--(Risk_Rank_Keys!$C$2:$C$800=Risk_Rank_Keys!C548))+1)/2)/COUNT(Risk_Rank_Keys!$C$2:$C$800))</f>
        <v/>
      </c>
      <c r="O548">
        <f>IF(OR(B548="NW",COUNT(Risk_Rank_Keys!D548)=0),0.5,(SUMPRODUCT(--ISNUMBER(Risk_Rank_Keys!$D$2:$D$800),--(Risk_Rank_Keys!$D$2:$D$800&lt;Risk_Rank_Keys!D548))+(SUMPRODUCT(--ISNUMBER(Risk_Rank_Keys!$D$2:$D$800),--(Risk_Rank_Keys!$D$2:$D$800=Risk_Rank_Keys!D548))+1)/2)/COUNT(Risk_Rank_Keys!$D$2:$D$800))</f>
        <v/>
      </c>
      <c r="P548">
        <f>AVERAGE(M548:O548)</f>
        <v/>
      </c>
      <c r="Q548">
        <f>0.4*H548+0.4*I548+0.2*P548</f>
        <v/>
      </c>
      <c r="R548">
        <f>PERCENTILE($Q$2:$Q$800,0.75)</f>
        <v/>
      </c>
      <c r="S548">
        <f>OR(Q548&gt;=R548,AND(B548="CW",COUNT(J548:L548)&lt;3))</f>
        <v/>
      </c>
      <c r="T548" t="n">
        <v>0.2922294764547566</v>
      </c>
      <c r="U548" t="n">
        <v>10.84307968246049</v>
      </c>
      <c r="V548" t="n">
        <v>0.6632578263508139</v>
      </c>
      <c r="W548">
        <f>Q548-V548</f>
        <v/>
      </c>
    </row>
    <row r="549">
      <c r="A549" t="inlineStr">
        <is>
          <t>2024-08-05</t>
        </is>
      </c>
      <c r="B549" t="inlineStr">
        <is>
          <t>CW</t>
        </is>
      </c>
      <c r="C549" t="n">
        <v>-12.75849918967057</v>
      </c>
      <c r="D549">
        <f>SUMPRODUCT(Risk_Inputs!B549:AJ549,Risk_Coefs!$B$2:$AJ$2)</f>
        <v/>
      </c>
      <c r="E549">
        <f>1/(1+EXP(-MAX(-25,MIN(25,D549))))</f>
        <v/>
      </c>
      <c r="F549">
        <f>SUMPRODUCT(Risk_Inputs!B549:AJ549,Risk_Coefs!$B$3:$AJ$3)</f>
        <v/>
      </c>
      <c r="G549">
        <f>MAX(0,F549)</f>
        <v/>
      </c>
      <c r="H549">
        <f>(SUMPRODUCT(--ISNUMBER($E$2:$E$800),--($E$2:$E$800&lt;E549))+(SUMPRODUCT(--ISNUMBER($E$2:$E$800),--($E$2:$E$800=E549))+1)/2)/COUNT($E$2:$E$800)</f>
        <v/>
      </c>
      <c r="I549">
        <f>(SUMPRODUCT(--ISNUMBER($G$2:$G$800),--($G$2:$G$800&lt;G549))+(SUMPRODUCT(--ISNUMBER($G$2:$G$800),--($G$2:$G$800=G549))+1)/2)/COUNT($G$2:$G$800)</f>
        <v/>
      </c>
      <c r="J549" t="n">
        <v>9.769983730407535</v>
      </c>
      <c r="K549" t="n">
        <v>5.33863410478488</v>
      </c>
      <c r="L549" t="n">
        <v>0.1703819395144179</v>
      </c>
      <c r="M549">
        <f>IF(OR(B549="NW",COUNT(Risk_Rank_Keys!B549)=0),0.5,(SUMPRODUCT(--ISNUMBER(Risk_Rank_Keys!$B$2:$B$800),--(Risk_Rank_Keys!$B$2:$B$800&lt;Risk_Rank_Keys!B549))+(SUMPRODUCT(--ISNUMBER(Risk_Rank_Keys!$B$2:$B$800),--(Risk_Rank_Keys!$B$2:$B$800=Risk_Rank_Keys!B549))+1)/2)/COUNT(Risk_Rank_Keys!$B$2:$B$800))</f>
        <v/>
      </c>
      <c r="N549">
        <f>IF(OR(B549="NW",COUNT(Risk_Rank_Keys!C549)=0),0.5,(SUMPRODUCT(--ISNUMBER(Risk_Rank_Keys!$C$2:$C$800),--(Risk_Rank_Keys!$C$2:$C$800&lt;Risk_Rank_Keys!C549))+(SUMPRODUCT(--ISNUMBER(Risk_Rank_Keys!$C$2:$C$800),--(Risk_Rank_Keys!$C$2:$C$800=Risk_Rank_Keys!C549))+1)/2)/COUNT(Risk_Rank_Keys!$C$2:$C$800))</f>
        <v/>
      </c>
      <c r="O549">
        <f>IF(OR(B549="NW",COUNT(Risk_Rank_Keys!D549)=0),0.5,(SUMPRODUCT(--ISNUMBER(Risk_Rank_Keys!$D$2:$D$800),--(Risk_Rank_Keys!$D$2:$D$800&lt;Risk_Rank_Keys!D549))+(SUMPRODUCT(--ISNUMBER(Risk_Rank_Keys!$D$2:$D$800),--(Risk_Rank_Keys!$D$2:$D$800=Risk_Rank_Keys!D549))+1)/2)/COUNT(Risk_Rank_Keys!$D$2:$D$800))</f>
        <v/>
      </c>
      <c r="P549">
        <f>AVERAGE(M549:O549)</f>
        <v/>
      </c>
      <c r="Q549">
        <f>0.4*H549+0.4*I549+0.2*P549</f>
        <v/>
      </c>
      <c r="R549">
        <f>PERCENTILE($Q$2:$Q$800,0.75)</f>
        <v/>
      </c>
      <c r="S549">
        <f>OR(Q549&gt;=R549,AND(B549="CW",COUNT(J549:L549)&lt;3))</f>
        <v/>
      </c>
      <c r="T549" t="n">
        <v>0.3169995953226304</v>
      </c>
      <c r="U549" t="n">
        <v>1.901022242503383</v>
      </c>
      <c r="V549" t="n">
        <v>0.3557297621562053</v>
      </c>
      <c r="W549">
        <f>Q549-V549</f>
        <v/>
      </c>
    </row>
    <row r="550">
      <c r="A550" t="inlineStr">
        <is>
          <t>2024-08-08</t>
        </is>
      </c>
      <c r="B550" t="inlineStr">
        <is>
          <t>CW</t>
        </is>
      </c>
      <c r="C550" t="n">
        <v>-45.40070935866758</v>
      </c>
      <c r="D550">
        <f>SUMPRODUCT(Risk_Inputs!B550:AJ550,Risk_Coefs!$B$2:$AJ$2)</f>
        <v/>
      </c>
      <c r="E550">
        <f>1/(1+EXP(-MAX(-25,MIN(25,D550))))</f>
        <v/>
      </c>
      <c r="F550">
        <f>SUMPRODUCT(Risk_Inputs!B550:AJ550,Risk_Coefs!$B$3:$AJ$3)</f>
        <v/>
      </c>
      <c r="G550">
        <f>MAX(0,F550)</f>
        <v/>
      </c>
      <c r="H550">
        <f>(SUMPRODUCT(--ISNUMBER($E$2:$E$800),--($E$2:$E$800&lt;E550))+(SUMPRODUCT(--ISNUMBER($E$2:$E$800),--($E$2:$E$800=E550))+1)/2)/COUNT($E$2:$E$800)</f>
        <v/>
      </c>
      <c r="I550">
        <f>(SUMPRODUCT(--ISNUMBER($G$2:$G$800),--($G$2:$G$800&lt;G550))+(SUMPRODUCT(--ISNUMBER($G$2:$G$800),--($G$2:$G$800=G550))+1)/2)/COUNT($G$2:$G$800)</f>
        <v/>
      </c>
      <c r="J550" t="n">
        <v>6.414659249587697</v>
      </c>
      <c r="K550" t="n">
        <v>6.962602614776539</v>
      </c>
      <c r="L550" t="n">
        <v>0.1216175129218538</v>
      </c>
      <c r="M550">
        <f>IF(OR(B550="NW",COUNT(Risk_Rank_Keys!B550)=0),0.5,(SUMPRODUCT(--ISNUMBER(Risk_Rank_Keys!$B$2:$B$800),--(Risk_Rank_Keys!$B$2:$B$800&lt;Risk_Rank_Keys!B550))+(SUMPRODUCT(--ISNUMBER(Risk_Rank_Keys!$B$2:$B$800),--(Risk_Rank_Keys!$B$2:$B$800=Risk_Rank_Keys!B550))+1)/2)/COUNT(Risk_Rank_Keys!$B$2:$B$800))</f>
        <v/>
      </c>
      <c r="N550">
        <f>IF(OR(B550="NW",COUNT(Risk_Rank_Keys!C550)=0),0.5,(SUMPRODUCT(--ISNUMBER(Risk_Rank_Keys!$C$2:$C$800),--(Risk_Rank_Keys!$C$2:$C$800&lt;Risk_Rank_Keys!C550))+(SUMPRODUCT(--ISNUMBER(Risk_Rank_Keys!$C$2:$C$800),--(Risk_Rank_Keys!$C$2:$C$800=Risk_Rank_Keys!C550))+1)/2)/COUNT(Risk_Rank_Keys!$C$2:$C$800))</f>
        <v/>
      </c>
      <c r="O550">
        <f>IF(OR(B550="NW",COUNT(Risk_Rank_Keys!D550)=0),0.5,(SUMPRODUCT(--ISNUMBER(Risk_Rank_Keys!$D$2:$D$800),--(Risk_Rank_Keys!$D$2:$D$800&lt;Risk_Rank_Keys!D550))+(SUMPRODUCT(--ISNUMBER(Risk_Rank_Keys!$D$2:$D$800),--(Risk_Rank_Keys!$D$2:$D$800=Risk_Rank_Keys!D550))+1)/2)/COUNT(Risk_Rank_Keys!$D$2:$D$800))</f>
        <v/>
      </c>
      <c r="P550">
        <f>AVERAGE(M550:O550)</f>
        <v/>
      </c>
      <c r="Q550">
        <f>0.4*H550+0.4*I550+0.2*P550</f>
        <v/>
      </c>
      <c r="R550">
        <f>PERCENTILE($Q$2:$Q$800,0.75)</f>
        <v/>
      </c>
      <c r="S550">
        <f>OR(Q550&gt;=R550,AND(B550="CW",COUNT(J550:L550)&lt;3))</f>
        <v/>
      </c>
      <c r="T550" t="n">
        <v>0.2960662605794865</v>
      </c>
      <c r="U550" t="n">
        <v>7.053499104646059</v>
      </c>
      <c r="V550" t="n">
        <v>0.4624761658721472</v>
      </c>
      <c r="W550">
        <f>Q550-V550</f>
        <v/>
      </c>
    </row>
    <row r="551">
      <c r="A551" t="inlineStr">
        <is>
          <t>2024-08-12</t>
        </is>
      </c>
      <c r="B551" t="inlineStr">
        <is>
          <t>CW</t>
        </is>
      </c>
      <c r="C551" t="n">
        <v>18.24474555348131</v>
      </c>
      <c r="D551">
        <f>SUMPRODUCT(Risk_Inputs!B551:AJ551,Risk_Coefs!$B$2:$AJ$2)</f>
        <v/>
      </c>
      <c r="E551">
        <f>1/(1+EXP(-MAX(-25,MIN(25,D551))))</f>
        <v/>
      </c>
      <c r="F551">
        <f>SUMPRODUCT(Risk_Inputs!B551:AJ551,Risk_Coefs!$B$3:$AJ$3)</f>
        <v/>
      </c>
      <c r="G551">
        <f>MAX(0,F551)</f>
        <v/>
      </c>
      <c r="H551">
        <f>(SUMPRODUCT(--ISNUMBER($E$2:$E$800),--($E$2:$E$800&lt;E551))+(SUMPRODUCT(--ISNUMBER($E$2:$E$800),--($E$2:$E$800=E551))+1)/2)/COUNT($E$2:$E$800)</f>
        <v/>
      </c>
      <c r="I551">
        <f>(SUMPRODUCT(--ISNUMBER($G$2:$G$800),--($G$2:$G$800&lt;G551))+(SUMPRODUCT(--ISNUMBER($G$2:$G$800),--($G$2:$G$800=G551))+1)/2)/COUNT($G$2:$G$800)</f>
        <v/>
      </c>
      <c r="J551" t="n">
        <v>10.24583839967321</v>
      </c>
      <c r="K551" t="n">
        <v>2.107051826677991</v>
      </c>
      <c r="L551" t="n">
        <v>0.0849617672047578</v>
      </c>
      <c r="M551">
        <f>IF(OR(B551="NW",COUNT(Risk_Rank_Keys!B551)=0),0.5,(SUMPRODUCT(--ISNUMBER(Risk_Rank_Keys!$B$2:$B$800),--(Risk_Rank_Keys!$B$2:$B$800&lt;Risk_Rank_Keys!B551))+(SUMPRODUCT(--ISNUMBER(Risk_Rank_Keys!$B$2:$B$800),--(Risk_Rank_Keys!$B$2:$B$800=Risk_Rank_Keys!B551))+1)/2)/COUNT(Risk_Rank_Keys!$B$2:$B$800))</f>
        <v/>
      </c>
      <c r="N551">
        <f>IF(OR(B551="NW",COUNT(Risk_Rank_Keys!C551)=0),0.5,(SUMPRODUCT(--ISNUMBER(Risk_Rank_Keys!$C$2:$C$800),--(Risk_Rank_Keys!$C$2:$C$800&lt;Risk_Rank_Keys!C551))+(SUMPRODUCT(--ISNUMBER(Risk_Rank_Keys!$C$2:$C$800),--(Risk_Rank_Keys!$C$2:$C$800=Risk_Rank_Keys!C551))+1)/2)/COUNT(Risk_Rank_Keys!$C$2:$C$800))</f>
        <v/>
      </c>
      <c r="O551">
        <f>IF(OR(B551="NW",COUNT(Risk_Rank_Keys!D551)=0),0.5,(SUMPRODUCT(--ISNUMBER(Risk_Rank_Keys!$D$2:$D$800),--(Risk_Rank_Keys!$D$2:$D$800&lt;Risk_Rank_Keys!D551))+(SUMPRODUCT(--ISNUMBER(Risk_Rank_Keys!$D$2:$D$800),--(Risk_Rank_Keys!$D$2:$D$800=Risk_Rank_Keys!D551))+1)/2)/COUNT(Risk_Rank_Keys!$D$2:$D$800))</f>
        <v/>
      </c>
      <c r="P551">
        <f>AVERAGE(M551:O551)</f>
        <v/>
      </c>
      <c r="Q551">
        <f>0.4*H551+0.4*I551+0.2*P551</f>
        <v/>
      </c>
      <c r="R551">
        <f>PERCENTILE($Q$2:$Q$800,0.75)</f>
        <v/>
      </c>
      <c r="S551">
        <f>OR(Q551&gt;=R551,AND(B551="CW",COUNT(J551:L551)&lt;3))</f>
        <v/>
      </c>
      <c r="T551" t="n">
        <v>0.2667657663987588</v>
      </c>
      <c r="U551" t="n">
        <v>4.795213122672118</v>
      </c>
      <c r="V551" t="n">
        <v>0.2508818263647784</v>
      </c>
      <c r="W551">
        <f>Q551-V551</f>
        <v/>
      </c>
    </row>
    <row r="552">
      <c r="A552" t="inlineStr">
        <is>
          <t>2024-08-13</t>
        </is>
      </c>
      <c r="B552" t="inlineStr">
        <is>
          <t>CW</t>
        </is>
      </c>
      <c r="C552" t="n">
        <v>26.56359591781224</v>
      </c>
      <c r="D552">
        <f>SUMPRODUCT(Risk_Inputs!B552:AJ552,Risk_Coefs!$B$2:$AJ$2)</f>
        <v/>
      </c>
      <c r="E552">
        <f>1/(1+EXP(-MAX(-25,MIN(25,D552))))</f>
        <v/>
      </c>
      <c r="F552">
        <f>SUMPRODUCT(Risk_Inputs!B552:AJ552,Risk_Coefs!$B$3:$AJ$3)</f>
        <v/>
      </c>
      <c r="G552">
        <f>MAX(0,F552)</f>
        <v/>
      </c>
      <c r="H552">
        <f>(SUMPRODUCT(--ISNUMBER($E$2:$E$800),--($E$2:$E$800&lt;E552))+(SUMPRODUCT(--ISNUMBER($E$2:$E$800),--($E$2:$E$800=E552))+1)/2)/COUNT($E$2:$E$800)</f>
        <v/>
      </c>
      <c r="I552">
        <f>(SUMPRODUCT(--ISNUMBER($G$2:$G$800),--($G$2:$G$800&lt;G552))+(SUMPRODUCT(--ISNUMBER($G$2:$G$800),--($G$2:$G$800=G552))+1)/2)/COUNT($G$2:$G$800)</f>
        <v/>
      </c>
      <c r="J552" t="n">
        <v>11.9640584882111</v>
      </c>
      <c r="K552" t="n">
        <v>2.359020444843855</v>
      </c>
      <c r="L552" t="n">
        <v>0.1348011682767968</v>
      </c>
      <c r="M552">
        <f>IF(OR(B552="NW",COUNT(Risk_Rank_Keys!B552)=0),0.5,(SUMPRODUCT(--ISNUMBER(Risk_Rank_Keys!$B$2:$B$800),--(Risk_Rank_Keys!$B$2:$B$800&lt;Risk_Rank_Keys!B552))+(SUMPRODUCT(--ISNUMBER(Risk_Rank_Keys!$B$2:$B$800),--(Risk_Rank_Keys!$B$2:$B$800=Risk_Rank_Keys!B552))+1)/2)/COUNT(Risk_Rank_Keys!$B$2:$B$800))</f>
        <v/>
      </c>
      <c r="N552">
        <f>IF(OR(B552="NW",COUNT(Risk_Rank_Keys!C552)=0),0.5,(SUMPRODUCT(--ISNUMBER(Risk_Rank_Keys!$C$2:$C$800),--(Risk_Rank_Keys!$C$2:$C$800&lt;Risk_Rank_Keys!C552))+(SUMPRODUCT(--ISNUMBER(Risk_Rank_Keys!$C$2:$C$800),--(Risk_Rank_Keys!$C$2:$C$800=Risk_Rank_Keys!C552))+1)/2)/COUNT(Risk_Rank_Keys!$C$2:$C$800))</f>
        <v/>
      </c>
      <c r="O552">
        <f>IF(OR(B552="NW",COUNT(Risk_Rank_Keys!D552)=0),0.5,(SUMPRODUCT(--ISNUMBER(Risk_Rank_Keys!$D$2:$D$800),--(Risk_Rank_Keys!$D$2:$D$800&lt;Risk_Rank_Keys!D552))+(SUMPRODUCT(--ISNUMBER(Risk_Rank_Keys!$D$2:$D$800),--(Risk_Rank_Keys!$D$2:$D$800=Risk_Rank_Keys!D552))+1)/2)/COUNT(Risk_Rank_Keys!$D$2:$D$800))</f>
        <v/>
      </c>
      <c r="P552">
        <f>AVERAGE(M552:O552)</f>
        <v/>
      </c>
      <c r="Q552">
        <f>0.4*H552+0.4*I552+0.2*P552</f>
        <v/>
      </c>
      <c r="R552">
        <f>PERCENTILE($Q$2:$Q$800,0.75)</f>
        <v/>
      </c>
      <c r="S552">
        <f>OR(Q552&gt;=R552,AND(B552="CW",COUNT(J552:L552)&lt;3))</f>
        <v/>
      </c>
      <c r="T552" t="n">
        <v>0.2564232559580646</v>
      </c>
      <c r="U552" t="n">
        <v>5.585432661603637</v>
      </c>
      <c r="V552" t="n">
        <v>0.2758783207042276</v>
      </c>
      <c r="W552">
        <f>Q552-V552</f>
        <v/>
      </c>
    </row>
    <row r="553">
      <c r="A553" t="inlineStr">
        <is>
          <t>2024-08-14</t>
        </is>
      </c>
      <c r="B553" t="inlineStr">
        <is>
          <t>CW</t>
        </is>
      </c>
      <c r="C553" t="n">
        <v>53.8528299133315</v>
      </c>
      <c r="D553">
        <f>SUMPRODUCT(Risk_Inputs!B553:AJ553,Risk_Coefs!$B$2:$AJ$2)</f>
        <v/>
      </c>
      <c r="E553">
        <f>1/(1+EXP(-MAX(-25,MIN(25,D553))))</f>
        <v/>
      </c>
      <c r="F553">
        <f>SUMPRODUCT(Risk_Inputs!B553:AJ553,Risk_Coefs!$B$3:$AJ$3)</f>
        <v/>
      </c>
      <c r="G553">
        <f>MAX(0,F553)</f>
        <v/>
      </c>
      <c r="H553">
        <f>(SUMPRODUCT(--ISNUMBER($E$2:$E$800),--($E$2:$E$800&lt;E553))+(SUMPRODUCT(--ISNUMBER($E$2:$E$800),--($E$2:$E$800=E553))+1)/2)/COUNT($E$2:$E$800)</f>
        <v/>
      </c>
      <c r="I553">
        <f>(SUMPRODUCT(--ISNUMBER($G$2:$G$800),--($G$2:$G$800&lt;G553))+(SUMPRODUCT(--ISNUMBER($G$2:$G$800),--($G$2:$G$800=G553))+1)/2)/COUNT($G$2:$G$800)</f>
        <v/>
      </c>
      <c r="J553" t="n">
        <v>6.376639966212691</v>
      </c>
      <c r="K553" t="n">
        <v>4.618850920015047</v>
      </c>
      <c r="L553" t="n">
        <v>0.2628614344724059</v>
      </c>
      <c r="M553">
        <f>IF(OR(B553="NW",COUNT(Risk_Rank_Keys!B553)=0),0.5,(SUMPRODUCT(--ISNUMBER(Risk_Rank_Keys!$B$2:$B$800),--(Risk_Rank_Keys!$B$2:$B$800&lt;Risk_Rank_Keys!B553))+(SUMPRODUCT(--ISNUMBER(Risk_Rank_Keys!$B$2:$B$800),--(Risk_Rank_Keys!$B$2:$B$800=Risk_Rank_Keys!B553))+1)/2)/COUNT(Risk_Rank_Keys!$B$2:$B$800))</f>
        <v/>
      </c>
      <c r="N553">
        <f>IF(OR(B553="NW",COUNT(Risk_Rank_Keys!C553)=0),0.5,(SUMPRODUCT(--ISNUMBER(Risk_Rank_Keys!$C$2:$C$800),--(Risk_Rank_Keys!$C$2:$C$800&lt;Risk_Rank_Keys!C553))+(SUMPRODUCT(--ISNUMBER(Risk_Rank_Keys!$C$2:$C$800),--(Risk_Rank_Keys!$C$2:$C$800=Risk_Rank_Keys!C553))+1)/2)/COUNT(Risk_Rank_Keys!$C$2:$C$800))</f>
        <v/>
      </c>
      <c r="O553">
        <f>IF(OR(B553="NW",COUNT(Risk_Rank_Keys!D553)=0),0.5,(SUMPRODUCT(--ISNUMBER(Risk_Rank_Keys!$D$2:$D$800),--(Risk_Rank_Keys!$D$2:$D$800&lt;Risk_Rank_Keys!D553))+(SUMPRODUCT(--ISNUMBER(Risk_Rank_Keys!$D$2:$D$800),--(Risk_Rank_Keys!$D$2:$D$800=Risk_Rank_Keys!D553))+1)/2)/COUNT(Risk_Rank_Keys!$D$2:$D$800))</f>
        <v/>
      </c>
      <c r="P553">
        <f>AVERAGE(M553:O553)</f>
        <v/>
      </c>
      <c r="Q553">
        <f>0.4*H553+0.4*I553+0.2*P553</f>
        <v/>
      </c>
      <c r="R553">
        <f>PERCENTILE($Q$2:$Q$800,0.75)</f>
        <v/>
      </c>
      <c r="S553">
        <f>OR(Q553&gt;=R553,AND(B553="CW",COUNT(J553:L553)&lt;3))</f>
        <v/>
      </c>
      <c r="T553" t="n">
        <v>0.2297975097046511</v>
      </c>
      <c r="U553" t="n">
        <v>5.881302822154183</v>
      </c>
      <c r="V553" t="n">
        <v>0.2727555190152265</v>
      </c>
      <c r="W553">
        <f>Q553-V553</f>
        <v/>
      </c>
    </row>
    <row r="554">
      <c r="A554" t="inlineStr">
        <is>
          <t>2024-08-23</t>
        </is>
      </c>
      <c r="B554" t="inlineStr">
        <is>
          <t>CW</t>
        </is>
      </c>
      <c r="C554" t="n">
        <v>24.9139433952085</v>
      </c>
      <c r="D554">
        <f>SUMPRODUCT(Risk_Inputs!B554:AJ554,Risk_Coefs!$B$2:$AJ$2)</f>
        <v/>
      </c>
      <c r="E554">
        <f>1/(1+EXP(-MAX(-25,MIN(25,D554))))</f>
        <v/>
      </c>
      <c r="F554">
        <f>SUMPRODUCT(Risk_Inputs!B554:AJ554,Risk_Coefs!$B$3:$AJ$3)</f>
        <v/>
      </c>
      <c r="G554">
        <f>MAX(0,F554)</f>
        <v/>
      </c>
      <c r="H554">
        <f>(SUMPRODUCT(--ISNUMBER($E$2:$E$800),--($E$2:$E$800&lt;E554))+(SUMPRODUCT(--ISNUMBER($E$2:$E$800),--($E$2:$E$800=E554))+1)/2)/COUNT($E$2:$E$800)</f>
        <v/>
      </c>
      <c r="I554">
        <f>(SUMPRODUCT(--ISNUMBER($G$2:$G$800),--($G$2:$G$800&lt;G554))+(SUMPRODUCT(--ISNUMBER($G$2:$G$800),--($G$2:$G$800=G554))+1)/2)/COUNT($G$2:$G$800)</f>
        <v/>
      </c>
      <c r="J554" t="n">
        <v>4.311178442496425</v>
      </c>
      <c r="K554" t="n">
        <v>2.839683680805209</v>
      </c>
      <c r="L554" t="n">
        <v>0.1617541337167464</v>
      </c>
      <c r="M554">
        <f>IF(OR(B554="NW",COUNT(Risk_Rank_Keys!B554)=0),0.5,(SUMPRODUCT(--ISNUMBER(Risk_Rank_Keys!$B$2:$B$800),--(Risk_Rank_Keys!$B$2:$B$800&lt;Risk_Rank_Keys!B554))+(SUMPRODUCT(--ISNUMBER(Risk_Rank_Keys!$B$2:$B$800),--(Risk_Rank_Keys!$B$2:$B$800=Risk_Rank_Keys!B554))+1)/2)/COUNT(Risk_Rank_Keys!$B$2:$B$800))</f>
        <v/>
      </c>
      <c r="N554">
        <f>IF(OR(B554="NW",COUNT(Risk_Rank_Keys!C554)=0),0.5,(SUMPRODUCT(--ISNUMBER(Risk_Rank_Keys!$C$2:$C$800),--(Risk_Rank_Keys!$C$2:$C$800&lt;Risk_Rank_Keys!C554))+(SUMPRODUCT(--ISNUMBER(Risk_Rank_Keys!$C$2:$C$800),--(Risk_Rank_Keys!$C$2:$C$800=Risk_Rank_Keys!C554))+1)/2)/COUNT(Risk_Rank_Keys!$C$2:$C$800))</f>
        <v/>
      </c>
      <c r="O554">
        <f>IF(OR(B554="NW",COUNT(Risk_Rank_Keys!D554)=0),0.5,(SUMPRODUCT(--ISNUMBER(Risk_Rank_Keys!$D$2:$D$800),--(Risk_Rank_Keys!$D$2:$D$800&lt;Risk_Rank_Keys!D554))+(SUMPRODUCT(--ISNUMBER(Risk_Rank_Keys!$D$2:$D$800),--(Risk_Rank_Keys!$D$2:$D$800=Risk_Rank_Keys!D554))+1)/2)/COUNT(Risk_Rank_Keys!$D$2:$D$800))</f>
        <v/>
      </c>
      <c r="P554">
        <f>AVERAGE(M554:O554)</f>
        <v/>
      </c>
      <c r="Q554">
        <f>0.4*H554+0.4*I554+0.2*P554</f>
        <v/>
      </c>
      <c r="R554">
        <f>PERCENTILE($Q$2:$Q$800,0.75)</f>
        <v/>
      </c>
      <c r="S554">
        <f>OR(Q554&gt;=R554,AND(B554="CW",COUNT(J554:L554)&lt;3))</f>
        <v/>
      </c>
      <c r="T554" t="n">
        <v>0.2322543806296764</v>
      </c>
      <c r="U554" t="n">
        <v>5.062500409558586</v>
      </c>
      <c r="V554" t="n">
        <v>0.1778541168091914</v>
      </c>
      <c r="W554">
        <f>Q554-V554</f>
        <v/>
      </c>
    </row>
    <row r="555">
      <c r="A555" t="inlineStr">
        <is>
          <t>2024-08-26</t>
        </is>
      </c>
      <c r="B555" t="inlineStr">
        <is>
          <t>CW</t>
        </is>
      </c>
      <c r="C555" t="n">
        <v>1.416653867855006</v>
      </c>
      <c r="D555">
        <f>SUMPRODUCT(Risk_Inputs!B555:AJ555,Risk_Coefs!$B$2:$AJ$2)</f>
        <v/>
      </c>
      <c r="E555">
        <f>1/(1+EXP(-MAX(-25,MIN(25,D555))))</f>
        <v/>
      </c>
      <c r="F555">
        <f>SUMPRODUCT(Risk_Inputs!B555:AJ555,Risk_Coefs!$B$3:$AJ$3)</f>
        <v/>
      </c>
      <c r="G555">
        <f>MAX(0,F555)</f>
        <v/>
      </c>
      <c r="H555">
        <f>(SUMPRODUCT(--ISNUMBER($E$2:$E$800),--($E$2:$E$800&lt;E555))+(SUMPRODUCT(--ISNUMBER($E$2:$E$800),--($E$2:$E$800=E555))+1)/2)/COUNT($E$2:$E$800)</f>
        <v/>
      </c>
      <c r="I555">
        <f>(SUMPRODUCT(--ISNUMBER($G$2:$G$800),--($G$2:$G$800&lt;G555))+(SUMPRODUCT(--ISNUMBER($G$2:$G$800),--($G$2:$G$800=G555))+1)/2)/COUNT($G$2:$G$800)</f>
        <v/>
      </c>
      <c r="J555" t="n">
        <v>2.268976069329394</v>
      </c>
      <c r="K555" t="n">
        <v>1.192799826501843</v>
      </c>
      <c r="L555" t="n">
        <v>0.1951854261548421</v>
      </c>
      <c r="M555">
        <f>IF(OR(B555="NW",COUNT(Risk_Rank_Keys!B555)=0),0.5,(SUMPRODUCT(--ISNUMBER(Risk_Rank_Keys!$B$2:$B$800),--(Risk_Rank_Keys!$B$2:$B$800&lt;Risk_Rank_Keys!B555))+(SUMPRODUCT(--ISNUMBER(Risk_Rank_Keys!$B$2:$B$800),--(Risk_Rank_Keys!$B$2:$B$800=Risk_Rank_Keys!B555))+1)/2)/COUNT(Risk_Rank_Keys!$B$2:$B$800))</f>
        <v/>
      </c>
      <c r="N555">
        <f>IF(OR(B555="NW",COUNT(Risk_Rank_Keys!C555)=0),0.5,(SUMPRODUCT(--ISNUMBER(Risk_Rank_Keys!$C$2:$C$800),--(Risk_Rank_Keys!$C$2:$C$800&lt;Risk_Rank_Keys!C555))+(SUMPRODUCT(--ISNUMBER(Risk_Rank_Keys!$C$2:$C$800),--(Risk_Rank_Keys!$C$2:$C$800=Risk_Rank_Keys!C555))+1)/2)/COUNT(Risk_Rank_Keys!$C$2:$C$800))</f>
        <v/>
      </c>
      <c r="O555">
        <f>IF(OR(B555="NW",COUNT(Risk_Rank_Keys!D555)=0),0.5,(SUMPRODUCT(--ISNUMBER(Risk_Rank_Keys!$D$2:$D$800),--(Risk_Rank_Keys!$D$2:$D$800&lt;Risk_Rank_Keys!D555))+(SUMPRODUCT(--ISNUMBER(Risk_Rank_Keys!$D$2:$D$800),--(Risk_Rank_Keys!$D$2:$D$800=Risk_Rank_Keys!D555))+1)/2)/COUNT(Risk_Rank_Keys!$D$2:$D$800))</f>
        <v/>
      </c>
      <c r="P555">
        <f>AVERAGE(M555:O555)</f>
        <v/>
      </c>
      <c r="Q555">
        <f>0.4*H555+0.4*I555+0.2*P555</f>
        <v/>
      </c>
      <c r="R555">
        <f>PERCENTILE($Q$2:$Q$800,0.75)</f>
        <v/>
      </c>
      <c r="S555">
        <f>OR(Q555&gt;=R555,AND(B555="CW",COUNT(J555:L555)&lt;3))</f>
        <v/>
      </c>
      <c r="T555" t="n">
        <v>0.3315672446577979</v>
      </c>
      <c r="U555" t="n">
        <v>6.706483260632304</v>
      </c>
      <c r="V555" t="n">
        <v>0.4729214633121714</v>
      </c>
      <c r="W555">
        <f>Q555-V555</f>
        <v/>
      </c>
    </row>
    <row r="556">
      <c r="A556" t="inlineStr">
        <is>
          <t>2024-09-02</t>
        </is>
      </c>
      <c r="B556" t="inlineStr">
        <is>
          <t>CW</t>
        </is>
      </c>
      <c r="C556" t="n">
        <v>16.82388591661203</v>
      </c>
      <c r="D556">
        <f>SUMPRODUCT(Risk_Inputs!B556:AJ556,Risk_Coefs!$B$2:$AJ$2)</f>
        <v/>
      </c>
      <c r="E556">
        <f>1/(1+EXP(-MAX(-25,MIN(25,D556))))</f>
        <v/>
      </c>
      <c r="F556">
        <f>SUMPRODUCT(Risk_Inputs!B556:AJ556,Risk_Coefs!$B$3:$AJ$3)</f>
        <v/>
      </c>
      <c r="G556">
        <f>MAX(0,F556)</f>
        <v/>
      </c>
      <c r="H556">
        <f>(SUMPRODUCT(--ISNUMBER($E$2:$E$800),--($E$2:$E$800&lt;E556))+(SUMPRODUCT(--ISNUMBER($E$2:$E$800),--($E$2:$E$800=E556))+1)/2)/COUNT($E$2:$E$800)</f>
        <v/>
      </c>
      <c r="I556">
        <f>(SUMPRODUCT(--ISNUMBER($G$2:$G$800),--($G$2:$G$800&lt;G556))+(SUMPRODUCT(--ISNUMBER($G$2:$G$800),--($G$2:$G$800=G556))+1)/2)/COUNT($G$2:$G$800)</f>
        <v/>
      </c>
      <c r="J556" t="n">
        <v>4.818639445303792</v>
      </c>
      <c r="K556" t="n">
        <v>1.533808597969329</v>
      </c>
      <c r="L556" t="n">
        <v>0.0648088139987001</v>
      </c>
      <c r="M556">
        <f>IF(OR(B556="NW",COUNT(Risk_Rank_Keys!B556)=0),0.5,(SUMPRODUCT(--ISNUMBER(Risk_Rank_Keys!$B$2:$B$800),--(Risk_Rank_Keys!$B$2:$B$800&lt;Risk_Rank_Keys!B556))+(SUMPRODUCT(--ISNUMBER(Risk_Rank_Keys!$B$2:$B$800),--(Risk_Rank_Keys!$B$2:$B$800=Risk_Rank_Keys!B556))+1)/2)/COUNT(Risk_Rank_Keys!$B$2:$B$800))</f>
        <v/>
      </c>
      <c r="N556">
        <f>IF(OR(B556="NW",COUNT(Risk_Rank_Keys!C556)=0),0.5,(SUMPRODUCT(--ISNUMBER(Risk_Rank_Keys!$C$2:$C$800),--(Risk_Rank_Keys!$C$2:$C$800&lt;Risk_Rank_Keys!C556))+(SUMPRODUCT(--ISNUMBER(Risk_Rank_Keys!$C$2:$C$800),--(Risk_Rank_Keys!$C$2:$C$800=Risk_Rank_Keys!C556))+1)/2)/COUNT(Risk_Rank_Keys!$C$2:$C$800))</f>
        <v/>
      </c>
      <c r="O556">
        <f>IF(OR(B556="NW",COUNT(Risk_Rank_Keys!D556)=0),0.5,(SUMPRODUCT(--ISNUMBER(Risk_Rank_Keys!$D$2:$D$800),--(Risk_Rank_Keys!$D$2:$D$800&lt;Risk_Rank_Keys!D556))+(SUMPRODUCT(--ISNUMBER(Risk_Rank_Keys!$D$2:$D$800),--(Risk_Rank_Keys!$D$2:$D$800=Risk_Rank_Keys!D556))+1)/2)/COUNT(Risk_Rank_Keys!$D$2:$D$800))</f>
        <v/>
      </c>
      <c r="P556">
        <f>AVERAGE(M556:O556)</f>
        <v/>
      </c>
      <c r="Q556">
        <f>0.4*H556+0.4*I556+0.2*P556</f>
        <v/>
      </c>
      <c r="R556">
        <f>PERCENTILE($Q$2:$Q$800,0.75)</f>
        <v/>
      </c>
      <c r="S556">
        <f>OR(Q556&gt;=R556,AND(B556="CW",COUNT(J556:L556)&lt;3))</f>
        <v/>
      </c>
      <c r="T556" t="n">
        <v>0.3178390127150604</v>
      </c>
      <c r="U556" t="n">
        <v>6.76685979162669</v>
      </c>
      <c r="V556" t="n">
        <v>0.4360033956904522</v>
      </c>
      <c r="W556">
        <f>Q556-V556</f>
        <v/>
      </c>
    </row>
    <row r="557">
      <c r="A557" t="inlineStr">
        <is>
          <t>2024-09-03</t>
        </is>
      </c>
      <c r="B557" t="inlineStr">
        <is>
          <t>CW</t>
        </is>
      </c>
      <c r="C557" t="n">
        <v>21.52783929756865</v>
      </c>
      <c r="D557">
        <f>SUMPRODUCT(Risk_Inputs!B557:AJ557,Risk_Coefs!$B$2:$AJ$2)</f>
        <v/>
      </c>
      <c r="E557">
        <f>1/(1+EXP(-MAX(-25,MIN(25,D557))))</f>
        <v/>
      </c>
      <c r="F557">
        <f>SUMPRODUCT(Risk_Inputs!B557:AJ557,Risk_Coefs!$B$3:$AJ$3)</f>
        <v/>
      </c>
      <c r="G557">
        <f>MAX(0,F557)</f>
        <v/>
      </c>
      <c r="H557">
        <f>(SUMPRODUCT(--ISNUMBER($E$2:$E$800),--($E$2:$E$800&lt;E557))+(SUMPRODUCT(--ISNUMBER($E$2:$E$800),--($E$2:$E$800=E557))+1)/2)/COUNT($E$2:$E$800)</f>
        <v/>
      </c>
      <c r="I557">
        <f>(SUMPRODUCT(--ISNUMBER($G$2:$G$800),--($G$2:$G$800&lt;G557))+(SUMPRODUCT(--ISNUMBER($G$2:$G$800),--($G$2:$G$800=G557))+1)/2)/COUNT($G$2:$G$800)</f>
        <v/>
      </c>
      <c r="J557" t="n">
        <v>5.660552873719903</v>
      </c>
      <c r="K557" t="n">
        <v>1.463537723946523</v>
      </c>
      <c r="L557" t="n">
        <v>0.2018672722684864</v>
      </c>
      <c r="M557">
        <f>IF(OR(B557="NW",COUNT(Risk_Rank_Keys!B557)=0),0.5,(SUMPRODUCT(--ISNUMBER(Risk_Rank_Keys!$B$2:$B$800),--(Risk_Rank_Keys!$B$2:$B$800&lt;Risk_Rank_Keys!B557))+(SUMPRODUCT(--ISNUMBER(Risk_Rank_Keys!$B$2:$B$800),--(Risk_Rank_Keys!$B$2:$B$800=Risk_Rank_Keys!B557))+1)/2)/COUNT(Risk_Rank_Keys!$B$2:$B$800))</f>
        <v/>
      </c>
      <c r="N557">
        <f>IF(OR(B557="NW",COUNT(Risk_Rank_Keys!C557)=0),0.5,(SUMPRODUCT(--ISNUMBER(Risk_Rank_Keys!$C$2:$C$800),--(Risk_Rank_Keys!$C$2:$C$800&lt;Risk_Rank_Keys!C557))+(SUMPRODUCT(--ISNUMBER(Risk_Rank_Keys!$C$2:$C$800),--(Risk_Rank_Keys!$C$2:$C$800=Risk_Rank_Keys!C557))+1)/2)/COUNT(Risk_Rank_Keys!$C$2:$C$800))</f>
        <v/>
      </c>
      <c r="O557">
        <f>IF(OR(B557="NW",COUNT(Risk_Rank_Keys!D557)=0),0.5,(SUMPRODUCT(--ISNUMBER(Risk_Rank_Keys!$D$2:$D$800),--(Risk_Rank_Keys!$D$2:$D$800&lt;Risk_Rank_Keys!D557))+(SUMPRODUCT(--ISNUMBER(Risk_Rank_Keys!$D$2:$D$800),--(Risk_Rank_Keys!$D$2:$D$800=Risk_Rank_Keys!D557))+1)/2)/COUNT(Risk_Rank_Keys!$D$2:$D$800))</f>
        <v/>
      </c>
      <c r="P557">
        <f>AVERAGE(M557:O557)</f>
        <v/>
      </c>
      <c r="Q557">
        <f>0.4*H557+0.4*I557+0.2*P557</f>
        <v/>
      </c>
      <c r="R557">
        <f>PERCENTILE($Q$2:$Q$800,0.75)</f>
        <v/>
      </c>
      <c r="S557">
        <f>OR(Q557&gt;=R557,AND(B557="CW",COUNT(J557:L557)&lt;3))</f>
        <v/>
      </c>
      <c r="T557" t="n">
        <v>0.2458442281428508</v>
      </c>
      <c r="U557" t="n">
        <v>4.313051222299469</v>
      </c>
      <c r="V557" t="n">
        <v>0.1708737502538331</v>
      </c>
      <c r="W557">
        <f>Q557-V557</f>
        <v/>
      </c>
    </row>
    <row r="558">
      <c r="A558" t="inlineStr">
        <is>
          <t>2024-09-04</t>
        </is>
      </c>
      <c r="B558" t="inlineStr">
        <is>
          <t>CW</t>
        </is>
      </c>
      <c r="C558" t="n">
        <v>38.97655282973101</v>
      </c>
      <c r="D558">
        <f>SUMPRODUCT(Risk_Inputs!B558:AJ558,Risk_Coefs!$B$2:$AJ$2)</f>
        <v/>
      </c>
      <c r="E558">
        <f>1/(1+EXP(-MAX(-25,MIN(25,D558))))</f>
        <v/>
      </c>
      <c r="F558">
        <f>SUMPRODUCT(Risk_Inputs!B558:AJ558,Risk_Coefs!$B$3:$AJ$3)</f>
        <v/>
      </c>
      <c r="G558">
        <f>MAX(0,F558)</f>
        <v/>
      </c>
      <c r="H558">
        <f>(SUMPRODUCT(--ISNUMBER($E$2:$E$800),--($E$2:$E$800&lt;E558))+(SUMPRODUCT(--ISNUMBER($E$2:$E$800),--($E$2:$E$800=E558))+1)/2)/COUNT($E$2:$E$800)</f>
        <v/>
      </c>
      <c r="I558">
        <f>(SUMPRODUCT(--ISNUMBER($G$2:$G$800),--($G$2:$G$800&lt;G558))+(SUMPRODUCT(--ISNUMBER($G$2:$G$800),--($G$2:$G$800=G558))+1)/2)/COUNT($G$2:$G$800)</f>
        <v/>
      </c>
      <c r="J558" t="n">
        <v>7.088061196249409</v>
      </c>
      <c r="K558" t="n">
        <v>3.519781718963159</v>
      </c>
      <c r="L558" t="n">
        <v>0.109140518417464</v>
      </c>
      <c r="M558">
        <f>IF(OR(B558="NW",COUNT(Risk_Rank_Keys!B558)=0),0.5,(SUMPRODUCT(--ISNUMBER(Risk_Rank_Keys!$B$2:$B$800),--(Risk_Rank_Keys!$B$2:$B$800&lt;Risk_Rank_Keys!B558))+(SUMPRODUCT(--ISNUMBER(Risk_Rank_Keys!$B$2:$B$800),--(Risk_Rank_Keys!$B$2:$B$800=Risk_Rank_Keys!B558))+1)/2)/COUNT(Risk_Rank_Keys!$B$2:$B$800))</f>
        <v/>
      </c>
      <c r="N558">
        <f>IF(OR(B558="NW",COUNT(Risk_Rank_Keys!C558)=0),0.5,(SUMPRODUCT(--ISNUMBER(Risk_Rank_Keys!$C$2:$C$800),--(Risk_Rank_Keys!$C$2:$C$800&lt;Risk_Rank_Keys!C558))+(SUMPRODUCT(--ISNUMBER(Risk_Rank_Keys!$C$2:$C$800),--(Risk_Rank_Keys!$C$2:$C$800=Risk_Rank_Keys!C558))+1)/2)/COUNT(Risk_Rank_Keys!$C$2:$C$800))</f>
        <v/>
      </c>
      <c r="O558">
        <f>IF(OR(B558="NW",COUNT(Risk_Rank_Keys!D558)=0),0.5,(SUMPRODUCT(--ISNUMBER(Risk_Rank_Keys!$D$2:$D$800),--(Risk_Rank_Keys!$D$2:$D$800&lt;Risk_Rank_Keys!D558))+(SUMPRODUCT(--ISNUMBER(Risk_Rank_Keys!$D$2:$D$800),--(Risk_Rank_Keys!$D$2:$D$800=Risk_Rank_Keys!D558))+1)/2)/COUNT(Risk_Rank_Keys!$D$2:$D$800))</f>
        <v/>
      </c>
      <c r="P558">
        <f>AVERAGE(M558:O558)</f>
        <v/>
      </c>
      <c r="Q558">
        <f>0.4*H558+0.4*I558+0.2*P558</f>
        <v/>
      </c>
      <c r="R558">
        <f>PERCENTILE($Q$2:$Q$800,0.75)</f>
        <v/>
      </c>
      <c r="S558">
        <f>OR(Q558&gt;=R558,AND(B558="CW",COUNT(J558:L558)&lt;3))</f>
        <v/>
      </c>
      <c r="T558" t="n">
        <v>0.3806613608760301</v>
      </c>
      <c r="U558" t="n">
        <v>8.107393716476105</v>
      </c>
      <c r="V558" t="n">
        <v>0.6414917763894781</v>
      </c>
      <c r="W558">
        <f>Q558-V558</f>
        <v/>
      </c>
    </row>
    <row r="559">
      <c r="A559" t="inlineStr">
        <is>
          <t>2024-09-05</t>
        </is>
      </c>
      <c r="B559" t="inlineStr">
        <is>
          <t>CW</t>
        </is>
      </c>
      <c r="C559" t="n">
        <v>51.56115793359736</v>
      </c>
      <c r="D559">
        <f>SUMPRODUCT(Risk_Inputs!B559:AJ559,Risk_Coefs!$B$2:$AJ$2)</f>
        <v/>
      </c>
      <c r="E559">
        <f>1/(1+EXP(-MAX(-25,MIN(25,D559))))</f>
        <v/>
      </c>
      <c r="F559">
        <f>SUMPRODUCT(Risk_Inputs!B559:AJ559,Risk_Coefs!$B$3:$AJ$3)</f>
        <v/>
      </c>
      <c r="G559">
        <f>MAX(0,F559)</f>
        <v/>
      </c>
      <c r="H559">
        <f>(SUMPRODUCT(--ISNUMBER($E$2:$E$800),--($E$2:$E$800&lt;E559))+(SUMPRODUCT(--ISNUMBER($E$2:$E$800),--($E$2:$E$800=E559))+1)/2)/COUNT($E$2:$E$800)</f>
        <v/>
      </c>
      <c r="I559">
        <f>(SUMPRODUCT(--ISNUMBER($G$2:$G$800),--($G$2:$G$800&lt;G559))+(SUMPRODUCT(--ISNUMBER($G$2:$G$800),--($G$2:$G$800=G559))+1)/2)/COUNT($G$2:$G$800)</f>
        <v/>
      </c>
      <c r="J559" t="n">
        <v>6.011153367732929</v>
      </c>
      <c r="K559" t="n">
        <v>5.522914218566379</v>
      </c>
      <c r="L559" t="n">
        <v>0.1958480219349729</v>
      </c>
      <c r="M559">
        <f>IF(OR(B559="NW",COUNT(Risk_Rank_Keys!B559)=0),0.5,(SUMPRODUCT(--ISNUMBER(Risk_Rank_Keys!$B$2:$B$800),--(Risk_Rank_Keys!$B$2:$B$800&lt;Risk_Rank_Keys!B559))+(SUMPRODUCT(--ISNUMBER(Risk_Rank_Keys!$B$2:$B$800),--(Risk_Rank_Keys!$B$2:$B$800=Risk_Rank_Keys!B559))+1)/2)/COUNT(Risk_Rank_Keys!$B$2:$B$800))</f>
        <v/>
      </c>
      <c r="N559">
        <f>IF(OR(B559="NW",COUNT(Risk_Rank_Keys!C559)=0),0.5,(SUMPRODUCT(--ISNUMBER(Risk_Rank_Keys!$C$2:$C$800),--(Risk_Rank_Keys!$C$2:$C$800&lt;Risk_Rank_Keys!C559))+(SUMPRODUCT(--ISNUMBER(Risk_Rank_Keys!$C$2:$C$800),--(Risk_Rank_Keys!$C$2:$C$800=Risk_Rank_Keys!C559))+1)/2)/COUNT(Risk_Rank_Keys!$C$2:$C$800))</f>
        <v/>
      </c>
      <c r="O559">
        <f>IF(OR(B559="NW",COUNT(Risk_Rank_Keys!D559)=0),0.5,(SUMPRODUCT(--ISNUMBER(Risk_Rank_Keys!$D$2:$D$800),--(Risk_Rank_Keys!$D$2:$D$800&lt;Risk_Rank_Keys!D559))+(SUMPRODUCT(--ISNUMBER(Risk_Rank_Keys!$D$2:$D$800),--(Risk_Rank_Keys!$D$2:$D$800=Risk_Rank_Keys!D559))+1)/2)/COUNT(Risk_Rank_Keys!$D$2:$D$800))</f>
        <v/>
      </c>
      <c r="P559">
        <f>AVERAGE(M559:O559)</f>
        <v/>
      </c>
      <c r="Q559">
        <f>0.4*H559+0.4*I559+0.2*P559</f>
        <v/>
      </c>
      <c r="R559">
        <f>PERCENTILE($Q$2:$Q$800,0.75)</f>
        <v/>
      </c>
      <c r="S559">
        <f>OR(Q559&gt;=R559,AND(B559="CW",COUNT(J559:L559)&lt;3))</f>
        <v/>
      </c>
      <c r="T559" t="n">
        <v>0.4091617986953102</v>
      </c>
      <c r="U559" t="n">
        <v>14.31809571769243</v>
      </c>
      <c r="V559" t="n">
        <v>0.8564979818450423</v>
      </c>
      <c r="W559">
        <f>Q559-V559</f>
        <v/>
      </c>
    </row>
    <row r="560">
      <c r="A560" t="inlineStr">
        <is>
          <t>2024-09-16</t>
        </is>
      </c>
      <c r="B560" t="inlineStr">
        <is>
          <t>CW</t>
        </is>
      </c>
      <c r="C560" t="n">
        <v>7.99069777003608</v>
      </c>
      <c r="D560">
        <f>SUMPRODUCT(Risk_Inputs!B560:AJ560,Risk_Coefs!$B$2:$AJ$2)</f>
        <v/>
      </c>
      <c r="E560">
        <f>1/(1+EXP(-MAX(-25,MIN(25,D560))))</f>
        <v/>
      </c>
      <c r="F560">
        <f>SUMPRODUCT(Risk_Inputs!B560:AJ560,Risk_Coefs!$B$3:$AJ$3)</f>
        <v/>
      </c>
      <c r="G560">
        <f>MAX(0,F560)</f>
        <v/>
      </c>
      <c r="H560">
        <f>(SUMPRODUCT(--ISNUMBER($E$2:$E$800),--($E$2:$E$800&lt;E560))+(SUMPRODUCT(--ISNUMBER($E$2:$E$800),--($E$2:$E$800=E560))+1)/2)/COUNT($E$2:$E$800)</f>
        <v/>
      </c>
      <c r="I560">
        <f>(SUMPRODUCT(--ISNUMBER($G$2:$G$800),--($G$2:$G$800&lt;G560))+(SUMPRODUCT(--ISNUMBER($G$2:$G$800),--($G$2:$G$800=G560))+1)/2)/COUNT($G$2:$G$800)</f>
        <v/>
      </c>
      <c r="J560" t="n">
        <v>1.654070786353415</v>
      </c>
      <c r="K560" t="n">
        <v>0.8879492600422809</v>
      </c>
      <c r="L560" t="n">
        <v>0.1268498942917595</v>
      </c>
      <c r="M560">
        <f>IF(OR(B560="NW",COUNT(Risk_Rank_Keys!B560)=0),0.5,(SUMPRODUCT(--ISNUMBER(Risk_Rank_Keys!$B$2:$B$800),--(Risk_Rank_Keys!$B$2:$B$800&lt;Risk_Rank_Keys!B560))+(SUMPRODUCT(--ISNUMBER(Risk_Rank_Keys!$B$2:$B$800),--(Risk_Rank_Keys!$B$2:$B$800=Risk_Rank_Keys!B560))+1)/2)/COUNT(Risk_Rank_Keys!$B$2:$B$800))</f>
        <v/>
      </c>
      <c r="N560">
        <f>IF(OR(B560="NW",COUNT(Risk_Rank_Keys!C560)=0),0.5,(SUMPRODUCT(--ISNUMBER(Risk_Rank_Keys!$C$2:$C$800),--(Risk_Rank_Keys!$C$2:$C$800&lt;Risk_Rank_Keys!C560))+(SUMPRODUCT(--ISNUMBER(Risk_Rank_Keys!$C$2:$C$800),--(Risk_Rank_Keys!$C$2:$C$800=Risk_Rank_Keys!C560))+1)/2)/COUNT(Risk_Rank_Keys!$C$2:$C$800))</f>
        <v/>
      </c>
      <c r="O560">
        <f>IF(OR(B560="NW",COUNT(Risk_Rank_Keys!D560)=0),0.5,(SUMPRODUCT(--ISNUMBER(Risk_Rank_Keys!$D$2:$D$800),--(Risk_Rank_Keys!$D$2:$D$800&lt;Risk_Rank_Keys!D560))+(SUMPRODUCT(--ISNUMBER(Risk_Rank_Keys!$D$2:$D$800),--(Risk_Rank_Keys!$D$2:$D$800=Risk_Rank_Keys!D560))+1)/2)/COUNT(Risk_Rank_Keys!$D$2:$D$800))</f>
        <v/>
      </c>
      <c r="P560">
        <f>AVERAGE(M560:O560)</f>
        <v/>
      </c>
      <c r="Q560">
        <f>0.4*H560+0.4*I560+0.2*P560</f>
        <v/>
      </c>
      <c r="R560">
        <f>PERCENTILE($Q$2:$Q$800,0.75)</f>
        <v/>
      </c>
      <c r="S560">
        <f>OR(Q560&gt;=R560,AND(B560="CW",COUNT(J560:L560)&lt;3))</f>
        <v/>
      </c>
      <c r="T560" t="n">
        <v>0.354016691214155</v>
      </c>
      <c r="U560" t="n">
        <v>7.300120931067335</v>
      </c>
      <c r="V560" t="n">
        <v>0.5174400357490099</v>
      </c>
      <c r="W560">
        <f>Q560-V560</f>
        <v/>
      </c>
    </row>
    <row r="561">
      <c r="A561" t="inlineStr">
        <is>
          <t>2024-09-17</t>
        </is>
      </c>
      <c r="B561" t="inlineStr">
        <is>
          <t>CW</t>
        </is>
      </c>
      <c r="C561" t="n">
        <v>11.15746047489406</v>
      </c>
      <c r="D561">
        <f>SUMPRODUCT(Risk_Inputs!B561:AJ561,Risk_Coefs!$B$2:$AJ$2)</f>
        <v/>
      </c>
      <c r="E561">
        <f>1/(1+EXP(-MAX(-25,MIN(25,D561))))</f>
        <v/>
      </c>
      <c r="F561">
        <f>SUMPRODUCT(Risk_Inputs!B561:AJ561,Risk_Coefs!$B$3:$AJ$3)</f>
        <v/>
      </c>
      <c r="G561">
        <f>MAX(0,F561)</f>
        <v/>
      </c>
      <c r="H561">
        <f>(SUMPRODUCT(--ISNUMBER($E$2:$E$800),--($E$2:$E$800&lt;E561))+(SUMPRODUCT(--ISNUMBER($E$2:$E$800),--($E$2:$E$800=E561))+1)/2)/COUNT($E$2:$E$800)</f>
        <v/>
      </c>
      <c r="I561">
        <f>(SUMPRODUCT(--ISNUMBER($G$2:$G$800),--($G$2:$G$800&lt;G561))+(SUMPRODUCT(--ISNUMBER($G$2:$G$800),--($G$2:$G$800=G561))+1)/2)/COUNT($G$2:$G$800)</f>
        <v/>
      </c>
      <c r="J561" t="n">
        <v>4.215046138998327</v>
      </c>
      <c r="K561" t="n">
        <v>3.276783639321409</v>
      </c>
      <c r="L561" t="n">
        <v>0.2091564025098781</v>
      </c>
      <c r="M561">
        <f>IF(OR(B561="NW",COUNT(Risk_Rank_Keys!B561)=0),0.5,(SUMPRODUCT(--ISNUMBER(Risk_Rank_Keys!$B$2:$B$800),--(Risk_Rank_Keys!$B$2:$B$800&lt;Risk_Rank_Keys!B561))+(SUMPRODUCT(--ISNUMBER(Risk_Rank_Keys!$B$2:$B$800),--(Risk_Rank_Keys!$B$2:$B$800=Risk_Rank_Keys!B561))+1)/2)/COUNT(Risk_Rank_Keys!$B$2:$B$800))</f>
        <v/>
      </c>
      <c r="N561">
        <f>IF(OR(B561="NW",COUNT(Risk_Rank_Keys!C561)=0),0.5,(SUMPRODUCT(--ISNUMBER(Risk_Rank_Keys!$C$2:$C$800),--(Risk_Rank_Keys!$C$2:$C$800&lt;Risk_Rank_Keys!C561))+(SUMPRODUCT(--ISNUMBER(Risk_Rank_Keys!$C$2:$C$800),--(Risk_Rank_Keys!$C$2:$C$800=Risk_Rank_Keys!C561))+1)/2)/COUNT(Risk_Rank_Keys!$C$2:$C$800))</f>
        <v/>
      </c>
      <c r="O561">
        <f>IF(OR(B561="NW",COUNT(Risk_Rank_Keys!D561)=0),0.5,(SUMPRODUCT(--ISNUMBER(Risk_Rank_Keys!$D$2:$D$800),--(Risk_Rank_Keys!$D$2:$D$800&lt;Risk_Rank_Keys!D561))+(SUMPRODUCT(--ISNUMBER(Risk_Rank_Keys!$D$2:$D$800),--(Risk_Rank_Keys!$D$2:$D$800=Risk_Rank_Keys!D561))+1)/2)/COUNT(Risk_Rank_Keys!$D$2:$D$800))</f>
        <v/>
      </c>
      <c r="P561">
        <f>AVERAGE(M561:O561)</f>
        <v/>
      </c>
      <c r="Q561">
        <f>0.4*H561+0.4*I561+0.2*P561</f>
        <v/>
      </c>
      <c r="R561">
        <f>PERCENTILE($Q$2:$Q$800,0.75)</f>
        <v/>
      </c>
      <c r="S561">
        <f>OR(Q561&gt;=R561,AND(B561="CW",COUNT(J561:L561)&lt;3))</f>
        <v/>
      </c>
      <c r="T561" t="n">
        <v>0.2522987588039043</v>
      </c>
      <c r="U561" t="n">
        <v>4.915911234356269</v>
      </c>
      <c r="V561" t="n">
        <v>0.2285831487406678</v>
      </c>
      <c r="W561">
        <f>Q561-V561</f>
        <v/>
      </c>
    </row>
    <row r="562">
      <c r="A562" t="inlineStr">
        <is>
          <t>2024-09-18</t>
        </is>
      </c>
      <c r="B562" t="inlineStr">
        <is>
          <t>CW</t>
        </is>
      </c>
      <c r="C562" t="n">
        <v>-38.6321614897364</v>
      </c>
      <c r="D562">
        <f>SUMPRODUCT(Risk_Inputs!B562:AJ562,Risk_Coefs!$B$2:$AJ$2)</f>
        <v/>
      </c>
      <c r="E562">
        <f>1/(1+EXP(-MAX(-25,MIN(25,D562))))</f>
        <v/>
      </c>
      <c r="F562">
        <f>SUMPRODUCT(Risk_Inputs!B562:AJ562,Risk_Coefs!$B$3:$AJ$3)</f>
        <v/>
      </c>
      <c r="G562">
        <f>MAX(0,F562)</f>
        <v/>
      </c>
      <c r="H562">
        <f>(SUMPRODUCT(--ISNUMBER($E$2:$E$800),--($E$2:$E$800&lt;E562))+(SUMPRODUCT(--ISNUMBER($E$2:$E$800),--($E$2:$E$800=E562))+1)/2)/COUNT($E$2:$E$800)</f>
        <v/>
      </c>
      <c r="I562">
        <f>(SUMPRODUCT(--ISNUMBER($G$2:$G$800),--($G$2:$G$800&lt;G562))+(SUMPRODUCT(--ISNUMBER($G$2:$G$800),--($G$2:$G$800=G562))+1)/2)/COUNT($G$2:$G$800)</f>
        <v/>
      </c>
      <c r="J562" t="n">
        <v>2.973043747058664</v>
      </c>
      <c r="K562" t="n">
        <v>1.044659179942544</v>
      </c>
      <c r="L562" t="n">
        <v>0.1828153564899422</v>
      </c>
      <c r="M562">
        <f>IF(OR(B562="NW",COUNT(Risk_Rank_Keys!B562)=0),0.5,(SUMPRODUCT(--ISNUMBER(Risk_Rank_Keys!$B$2:$B$800),--(Risk_Rank_Keys!$B$2:$B$800&lt;Risk_Rank_Keys!B562))+(SUMPRODUCT(--ISNUMBER(Risk_Rank_Keys!$B$2:$B$800),--(Risk_Rank_Keys!$B$2:$B$800=Risk_Rank_Keys!B562))+1)/2)/COUNT(Risk_Rank_Keys!$B$2:$B$800))</f>
        <v/>
      </c>
      <c r="N562">
        <f>IF(OR(B562="NW",COUNT(Risk_Rank_Keys!C562)=0),0.5,(SUMPRODUCT(--ISNUMBER(Risk_Rank_Keys!$C$2:$C$800),--(Risk_Rank_Keys!$C$2:$C$800&lt;Risk_Rank_Keys!C562))+(SUMPRODUCT(--ISNUMBER(Risk_Rank_Keys!$C$2:$C$800),--(Risk_Rank_Keys!$C$2:$C$800=Risk_Rank_Keys!C562))+1)/2)/COUNT(Risk_Rank_Keys!$C$2:$C$800))</f>
        <v/>
      </c>
      <c r="O562">
        <f>IF(OR(B562="NW",COUNT(Risk_Rank_Keys!D562)=0),0.5,(SUMPRODUCT(--ISNUMBER(Risk_Rank_Keys!$D$2:$D$800),--(Risk_Rank_Keys!$D$2:$D$800&lt;Risk_Rank_Keys!D562))+(SUMPRODUCT(--ISNUMBER(Risk_Rank_Keys!$D$2:$D$800),--(Risk_Rank_Keys!$D$2:$D$800=Risk_Rank_Keys!D562))+1)/2)/COUNT(Risk_Rank_Keys!$D$2:$D$800))</f>
        <v/>
      </c>
      <c r="P562">
        <f>AVERAGE(M562:O562)</f>
        <v/>
      </c>
      <c r="Q562">
        <f>0.4*H562+0.4*I562+0.2*P562</f>
        <v/>
      </c>
      <c r="R562">
        <f>PERCENTILE($Q$2:$Q$800,0.75)</f>
        <v/>
      </c>
      <c r="S562">
        <f>OR(Q562&gt;=R562,AND(B562="CW",COUNT(J562:L562)&lt;3))</f>
        <v/>
      </c>
      <c r="T562" t="n">
        <v>0.3684354982903683</v>
      </c>
      <c r="U562" t="n">
        <v>10.97449209180303</v>
      </c>
      <c r="V562" t="n">
        <v>0.7166543023037281</v>
      </c>
      <c r="W562">
        <f>Q562-V562</f>
        <v/>
      </c>
    </row>
    <row r="563">
      <c r="A563" t="inlineStr">
        <is>
          <t>2024-09-23</t>
        </is>
      </c>
      <c r="B563" t="inlineStr">
        <is>
          <t>CW</t>
        </is>
      </c>
      <c r="C563" t="n">
        <v>34.48435110960384</v>
      </c>
      <c r="D563">
        <f>SUMPRODUCT(Risk_Inputs!B563:AJ563,Risk_Coefs!$B$2:$AJ$2)</f>
        <v/>
      </c>
      <c r="E563">
        <f>1/(1+EXP(-MAX(-25,MIN(25,D563))))</f>
        <v/>
      </c>
      <c r="F563">
        <f>SUMPRODUCT(Risk_Inputs!B563:AJ563,Risk_Coefs!$B$3:$AJ$3)</f>
        <v/>
      </c>
      <c r="G563">
        <f>MAX(0,F563)</f>
        <v/>
      </c>
      <c r="H563">
        <f>(SUMPRODUCT(--ISNUMBER($E$2:$E$800),--($E$2:$E$800&lt;E563))+(SUMPRODUCT(--ISNUMBER($E$2:$E$800),--($E$2:$E$800=E563))+1)/2)/COUNT($E$2:$E$800)</f>
        <v/>
      </c>
      <c r="I563">
        <f>(SUMPRODUCT(--ISNUMBER($G$2:$G$800),--($G$2:$G$800&lt;G563))+(SUMPRODUCT(--ISNUMBER($G$2:$G$800),--($G$2:$G$800=G563))+1)/2)/COUNT($G$2:$G$800)</f>
        <v/>
      </c>
      <c r="J563" t="n">
        <v>8.050410628859538</v>
      </c>
      <c r="K563" t="n">
        <v>5.631308659465194</v>
      </c>
      <c r="L563" t="n">
        <v>0.1593766601735394</v>
      </c>
      <c r="M563">
        <f>IF(OR(B563="NW",COUNT(Risk_Rank_Keys!B563)=0),0.5,(SUMPRODUCT(--ISNUMBER(Risk_Rank_Keys!$B$2:$B$800),--(Risk_Rank_Keys!$B$2:$B$800&lt;Risk_Rank_Keys!B563))+(SUMPRODUCT(--ISNUMBER(Risk_Rank_Keys!$B$2:$B$800),--(Risk_Rank_Keys!$B$2:$B$800=Risk_Rank_Keys!B563))+1)/2)/COUNT(Risk_Rank_Keys!$B$2:$B$800))</f>
        <v/>
      </c>
      <c r="N563">
        <f>IF(OR(B563="NW",COUNT(Risk_Rank_Keys!C563)=0),0.5,(SUMPRODUCT(--ISNUMBER(Risk_Rank_Keys!$C$2:$C$800),--(Risk_Rank_Keys!$C$2:$C$800&lt;Risk_Rank_Keys!C563))+(SUMPRODUCT(--ISNUMBER(Risk_Rank_Keys!$C$2:$C$800),--(Risk_Rank_Keys!$C$2:$C$800=Risk_Rank_Keys!C563))+1)/2)/COUNT(Risk_Rank_Keys!$C$2:$C$800))</f>
        <v/>
      </c>
      <c r="O563">
        <f>IF(OR(B563="NW",COUNT(Risk_Rank_Keys!D563)=0),0.5,(SUMPRODUCT(--ISNUMBER(Risk_Rank_Keys!$D$2:$D$800),--(Risk_Rank_Keys!$D$2:$D$800&lt;Risk_Rank_Keys!D563))+(SUMPRODUCT(--ISNUMBER(Risk_Rank_Keys!$D$2:$D$800),--(Risk_Rank_Keys!$D$2:$D$800=Risk_Rank_Keys!D563))+1)/2)/COUNT(Risk_Rank_Keys!$D$2:$D$800))</f>
        <v/>
      </c>
      <c r="P563">
        <f>AVERAGE(M563:O563)</f>
        <v/>
      </c>
      <c r="Q563">
        <f>0.4*H563+0.4*I563+0.2*P563</f>
        <v/>
      </c>
      <c r="R563">
        <f>PERCENTILE($Q$2:$Q$800,0.75)</f>
        <v/>
      </c>
      <c r="S563">
        <f>OR(Q563&gt;=R563,AND(B563="CW",COUNT(J563:L563)&lt;3))</f>
        <v/>
      </c>
      <c r="T563" t="n">
        <v>0.2532413653365865</v>
      </c>
      <c r="U563" t="n">
        <v>7.110644287431022</v>
      </c>
      <c r="V563" t="n">
        <v>0.3710769331026871</v>
      </c>
      <c r="W563">
        <f>Q563-V563</f>
        <v/>
      </c>
    </row>
    <row r="564">
      <c r="A564" t="inlineStr">
        <is>
          <t>2024-09-24</t>
        </is>
      </c>
      <c r="B564" t="inlineStr">
        <is>
          <t>CW</t>
        </is>
      </c>
      <c r="C564" t="n">
        <v>37.7459687326598</v>
      </c>
      <c r="D564">
        <f>SUMPRODUCT(Risk_Inputs!B564:AJ564,Risk_Coefs!$B$2:$AJ$2)</f>
        <v/>
      </c>
      <c r="E564">
        <f>1/(1+EXP(-MAX(-25,MIN(25,D564))))</f>
        <v/>
      </c>
      <c r="F564">
        <f>SUMPRODUCT(Risk_Inputs!B564:AJ564,Risk_Coefs!$B$3:$AJ$3)</f>
        <v/>
      </c>
      <c r="G564">
        <f>MAX(0,F564)</f>
        <v/>
      </c>
      <c r="H564">
        <f>(SUMPRODUCT(--ISNUMBER($E$2:$E$800),--($E$2:$E$800&lt;E564))+(SUMPRODUCT(--ISNUMBER($E$2:$E$800),--($E$2:$E$800=E564))+1)/2)/COUNT($E$2:$E$800)</f>
        <v/>
      </c>
      <c r="I564">
        <f>(SUMPRODUCT(--ISNUMBER($G$2:$G$800),--($G$2:$G$800&lt;G564))+(SUMPRODUCT(--ISNUMBER($G$2:$G$800),--($G$2:$G$800=G564))+1)/2)/COUNT($G$2:$G$800)</f>
        <v/>
      </c>
      <c r="J564" t="n">
        <v>4.686171166741474</v>
      </c>
      <c r="K564" t="n">
        <v>2.092580849714643</v>
      </c>
      <c r="L564" t="n">
        <v>0.169097442401186</v>
      </c>
      <c r="M564">
        <f>IF(OR(B564="NW",COUNT(Risk_Rank_Keys!B564)=0),0.5,(SUMPRODUCT(--ISNUMBER(Risk_Rank_Keys!$B$2:$B$800),--(Risk_Rank_Keys!$B$2:$B$800&lt;Risk_Rank_Keys!B564))+(SUMPRODUCT(--ISNUMBER(Risk_Rank_Keys!$B$2:$B$800),--(Risk_Rank_Keys!$B$2:$B$800=Risk_Rank_Keys!B564))+1)/2)/COUNT(Risk_Rank_Keys!$B$2:$B$800))</f>
        <v/>
      </c>
      <c r="N564">
        <f>IF(OR(B564="NW",COUNT(Risk_Rank_Keys!C564)=0),0.5,(SUMPRODUCT(--ISNUMBER(Risk_Rank_Keys!$C$2:$C$800),--(Risk_Rank_Keys!$C$2:$C$800&lt;Risk_Rank_Keys!C564))+(SUMPRODUCT(--ISNUMBER(Risk_Rank_Keys!$C$2:$C$800),--(Risk_Rank_Keys!$C$2:$C$800=Risk_Rank_Keys!C564))+1)/2)/COUNT(Risk_Rank_Keys!$C$2:$C$800))</f>
        <v/>
      </c>
      <c r="O564">
        <f>IF(OR(B564="NW",COUNT(Risk_Rank_Keys!D564)=0),0.5,(SUMPRODUCT(--ISNUMBER(Risk_Rank_Keys!$D$2:$D$800),--(Risk_Rank_Keys!$D$2:$D$800&lt;Risk_Rank_Keys!D564))+(SUMPRODUCT(--ISNUMBER(Risk_Rank_Keys!$D$2:$D$800),--(Risk_Rank_Keys!$D$2:$D$800=Risk_Rank_Keys!D564))+1)/2)/COUNT(Risk_Rank_Keys!$D$2:$D$800))</f>
        <v/>
      </c>
      <c r="P564">
        <f>AVERAGE(M564:O564)</f>
        <v/>
      </c>
      <c r="Q564">
        <f>0.4*H564+0.4*I564+0.2*P564</f>
        <v/>
      </c>
      <c r="R564">
        <f>PERCENTILE($Q$2:$Q$800,0.75)</f>
        <v/>
      </c>
      <c r="S564">
        <f>OR(Q564&gt;=R564,AND(B564="CW",COUNT(J564:L564)&lt;3))</f>
        <v/>
      </c>
      <c r="T564" t="n">
        <v>0.262224615196274</v>
      </c>
      <c r="U564" t="n">
        <v>6.183903951908215</v>
      </c>
      <c r="V564" t="n">
        <v>0.2951645158493677</v>
      </c>
      <c r="W564">
        <f>Q564-V564</f>
        <v/>
      </c>
    </row>
    <row r="565">
      <c r="A565" t="inlineStr">
        <is>
          <t>2024-09-25</t>
        </is>
      </c>
      <c r="B565" t="inlineStr">
        <is>
          <t>CW</t>
        </is>
      </c>
      <c r="C565" t="n">
        <v>36.51978828631935</v>
      </c>
      <c r="D565">
        <f>SUMPRODUCT(Risk_Inputs!B565:AJ565,Risk_Coefs!$B$2:$AJ$2)</f>
        <v/>
      </c>
      <c r="E565">
        <f>1/(1+EXP(-MAX(-25,MIN(25,D565))))</f>
        <v/>
      </c>
      <c r="F565">
        <f>SUMPRODUCT(Risk_Inputs!B565:AJ565,Risk_Coefs!$B$3:$AJ$3)</f>
        <v/>
      </c>
      <c r="G565">
        <f>MAX(0,F565)</f>
        <v/>
      </c>
      <c r="H565">
        <f>(SUMPRODUCT(--ISNUMBER($E$2:$E$800),--($E$2:$E$800&lt;E565))+(SUMPRODUCT(--ISNUMBER($E$2:$E$800),--($E$2:$E$800=E565))+1)/2)/COUNT($E$2:$E$800)</f>
        <v/>
      </c>
      <c r="I565">
        <f>(SUMPRODUCT(--ISNUMBER($G$2:$G$800),--($G$2:$G$800&lt;G565))+(SUMPRODUCT(--ISNUMBER($G$2:$G$800),--($G$2:$G$800=G565))+1)/2)/COUNT($G$2:$G$800)</f>
        <v/>
      </c>
      <c r="J565" t="n">
        <v>3.761421701667177</v>
      </c>
      <c r="K565" t="n">
        <v>2.198100407055637</v>
      </c>
      <c r="L565" t="n">
        <v>0.2442333785617306</v>
      </c>
      <c r="M565">
        <f>IF(OR(B565="NW",COUNT(Risk_Rank_Keys!B565)=0),0.5,(SUMPRODUCT(--ISNUMBER(Risk_Rank_Keys!$B$2:$B$800),--(Risk_Rank_Keys!$B$2:$B$800&lt;Risk_Rank_Keys!B565))+(SUMPRODUCT(--ISNUMBER(Risk_Rank_Keys!$B$2:$B$800),--(Risk_Rank_Keys!$B$2:$B$800=Risk_Rank_Keys!B565))+1)/2)/COUNT(Risk_Rank_Keys!$B$2:$B$800))</f>
        <v/>
      </c>
      <c r="N565">
        <f>IF(OR(B565="NW",COUNT(Risk_Rank_Keys!C565)=0),0.5,(SUMPRODUCT(--ISNUMBER(Risk_Rank_Keys!$C$2:$C$800),--(Risk_Rank_Keys!$C$2:$C$800&lt;Risk_Rank_Keys!C565))+(SUMPRODUCT(--ISNUMBER(Risk_Rank_Keys!$C$2:$C$800),--(Risk_Rank_Keys!$C$2:$C$800=Risk_Rank_Keys!C565))+1)/2)/COUNT(Risk_Rank_Keys!$C$2:$C$800))</f>
        <v/>
      </c>
      <c r="O565">
        <f>IF(OR(B565="NW",COUNT(Risk_Rank_Keys!D565)=0),0.5,(SUMPRODUCT(--ISNUMBER(Risk_Rank_Keys!$D$2:$D$800),--(Risk_Rank_Keys!$D$2:$D$800&lt;Risk_Rank_Keys!D565))+(SUMPRODUCT(--ISNUMBER(Risk_Rank_Keys!$D$2:$D$800),--(Risk_Rank_Keys!$D$2:$D$800=Risk_Rank_Keys!D565))+1)/2)/COUNT(Risk_Rank_Keys!$D$2:$D$800))</f>
        <v/>
      </c>
      <c r="P565">
        <f>AVERAGE(M565:O565)</f>
        <v/>
      </c>
      <c r="Q565">
        <f>0.4*H565+0.4*I565+0.2*P565</f>
        <v/>
      </c>
      <c r="R565">
        <f>PERCENTILE($Q$2:$Q$800,0.75)</f>
        <v/>
      </c>
      <c r="S565">
        <f>OR(Q565&gt;=R565,AND(B565="CW",COUNT(J565:L565)&lt;3))</f>
        <v/>
      </c>
      <c r="T565" t="n">
        <v>0.3199074460711409</v>
      </c>
      <c r="U565" t="n">
        <v>8.590465715875972</v>
      </c>
      <c r="V565" t="n">
        <v>0.5777194761699451</v>
      </c>
      <c r="W565">
        <f>Q565-V565</f>
        <v/>
      </c>
    </row>
    <row r="566">
      <c r="A566" t="inlineStr">
        <is>
          <t>2024-09-26</t>
        </is>
      </c>
      <c r="B566" t="inlineStr">
        <is>
          <t>CW</t>
        </is>
      </c>
      <c r="C566" t="n">
        <v>-39.55111832986726</v>
      </c>
      <c r="D566">
        <f>SUMPRODUCT(Risk_Inputs!B566:AJ566,Risk_Coefs!$B$2:$AJ$2)</f>
        <v/>
      </c>
      <c r="E566">
        <f>1/(1+EXP(-MAX(-25,MIN(25,D566))))</f>
        <v/>
      </c>
      <c r="F566">
        <f>SUMPRODUCT(Risk_Inputs!B566:AJ566,Risk_Coefs!$B$3:$AJ$3)</f>
        <v/>
      </c>
      <c r="G566">
        <f>MAX(0,F566)</f>
        <v/>
      </c>
      <c r="H566">
        <f>(SUMPRODUCT(--ISNUMBER($E$2:$E$800),--($E$2:$E$800&lt;E566))+(SUMPRODUCT(--ISNUMBER($E$2:$E$800),--($E$2:$E$800=E566))+1)/2)/COUNT($E$2:$E$800)</f>
        <v/>
      </c>
      <c r="I566">
        <f>(SUMPRODUCT(--ISNUMBER($G$2:$G$800),--($G$2:$G$800&lt;G566))+(SUMPRODUCT(--ISNUMBER($G$2:$G$800),--($G$2:$G$800=G566))+1)/2)/COUNT($G$2:$G$800)</f>
        <v/>
      </c>
      <c r="J566" t="n">
        <v>8.295169791757512</v>
      </c>
      <c r="K566" t="n">
        <v>6.851851851851873</v>
      </c>
      <c r="L566" t="n">
        <v>0.2592592592592656</v>
      </c>
      <c r="M566">
        <f>IF(OR(B566="NW",COUNT(Risk_Rank_Keys!B566)=0),0.5,(SUMPRODUCT(--ISNUMBER(Risk_Rank_Keys!$B$2:$B$800),--(Risk_Rank_Keys!$B$2:$B$800&lt;Risk_Rank_Keys!B566))+(SUMPRODUCT(--ISNUMBER(Risk_Rank_Keys!$B$2:$B$800),--(Risk_Rank_Keys!$B$2:$B$800=Risk_Rank_Keys!B566))+1)/2)/COUNT(Risk_Rank_Keys!$B$2:$B$800))</f>
        <v/>
      </c>
      <c r="N566">
        <f>IF(OR(B566="NW",COUNT(Risk_Rank_Keys!C566)=0),0.5,(SUMPRODUCT(--ISNUMBER(Risk_Rank_Keys!$C$2:$C$800),--(Risk_Rank_Keys!$C$2:$C$800&lt;Risk_Rank_Keys!C566))+(SUMPRODUCT(--ISNUMBER(Risk_Rank_Keys!$C$2:$C$800),--(Risk_Rank_Keys!$C$2:$C$800=Risk_Rank_Keys!C566))+1)/2)/COUNT(Risk_Rank_Keys!$C$2:$C$800))</f>
        <v/>
      </c>
      <c r="O566">
        <f>IF(OR(B566="NW",COUNT(Risk_Rank_Keys!D566)=0),0.5,(SUMPRODUCT(--ISNUMBER(Risk_Rank_Keys!$D$2:$D$800),--(Risk_Rank_Keys!$D$2:$D$800&lt;Risk_Rank_Keys!D566))+(SUMPRODUCT(--ISNUMBER(Risk_Rank_Keys!$D$2:$D$800),--(Risk_Rank_Keys!$D$2:$D$800=Risk_Rank_Keys!D566))+1)/2)/COUNT(Risk_Rank_Keys!$D$2:$D$800))</f>
        <v/>
      </c>
      <c r="P566">
        <f>AVERAGE(M566:O566)</f>
        <v/>
      </c>
      <c r="Q566">
        <f>0.4*H566+0.4*I566+0.2*P566</f>
        <v/>
      </c>
      <c r="R566">
        <f>PERCENTILE($Q$2:$Q$800,0.75)</f>
        <v/>
      </c>
      <c r="S566">
        <f>OR(Q566&gt;=R566,AND(B566="CW",COUNT(J566:L566)&lt;3))</f>
        <v/>
      </c>
      <c r="T566" t="n">
        <v>0.3338520929268228</v>
      </c>
      <c r="U566" t="n">
        <v>9.644339707515359</v>
      </c>
      <c r="V566" t="n">
        <v>0.7181562960208863</v>
      </c>
      <c r="W566">
        <f>Q566-V566</f>
        <v/>
      </c>
    </row>
    <row r="567">
      <c r="A567" t="inlineStr">
        <is>
          <t>2024-09-27</t>
        </is>
      </c>
      <c r="B567" t="inlineStr">
        <is>
          <t>CW</t>
        </is>
      </c>
      <c r="C567" t="n">
        <v>26.25537116491961</v>
      </c>
      <c r="D567">
        <f>SUMPRODUCT(Risk_Inputs!B567:AJ567,Risk_Coefs!$B$2:$AJ$2)</f>
        <v/>
      </c>
      <c r="E567">
        <f>1/(1+EXP(-MAX(-25,MIN(25,D567))))</f>
        <v/>
      </c>
      <c r="F567">
        <f>SUMPRODUCT(Risk_Inputs!B567:AJ567,Risk_Coefs!$B$3:$AJ$3)</f>
        <v/>
      </c>
      <c r="G567">
        <f>MAX(0,F567)</f>
        <v/>
      </c>
      <c r="H567">
        <f>(SUMPRODUCT(--ISNUMBER($E$2:$E$800),--($E$2:$E$800&lt;E567))+(SUMPRODUCT(--ISNUMBER($E$2:$E$800),--($E$2:$E$800=E567))+1)/2)/COUNT($E$2:$E$800)</f>
        <v/>
      </c>
      <c r="I567">
        <f>(SUMPRODUCT(--ISNUMBER($G$2:$G$800),--($G$2:$G$800&lt;G567))+(SUMPRODUCT(--ISNUMBER($G$2:$G$800),--($G$2:$G$800=G567))+1)/2)/COUNT($G$2:$G$800)</f>
        <v/>
      </c>
      <c r="J567" t="n">
        <v>2.51601577465731</v>
      </c>
      <c r="K567" t="n">
        <v>1.113736078299025</v>
      </c>
      <c r="L567" t="n">
        <v>0.1012487343908143</v>
      </c>
      <c r="M567">
        <f>IF(OR(B567="NW",COUNT(Risk_Rank_Keys!B567)=0),0.5,(SUMPRODUCT(--ISNUMBER(Risk_Rank_Keys!$B$2:$B$800),--(Risk_Rank_Keys!$B$2:$B$800&lt;Risk_Rank_Keys!B567))+(SUMPRODUCT(--ISNUMBER(Risk_Rank_Keys!$B$2:$B$800),--(Risk_Rank_Keys!$B$2:$B$800=Risk_Rank_Keys!B567))+1)/2)/COUNT(Risk_Rank_Keys!$B$2:$B$800))</f>
        <v/>
      </c>
      <c r="N567">
        <f>IF(OR(B567="NW",COUNT(Risk_Rank_Keys!C567)=0),0.5,(SUMPRODUCT(--ISNUMBER(Risk_Rank_Keys!$C$2:$C$800),--(Risk_Rank_Keys!$C$2:$C$800&lt;Risk_Rank_Keys!C567))+(SUMPRODUCT(--ISNUMBER(Risk_Rank_Keys!$C$2:$C$800),--(Risk_Rank_Keys!$C$2:$C$800=Risk_Rank_Keys!C567))+1)/2)/COUNT(Risk_Rank_Keys!$C$2:$C$800))</f>
        <v/>
      </c>
      <c r="O567">
        <f>IF(OR(B567="NW",COUNT(Risk_Rank_Keys!D567)=0),0.5,(SUMPRODUCT(--ISNUMBER(Risk_Rank_Keys!$D$2:$D$800),--(Risk_Rank_Keys!$D$2:$D$800&lt;Risk_Rank_Keys!D567))+(SUMPRODUCT(--ISNUMBER(Risk_Rank_Keys!$D$2:$D$800),--(Risk_Rank_Keys!$D$2:$D$800=Risk_Rank_Keys!D567))+1)/2)/COUNT(Risk_Rank_Keys!$D$2:$D$800))</f>
        <v/>
      </c>
      <c r="P567">
        <f>AVERAGE(M567:O567)</f>
        <v/>
      </c>
      <c r="Q567">
        <f>0.4*H567+0.4*I567+0.2*P567</f>
        <v/>
      </c>
      <c r="R567">
        <f>PERCENTILE($Q$2:$Q$800,0.75)</f>
        <v/>
      </c>
      <c r="S567">
        <f>OR(Q567&gt;=R567,AND(B567="CW",COUNT(J567:L567)&lt;3))</f>
        <v/>
      </c>
      <c r="T567" t="n">
        <v>0.2839299430995839</v>
      </c>
      <c r="U567" t="n">
        <v>6.875059853522064</v>
      </c>
      <c r="V567" t="n">
        <v>0.3601505601201874</v>
      </c>
      <c r="W567">
        <f>Q567-V567</f>
        <v/>
      </c>
    </row>
    <row r="568">
      <c r="A568" t="inlineStr">
        <is>
          <t>2024-10-03</t>
        </is>
      </c>
      <c r="B568" t="inlineStr">
        <is>
          <t>CW</t>
        </is>
      </c>
      <c r="C568" t="n">
        <v>-6.854465701123218</v>
      </c>
      <c r="D568">
        <f>SUMPRODUCT(Risk_Inputs!B568:AJ568,Risk_Coefs!$B$2:$AJ$2)</f>
        <v/>
      </c>
      <c r="E568">
        <f>1/(1+EXP(-MAX(-25,MIN(25,D568))))</f>
        <v/>
      </c>
      <c r="F568">
        <f>SUMPRODUCT(Risk_Inputs!B568:AJ568,Risk_Coefs!$B$3:$AJ$3)</f>
        <v/>
      </c>
      <c r="G568">
        <f>MAX(0,F568)</f>
        <v/>
      </c>
      <c r="H568">
        <f>(SUMPRODUCT(--ISNUMBER($E$2:$E$800),--($E$2:$E$800&lt;E568))+(SUMPRODUCT(--ISNUMBER($E$2:$E$800),--($E$2:$E$800=E568))+1)/2)/COUNT($E$2:$E$800)</f>
        <v/>
      </c>
      <c r="I568">
        <f>(SUMPRODUCT(--ISNUMBER($G$2:$G$800),--($G$2:$G$800&lt;G568))+(SUMPRODUCT(--ISNUMBER($G$2:$G$800),--($G$2:$G$800=G568))+1)/2)/COUNT($G$2:$G$800)</f>
        <v/>
      </c>
      <c r="J568" t="n">
        <v>25.59661842839168</v>
      </c>
      <c r="K568" t="n">
        <v>27.93152639087018</v>
      </c>
      <c r="L568" t="n">
        <v>0.2567760342368061</v>
      </c>
      <c r="M568">
        <f>IF(OR(B568="NW",COUNT(Risk_Rank_Keys!B568)=0),0.5,(SUMPRODUCT(--ISNUMBER(Risk_Rank_Keys!$B$2:$B$800),--(Risk_Rank_Keys!$B$2:$B$800&lt;Risk_Rank_Keys!B568))+(SUMPRODUCT(--ISNUMBER(Risk_Rank_Keys!$B$2:$B$800),--(Risk_Rank_Keys!$B$2:$B$800=Risk_Rank_Keys!B568))+1)/2)/COUNT(Risk_Rank_Keys!$B$2:$B$800))</f>
        <v/>
      </c>
      <c r="N568">
        <f>IF(OR(B568="NW",COUNT(Risk_Rank_Keys!C568)=0),0.5,(SUMPRODUCT(--ISNUMBER(Risk_Rank_Keys!$C$2:$C$800),--(Risk_Rank_Keys!$C$2:$C$800&lt;Risk_Rank_Keys!C568))+(SUMPRODUCT(--ISNUMBER(Risk_Rank_Keys!$C$2:$C$800),--(Risk_Rank_Keys!$C$2:$C$800=Risk_Rank_Keys!C568))+1)/2)/COUNT(Risk_Rank_Keys!$C$2:$C$800))</f>
        <v/>
      </c>
      <c r="O568">
        <f>IF(OR(B568="NW",COUNT(Risk_Rank_Keys!D568)=0),0.5,(SUMPRODUCT(--ISNUMBER(Risk_Rank_Keys!$D$2:$D$800),--(Risk_Rank_Keys!$D$2:$D$800&lt;Risk_Rank_Keys!D568))+(SUMPRODUCT(--ISNUMBER(Risk_Rank_Keys!$D$2:$D$800),--(Risk_Rank_Keys!$D$2:$D$800=Risk_Rank_Keys!D568))+1)/2)/COUNT(Risk_Rank_Keys!$D$2:$D$800))</f>
        <v/>
      </c>
      <c r="P568">
        <f>AVERAGE(M568:O568)</f>
        <v/>
      </c>
      <c r="Q568">
        <f>0.4*H568+0.4*I568+0.2*P568</f>
        <v/>
      </c>
      <c r="R568">
        <f>PERCENTILE($Q$2:$Q$800,0.75)</f>
        <v/>
      </c>
      <c r="S568">
        <f>OR(Q568&gt;=R568,AND(B568="CW",COUNT(J568:L568)&lt;3))</f>
        <v/>
      </c>
      <c r="T568" t="n">
        <v>0.2566316218396764</v>
      </c>
      <c r="U568" t="n">
        <v>5.321942075791448</v>
      </c>
      <c r="V568" t="n">
        <v>0.3571653083323006</v>
      </c>
      <c r="W568">
        <f>Q568-V568</f>
        <v/>
      </c>
    </row>
    <row r="569">
      <c r="A569" t="inlineStr">
        <is>
          <t>2024-10-07</t>
        </is>
      </c>
      <c r="B569" t="inlineStr">
        <is>
          <t>CW</t>
        </is>
      </c>
      <c r="C569" t="n">
        <v>37.87638734944277</v>
      </c>
      <c r="D569">
        <f>SUMPRODUCT(Risk_Inputs!B569:AJ569,Risk_Coefs!$B$2:$AJ$2)</f>
        <v/>
      </c>
      <c r="E569">
        <f>1/(1+EXP(-MAX(-25,MIN(25,D569))))</f>
        <v/>
      </c>
      <c r="F569">
        <f>SUMPRODUCT(Risk_Inputs!B569:AJ569,Risk_Coefs!$B$3:$AJ$3)</f>
        <v/>
      </c>
      <c r="G569">
        <f>MAX(0,F569)</f>
        <v/>
      </c>
      <c r="H569">
        <f>(SUMPRODUCT(--ISNUMBER($E$2:$E$800),--($E$2:$E$800&lt;E569))+(SUMPRODUCT(--ISNUMBER($E$2:$E$800),--($E$2:$E$800=E569))+1)/2)/COUNT($E$2:$E$800)</f>
        <v/>
      </c>
      <c r="I569">
        <f>(SUMPRODUCT(--ISNUMBER($G$2:$G$800),--($G$2:$G$800&lt;G569))+(SUMPRODUCT(--ISNUMBER($G$2:$G$800),--($G$2:$G$800=G569))+1)/2)/COUNT($G$2:$G$800)</f>
        <v/>
      </c>
      <c r="J569" t="n">
        <v>5.116769102772817</v>
      </c>
      <c r="K569" t="n">
        <v>1.160714285714274</v>
      </c>
      <c r="L569" t="n">
        <v>0.1658163265306136</v>
      </c>
      <c r="M569">
        <f>IF(OR(B569="NW",COUNT(Risk_Rank_Keys!B569)=0),0.5,(SUMPRODUCT(--ISNUMBER(Risk_Rank_Keys!$B$2:$B$800),--(Risk_Rank_Keys!$B$2:$B$800&lt;Risk_Rank_Keys!B569))+(SUMPRODUCT(--ISNUMBER(Risk_Rank_Keys!$B$2:$B$800),--(Risk_Rank_Keys!$B$2:$B$800=Risk_Rank_Keys!B569))+1)/2)/COUNT(Risk_Rank_Keys!$B$2:$B$800))</f>
        <v/>
      </c>
      <c r="N569">
        <f>IF(OR(B569="NW",COUNT(Risk_Rank_Keys!C569)=0),0.5,(SUMPRODUCT(--ISNUMBER(Risk_Rank_Keys!$C$2:$C$800),--(Risk_Rank_Keys!$C$2:$C$800&lt;Risk_Rank_Keys!C569))+(SUMPRODUCT(--ISNUMBER(Risk_Rank_Keys!$C$2:$C$800),--(Risk_Rank_Keys!$C$2:$C$800=Risk_Rank_Keys!C569))+1)/2)/COUNT(Risk_Rank_Keys!$C$2:$C$800))</f>
        <v/>
      </c>
      <c r="O569">
        <f>IF(OR(B569="NW",COUNT(Risk_Rank_Keys!D569)=0),0.5,(SUMPRODUCT(--ISNUMBER(Risk_Rank_Keys!$D$2:$D$800),--(Risk_Rank_Keys!$D$2:$D$800&lt;Risk_Rank_Keys!D569))+(SUMPRODUCT(--ISNUMBER(Risk_Rank_Keys!$D$2:$D$800),--(Risk_Rank_Keys!$D$2:$D$800=Risk_Rank_Keys!D569))+1)/2)/COUNT(Risk_Rank_Keys!$D$2:$D$800))</f>
        <v/>
      </c>
      <c r="P569">
        <f>AVERAGE(M569:O569)</f>
        <v/>
      </c>
      <c r="Q569">
        <f>0.4*H569+0.4*I569+0.2*P569</f>
        <v/>
      </c>
      <c r="R569">
        <f>PERCENTILE($Q$2:$Q$800,0.75)</f>
        <v/>
      </c>
      <c r="S569">
        <f>OR(Q569&gt;=R569,AND(B569="CW",COUNT(J569:L569)&lt;3))</f>
        <v/>
      </c>
      <c r="T569" t="n">
        <v>0.4337604232756823</v>
      </c>
      <c r="U569" t="n">
        <v>14.50560681048708</v>
      </c>
      <c r="V569" t="n">
        <v>0.8056873742107901</v>
      </c>
      <c r="W569">
        <f>Q569-V569</f>
        <v/>
      </c>
    </row>
    <row r="570">
      <c r="A570" t="inlineStr">
        <is>
          <t>2024-10-08</t>
        </is>
      </c>
      <c r="B570" t="inlineStr">
        <is>
          <t>CW</t>
        </is>
      </c>
      <c r="C570" t="n">
        <v>21.3851955739801</v>
      </c>
      <c r="D570">
        <f>SUMPRODUCT(Risk_Inputs!B570:AJ570,Risk_Coefs!$B$2:$AJ$2)</f>
        <v/>
      </c>
      <c r="E570">
        <f>1/(1+EXP(-MAX(-25,MIN(25,D570))))</f>
        <v/>
      </c>
      <c r="F570">
        <f>SUMPRODUCT(Risk_Inputs!B570:AJ570,Risk_Coefs!$B$3:$AJ$3)</f>
        <v/>
      </c>
      <c r="G570">
        <f>MAX(0,F570)</f>
        <v/>
      </c>
      <c r="H570">
        <f>(SUMPRODUCT(--ISNUMBER($E$2:$E$800),--($E$2:$E$800&lt;E570))+(SUMPRODUCT(--ISNUMBER($E$2:$E$800),--($E$2:$E$800=E570))+1)/2)/COUNT($E$2:$E$800)</f>
        <v/>
      </c>
      <c r="I570">
        <f>(SUMPRODUCT(--ISNUMBER($G$2:$G$800),--($G$2:$G$800&lt;G570))+(SUMPRODUCT(--ISNUMBER($G$2:$G$800),--($G$2:$G$800=G570))+1)/2)/COUNT($G$2:$G$800)</f>
        <v/>
      </c>
      <c r="J570" t="n">
        <v>14.76007329695246</v>
      </c>
      <c r="K570" t="n">
        <v>2.137704918032781</v>
      </c>
      <c r="L570" t="n">
        <v>0.2098360655737734</v>
      </c>
      <c r="M570">
        <f>IF(OR(B570="NW",COUNT(Risk_Rank_Keys!B570)=0),0.5,(SUMPRODUCT(--ISNUMBER(Risk_Rank_Keys!$B$2:$B$800),--(Risk_Rank_Keys!$B$2:$B$800&lt;Risk_Rank_Keys!B570))+(SUMPRODUCT(--ISNUMBER(Risk_Rank_Keys!$B$2:$B$800),--(Risk_Rank_Keys!$B$2:$B$800=Risk_Rank_Keys!B570))+1)/2)/COUNT(Risk_Rank_Keys!$B$2:$B$800))</f>
        <v/>
      </c>
      <c r="N570">
        <f>IF(OR(B570="NW",COUNT(Risk_Rank_Keys!C570)=0),0.5,(SUMPRODUCT(--ISNUMBER(Risk_Rank_Keys!$C$2:$C$800),--(Risk_Rank_Keys!$C$2:$C$800&lt;Risk_Rank_Keys!C570))+(SUMPRODUCT(--ISNUMBER(Risk_Rank_Keys!$C$2:$C$800),--(Risk_Rank_Keys!$C$2:$C$800=Risk_Rank_Keys!C570))+1)/2)/COUNT(Risk_Rank_Keys!$C$2:$C$800))</f>
        <v/>
      </c>
      <c r="O570">
        <f>IF(OR(B570="NW",COUNT(Risk_Rank_Keys!D570)=0),0.5,(SUMPRODUCT(--ISNUMBER(Risk_Rank_Keys!$D$2:$D$800),--(Risk_Rank_Keys!$D$2:$D$800&lt;Risk_Rank_Keys!D570))+(SUMPRODUCT(--ISNUMBER(Risk_Rank_Keys!$D$2:$D$800),--(Risk_Rank_Keys!$D$2:$D$800=Risk_Rank_Keys!D570))+1)/2)/COUNT(Risk_Rank_Keys!$D$2:$D$800))</f>
        <v/>
      </c>
      <c r="P570">
        <f>AVERAGE(M570:O570)</f>
        <v/>
      </c>
      <c r="Q570">
        <f>0.4*H570+0.4*I570+0.2*P570</f>
        <v/>
      </c>
      <c r="R570">
        <f>PERCENTILE($Q$2:$Q$800,0.75)</f>
        <v/>
      </c>
      <c r="S570">
        <f>OR(Q570&gt;=R570,AND(B570="CW",COUNT(J570:L570)&lt;3))</f>
        <v/>
      </c>
      <c r="T570" t="n">
        <v>0.3227045709931541</v>
      </c>
      <c r="U570" t="n">
        <v>5.649793967423586</v>
      </c>
      <c r="V570" t="n">
        <v>0.4556904871209886</v>
      </c>
      <c r="W570">
        <f>Q570-V570</f>
        <v/>
      </c>
    </row>
    <row r="571">
      <c r="A571" t="inlineStr">
        <is>
          <t>2024-10-09</t>
        </is>
      </c>
      <c r="B571" t="inlineStr">
        <is>
          <t>CW</t>
        </is>
      </c>
      <c r="C571" t="n">
        <v>11.12878586529878</v>
      </c>
      <c r="D571">
        <f>SUMPRODUCT(Risk_Inputs!B571:AJ571,Risk_Coefs!$B$2:$AJ$2)</f>
        <v/>
      </c>
      <c r="E571">
        <f>1/(1+EXP(-MAX(-25,MIN(25,D571))))</f>
        <v/>
      </c>
      <c r="F571">
        <f>SUMPRODUCT(Risk_Inputs!B571:AJ571,Risk_Coefs!$B$3:$AJ$3)</f>
        <v/>
      </c>
      <c r="G571">
        <f>MAX(0,F571)</f>
        <v/>
      </c>
      <c r="H571">
        <f>(SUMPRODUCT(--ISNUMBER($E$2:$E$800),--($E$2:$E$800&lt;E571))+(SUMPRODUCT(--ISNUMBER($E$2:$E$800),--($E$2:$E$800=E571))+1)/2)/COUNT($E$2:$E$800)</f>
        <v/>
      </c>
      <c r="I571">
        <f>(SUMPRODUCT(--ISNUMBER($G$2:$G$800),--($G$2:$G$800&lt;G571))+(SUMPRODUCT(--ISNUMBER($G$2:$G$800),--($G$2:$G$800=G571))+1)/2)/COUNT($G$2:$G$800)</f>
        <v/>
      </c>
      <c r="J571" t="n">
        <v>6.232558325360393</v>
      </c>
      <c r="K571" t="n">
        <v>3.896894662066164</v>
      </c>
      <c r="L571" t="n">
        <v>0.223259590014212</v>
      </c>
      <c r="M571">
        <f>IF(OR(B571="NW",COUNT(Risk_Rank_Keys!B571)=0),0.5,(SUMPRODUCT(--ISNUMBER(Risk_Rank_Keys!$B$2:$B$800),--(Risk_Rank_Keys!$B$2:$B$800&lt;Risk_Rank_Keys!B571))+(SUMPRODUCT(--ISNUMBER(Risk_Rank_Keys!$B$2:$B$800),--(Risk_Rank_Keys!$B$2:$B$800=Risk_Rank_Keys!B571))+1)/2)/COUNT(Risk_Rank_Keys!$B$2:$B$800))</f>
        <v/>
      </c>
      <c r="N571">
        <f>IF(OR(B571="NW",COUNT(Risk_Rank_Keys!C571)=0),0.5,(SUMPRODUCT(--ISNUMBER(Risk_Rank_Keys!$C$2:$C$800),--(Risk_Rank_Keys!$C$2:$C$800&lt;Risk_Rank_Keys!C571))+(SUMPRODUCT(--ISNUMBER(Risk_Rank_Keys!$C$2:$C$800),--(Risk_Rank_Keys!$C$2:$C$800=Risk_Rank_Keys!C571))+1)/2)/COUNT(Risk_Rank_Keys!$C$2:$C$800))</f>
        <v/>
      </c>
      <c r="O571">
        <f>IF(OR(B571="NW",COUNT(Risk_Rank_Keys!D571)=0),0.5,(SUMPRODUCT(--ISNUMBER(Risk_Rank_Keys!$D$2:$D$800),--(Risk_Rank_Keys!$D$2:$D$800&lt;Risk_Rank_Keys!D571))+(SUMPRODUCT(--ISNUMBER(Risk_Rank_Keys!$D$2:$D$800),--(Risk_Rank_Keys!$D$2:$D$800=Risk_Rank_Keys!D571))+1)/2)/COUNT(Risk_Rank_Keys!$D$2:$D$800))</f>
        <v/>
      </c>
      <c r="P571">
        <f>AVERAGE(M571:O571)</f>
        <v/>
      </c>
      <c r="Q571">
        <f>0.4*H571+0.4*I571+0.2*P571</f>
        <v/>
      </c>
      <c r="R571">
        <f>PERCENTILE($Q$2:$Q$800,0.75)</f>
        <v/>
      </c>
      <c r="S571">
        <f>OR(Q571&gt;=R571,AND(B571="CW",COUNT(J571:L571)&lt;3))</f>
        <v/>
      </c>
      <c r="T571" t="n">
        <v>0.3048453071736131</v>
      </c>
      <c r="U571" t="n">
        <v>8.823751318869483</v>
      </c>
      <c r="V571" t="n">
        <v>0.5844438276809285</v>
      </c>
      <c r="W571">
        <f>Q571-V571</f>
        <v/>
      </c>
    </row>
    <row r="572">
      <c r="A572" t="inlineStr">
        <is>
          <t>2024-10-10</t>
        </is>
      </c>
      <c r="B572" t="inlineStr">
        <is>
          <t>CW</t>
        </is>
      </c>
      <c r="C572" t="n">
        <v>57.95156612872791</v>
      </c>
      <c r="D572">
        <f>SUMPRODUCT(Risk_Inputs!B572:AJ572,Risk_Coefs!$B$2:$AJ$2)</f>
        <v/>
      </c>
      <c r="E572">
        <f>1/(1+EXP(-MAX(-25,MIN(25,D572))))</f>
        <v/>
      </c>
      <c r="F572">
        <f>SUMPRODUCT(Risk_Inputs!B572:AJ572,Risk_Coefs!$B$3:$AJ$3)</f>
        <v/>
      </c>
      <c r="G572">
        <f>MAX(0,F572)</f>
        <v/>
      </c>
      <c r="H572">
        <f>(SUMPRODUCT(--ISNUMBER($E$2:$E$800),--($E$2:$E$800&lt;E572))+(SUMPRODUCT(--ISNUMBER($E$2:$E$800),--($E$2:$E$800=E572))+1)/2)/COUNT($E$2:$E$800)</f>
        <v/>
      </c>
      <c r="I572">
        <f>(SUMPRODUCT(--ISNUMBER($G$2:$G$800),--($G$2:$G$800&lt;G572))+(SUMPRODUCT(--ISNUMBER($G$2:$G$800),--($G$2:$G$800=G572))+1)/2)/COUNT($G$2:$G$800)</f>
        <v/>
      </c>
      <c r="J572" t="n">
        <v>6.683158440729362</v>
      </c>
      <c r="K572" t="n">
        <v>5.573558003888543</v>
      </c>
      <c r="L572" t="n">
        <v>0.3240440699935191</v>
      </c>
      <c r="M572">
        <f>IF(OR(B572="NW",COUNT(Risk_Rank_Keys!B572)=0),0.5,(SUMPRODUCT(--ISNUMBER(Risk_Rank_Keys!$B$2:$B$800),--(Risk_Rank_Keys!$B$2:$B$800&lt;Risk_Rank_Keys!B572))+(SUMPRODUCT(--ISNUMBER(Risk_Rank_Keys!$B$2:$B$800),--(Risk_Rank_Keys!$B$2:$B$800=Risk_Rank_Keys!B572))+1)/2)/COUNT(Risk_Rank_Keys!$B$2:$B$800))</f>
        <v/>
      </c>
      <c r="N572">
        <f>IF(OR(B572="NW",COUNT(Risk_Rank_Keys!C572)=0),0.5,(SUMPRODUCT(--ISNUMBER(Risk_Rank_Keys!$C$2:$C$800),--(Risk_Rank_Keys!$C$2:$C$800&lt;Risk_Rank_Keys!C572))+(SUMPRODUCT(--ISNUMBER(Risk_Rank_Keys!$C$2:$C$800),--(Risk_Rank_Keys!$C$2:$C$800=Risk_Rank_Keys!C572))+1)/2)/COUNT(Risk_Rank_Keys!$C$2:$C$800))</f>
        <v/>
      </c>
      <c r="O572">
        <f>IF(OR(B572="NW",COUNT(Risk_Rank_Keys!D572)=0),0.5,(SUMPRODUCT(--ISNUMBER(Risk_Rank_Keys!$D$2:$D$800),--(Risk_Rank_Keys!$D$2:$D$800&lt;Risk_Rank_Keys!D572))+(SUMPRODUCT(--ISNUMBER(Risk_Rank_Keys!$D$2:$D$800),--(Risk_Rank_Keys!$D$2:$D$800=Risk_Rank_Keys!D572))+1)/2)/COUNT(Risk_Rank_Keys!$D$2:$D$800))</f>
        <v/>
      </c>
      <c r="P572">
        <f>AVERAGE(M572:O572)</f>
        <v/>
      </c>
      <c r="Q572">
        <f>0.4*H572+0.4*I572+0.2*P572</f>
        <v/>
      </c>
      <c r="R572">
        <f>PERCENTILE($Q$2:$Q$800,0.75)</f>
        <v/>
      </c>
      <c r="S572">
        <f>OR(Q572&gt;=R572,AND(B572="CW",COUNT(J572:L572)&lt;3))</f>
        <v/>
      </c>
      <c r="T572" t="n">
        <v>0.299677431130877</v>
      </c>
      <c r="U572" t="n">
        <v>10.14042939623795</v>
      </c>
      <c r="V572" t="n">
        <v>0.6682224235431435</v>
      </c>
      <c r="W572">
        <f>Q572-V572</f>
        <v/>
      </c>
    </row>
    <row r="573">
      <c r="A573" t="inlineStr">
        <is>
          <t>2024-10-17</t>
        </is>
      </c>
      <c r="B573" t="inlineStr">
        <is>
          <t>NW</t>
        </is>
      </c>
      <c r="C573" t="n">
        <v>5.286098490156739</v>
      </c>
      <c r="D573">
        <f>SUMPRODUCT(Risk_Inputs!B573:AJ573,Risk_Coefs!$B$2:$AJ$2)</f>
        <v/>
      </c>
      <c r="E573">
        <f>1/(1+EXP(-MAX(-25,MIN(25,D573))))</f>
        <v/>
      </c>
      <c r="F573">
        <f>SUMPRODUCT(Risk_Inputs!B573:AJ573,Risk_Coefs!$B$3:$AJ$3)</f>
        <v/>
      </c>
      <c r="G573">
        <f>MAX(0,F573)</f>
        <v/>
      </c>
      <c r="H573">
        <f>(SUMPRODUCT(--ISNUMBER($E$2:$E$800),--($E$2:$E$800&lt;E573))+(SUMPRODUCT(--ISNUMBER($E$2:$E$800),--($E$2:$E$800=E573))+1)/2)/COUNT($E$2:$E$800)</f>
        <v/>
      </c>
      <c r="I573">
        <f>(SUMPRODUCT(--ISNUMBER($G$2:$G$800),--($G$2:$G$800&lt;G573))+(SUMPRODUCT(--ISNUMBER($G$2:$G$800),--($G$2:$G$800=G573))+1)/2)/COUNT($G$2:$G$800)</f>
        <v/>
      </c>
      <c r="M573">
        <f>IF(OR(B573="NW",COUNT(Risk_Rank_Keys!B573)=0),0.5,(SUMPRODUCT(--ISNUMBER(Risk_Rank_Keys!$B$2:$B$800),--(Risk_Rank_Keys!$B$2:$B$800&lt;Risk_Rank_Keys!B573))+(SUMPRODUCT(--ISNUMBER(Risk_Rank_Keys!$B$2:$B$800),--(Risk_Rank_Keys!$B$2:$B$800=Risk_Rank_Keys!B573))+1)/2)/COUNT(Risk_Rank_Keys!$B$2:$B$800))</f>
        <v/>
      </c>
      <c r="N573">
        <f>IF(OR(B573="NW",COUNT(Risk_Rank_Keys!C573)=0),0.5,(SUMPRODUCT(--ISNUMBER(Risk_Rank_Keys!$C$2:$C$800),--(Risk_Rank_Keys!$C$2:$C$800&lt;Risk_Rank_Keys!C573))+(SUMPRODUCT(--ISNUMBER(Risk_Rank_Keys!$C$2:$C$800),--(Risk_Rank_Keys!$C$2:$C$800=Risk_Rank_Keys!C573))+1)/2)/COUNT(Risk_Rank_Keys!$C$2:$C$800))</f>
        <v/>
      </c>
      <c r="O573">
        <f>IF(OR(B573="NW",COUNT(Risk_Rank_Keys!D573)=0),0.5,(SUMPRODUCT(--ISNUMBER(Risk_Rank_Keys!$D$2:$D$800),--(Risk_Rank_Keys!$D$2:$D$800&lt;Risk_Rank_Keys!D573))+(SUMPRODUCT(--ISNUMBER(Risk_Rank_Keys!$D$2:$D$800),--(Risk_Rank_Keys!$D$2:$D$800=Risk_Rank_Keys!D573))+1)/2)/COUNT(Risk_Rank_Keys!$D$2:$D$800))</f>
        <v/>
      </c>
      <c r="P573">
        <f>AVERAGE(M573:O573)</f>
        <v/>
      </c>
      <c r="Q573">
        <f>0.4*H573+0.4*I573+0.2*P573</f>
        <v/>
      </c>
      <c r="R573">
        <f>PERCENTILE($Q$2:$Q$800,0.75)</f>
        <v/>
      </c>
      <c r="S573">
        <f>OR(Q573&gt;=R573,AND(B573="CW",COUNT(J573:L573)&lt;3))</f>
        <v/>
      </c>
      <c r="T573" t="n">
        <v>0.3058136156681818</v>
      </c>
      <c r="U573" t="n">
        <v>8.059340927537509</v>
      </c>
      <c r="V573" t="n">
        <v>0.5585732165206508</v>
      </c>
      <c r="W573">
        <f>Q573-V573</f>
        <v/>
      </c>
    </row>
    <row r="574">
      <c r="A574" t="inlineStr">
        <is>
          <t>2024-10-18</t>
        </is>
      </c>
      <c r="B574" t="inlineStr">
        <is>
          <t>CW</t>
        </is>
      </c>
      <c r="C574" t="n">
        <v>32.77384675047859</v>
      </c>
      <c r="D574">
        <f>SUMPRODUCT(Risk_Inputs!B574:AJ574,Risk_Coefs!$B$2:$AJ$2)</f>
        <v/>
      </c>
      <c r="E574">
        <f>1/(1+EXP(-MAX(-25,MIN(25,D574))))</f>
        <v/>
      </c>
      <c r="F574">
        <f>SUMPRODUCT(Risk_Inputs!B574:AJ574,Risk_Coefs!$B$3:$AJ$3)</f>
        <v/>
      </c>
      <c r="G574">
        <f>MAX(0,F574)</f>
        <v/>
      </c>
      <c r="H574">
        <f>(SUMPRODUCT(--ISNUMBER($E$2:$E$800),--($E$2:$E$800&lt;E574))+(SUMPRODUCT(--ISNUMBER($E$2:$E$800),--($E$2:$E$800=E574))+1)/2)/COUNT($E$2:$E$800)</f>
        <v/>
      </c>
      <c r="I574">
        <f>(SUMPRODUCT(--ISNUMBER($G$2:$G$800),--($G$2:$G$800&lt;G574))+(SUMPRODUCT(--ISNUMBER($G$2:$G$800),--($G$2:$G$800=G574))+1)/2)/COUNT($G$2:$G$800)</f>
        <v/>
      </c>
      <c r="J574" t="n">
        <v>11.80431607983214</v>
      </c>
      <c r="K574" t="n">
        <v>5.25246662797447</v>
      </c>
      <c r="L574" t="n">
        <v>0.2031340684852051</v>
      </c>
      <c r="M574">
        <f>IF(OR(B574="NW",COUNT(Risk_Rank_Keys!B574)=0),0.5,(SUMPRODUCT(--ISNUMBER(Risk_Rank_Keys!$B$2:$B$800),--(Risk_Rank_Keys!$B$2:$B$800&lt;Risk_Rank_Keys!B574))+(SUMPRODUCT(--ISNUMBER(Risk_Rank_Keys!$B$2:$B$800),--(Risk_Rank_Keys!$B$2:$B$800=Risk_Rank_Keys!B574))+1)/2)/COUNT(Risk_Rank_Keys!$B$2:$B$800))</f>
        <v/>
      </c>
      <c r="N574">
        <f>IF(OR(B574="NW",COUNT(Risk_Rank_Keys!C574)=0),0.5,(SUMPRODUCT(--ISNUMBER(Risk_Rank_Keys!$C$2:$C$800),--(Risk_Rank_Keys!$C$2:$C$800&lt;Risk_Rank_Keys!C574))+(SUMPRODUCT(--ISNUMBER(Risk_Rank_Keys!$C$2:$C$800),--(Risk_Rank_Keys!$C$2:$C$800=Risk_Rank_Keys!C574))+1)/2)/COUNT(Risk_Rank_Keys!$C$2:$C$800))</f>
        <v/>
      </c>
      <c r="O574">
        <f>IF(OR(B574="NW",COUNT(Risk_Rank_Keys!D574)=0),0.5,(SUMPRODUCT(--ISNUMBER(Risk_Rank_Keys!$D$2:$D$800),--(Risk_Rank_Keys!$D$2:$D$800&lt;Risk_Rank_Keys!D574))+(SUMPRODUCT(--ISNUMBER(Risk_Rank_Keys!$D$2:$D$800),--(Risk_Rank_Keys!$D$2:$D$800=Risk_Rank_Keys!D574))+1)/2)/COUNT(Risk_Rank_Keys!$D$2:$D$800))</f>
        <v/>
      </c>
      <c r="P574">
        <f>AVERAGE(M574:O574)</f>
        <v/>
      </c>
      <c r="Q574">
        <f>0.4*H574+0.4*I574+0.2*P574</f>
        <v/>
      </c>
      <c r="R574">
        <f>PERCENTILE($Q$2:$Q$800,0.75)</f>
        <v/>
      </c>
      <c r="S574">
        <f>OR(Q574&gt;=R574,AND(B574="CW",COUNT(J574:L574)&lt;3))</f>
        <v/>
      </c>
      <c r="T574" t="n">
        <v>0.2106582817394518</v>
      </c>
      <c r="U574" t="n">
        <v>4.797625480956525</v>
      </c>
      <c r="V574" t="n">
        <v>0.2035908437383084</v>
      </c>
      <c r="W574">
        <f>Q574-V574</f>
        <v/>
      </c>
    </row>
    <row r="575">
      <c r="A575" t="inlineStr">
        <is>
          <t>2024-10-22</t>
        </is>
      </c>
      <c r="B575" t="inlineStr">
        <is>
          <t>CW</t>
        </is>
      </c>
      <c r="C575" t="n">
        <v>-8.094837098310986</v>
      </c>
      <c r="D575">
        <f>SUMPRODUCT(Risk_Inputs!B575:AJ575,Risk_Coefs!$B$2:$AJ$2)</f>
        <v/>
      </c>
      <c r="E575">
        <f>1/(1+EXP(-MAX(-25,MIN(25,D575))))</f>
        <v/>
      </c>
      <c r="F575">
        <f>SUMPRODUCT(Risk_Inputs!B575:AJ575,Risk_Coefs!$B$3:$AJ$3)</f>
        <v/>
      </c>
      <c r="G575">
        <f>MAX(0,F575)</f>
        <v/>
      </c>
      <c r="H575">
        <f>(SUMPRODUCT(--ISNUMBER($E$2:$E$800),--($E$2:$E$800&lt;E575))+(SUMPRODUCT(--ISNUMBER($E$2:$E$800),--($E$2:$E$800=E575))+1)/2)/COUNT($E$2:$E$800)</f>
        <v/>
      </c>
      <c r="I575">
        <f>(SUMPRODUCT(--ISNUMBER($G$2:$G$800),--($G$2:$G$800&lt;G575))+(SUMPRODUCT(--ISNUMBER($G$2:$G$800),--($G$2:$G$800=G575))+1)/2)/COUNT($G$2:$G$800)</f>
        <v/>
      </c>
      <c r="J575" t="n">
        <v>5.598899694493051</v>
      </c>
      <c r="K575" t="n">
        <v>2.338709677419359</v>
      </c>
      <c r="L575" t="n">
        <v>0.2217741935483859</v>
      </c>
      <c r="M575">
        <f>IF(OR(B575="NW",COUNT(Risk_Rank_Keys!B575)=0),0.5,(SUMPRODUCT(--ISNUMBER(Risk_Rank_Keys!$B$2:$B$800),--(Risk_Rank_Keys!$B$2:$B$800&lt;Risk_Rank_Keys!B575))+(SUMPRODUCT(--ISNUMBER(Risk_Rank_Keys!$B$2:$B$800),--(Risk_Rank_Keys!$B$2:$B$800=Risk_Rank_Keys!B575))+1)/2)/COUNT(Risk_Rank_Keys!$B$2:$B$800))</f>
        <v/>
      </c>
      <c r="N575">
        <f>IF(OR(B575="NW",COUNT(Risk_Rank_Keys!C575)=0),0.5,(SUMPRODUCT(--ISNUMBER(Risk_Rank_Keys!$C$2:$C$800),--(Risk_Rank_Keys!$C$2:$C$800&lt;Risk_Rank_Keys!C575))+(SUMPRODUCT(--ISNUMBER(Risk_Rank_Keys!$C$2:$C$800),--(Risk_Rank_Keys!$C$2:$C$800=Risk_Rank_Keys!C575))+1)/2)/COUNT(Risk_Rank_Keys!$C$2:$C$800))</f>
        <v/>
      </c>
      <c r="O575">
        <f>IF(OR(B575="NW",COUNT(Risk_Rank_Keys!D575)=0),0.5,(SUMPRODUCT(--ISNUMBER(Risk_Rank_Keys!$D$2:$D$800),--(Risk_Rank_Keys!$D$2:$D$800&lt;Risk_Rank_Keys!D575))+(SUMPRODUCT(--ISNUMBER(Risk_Rank_Keys!$D$2:$D$800),--(Risk_Rank_Keys!$D$2:$D$800=Risk_Rank_Keys!D575))+1)/2)/COUNT(Risk_Rank_Keys!$D$2:$D$800))</f>
        <v/>
      </c>
      <c r="P575">
        <f>AVERAGE(M575:O575)</f>
        <v/>
      </c>
      <c r="Q575">
        <f>0.4*H575+0.4*I575+0.2*P575</f>
        <v/>
      </c>
      <c r="R575">
        <f>PERCENTILE($Q$2:$Q$800,0.75)</f>
        <v/>
      </c>
      <c r="S575">
        <f>OR(Q575&gt;=R575,AND(B575="CW",COUNT(J575:L575)&lt;3))</f>
        <v/>
      </c>
      <c r="T575" t="n">
        <v>0.3206807280337619</v>
      </c>
      <c r="U575" t="n">
        <v>8.812218794468039</v>
      </c>
      <c r="V575" t="n">
        <v>0.5969365472531041</v>
      </c>
      <c r="W575">
        <f>Q575-V575</f>
        <v/>
      </c>
    </row>
    <row r="576">
      <c r="A576" t="inlineStr">
        <is>
          <t>2024-10-23</t>
        </is>
      </c>
      <c r="B576" t="inlineStr">
        <is>
          <t>CW</t>
        </is>
      </c>
      <c r="C576" t="n">
        <v>30.06200905333261</v>
      </c>
      <c r="D576">
        <f>SUMPRODUCT(Risk_Inputs!B576:AJ576,Risk_Coefs!$B$2:$AJ$2)</f>
        <v/>
      </c>
      <c r="E576">
        <f>1/(1+EXP(-MAX(-25,MIN(25,D576))))</f>
        <v/>
      </c>
      <c r="F576">
        <f>SUMPRODUCT(Risk_Inputs!B576:AJ576,Risk_Coefs!$B$3:$AJ$3)</f>
        <v/>
      </c>
      <c r="G576">
        <f>MAX(0,F576)</f>
        <v/>
      </c>
      <c r="H576">
        <f>(SUMPRODUCT(--ISNUMBER($E$2:$E$800),--($E$2:$E$800&lt;E576))+(SUMPRODUCT(--ISNUMBER($E$2:$E$800),--($E$2:$E$800=E576))+1)/2)/COUNT($E$2:$E$800)</f>
        <v/>
      </c>
      <c r="I576">
        <f>(SUMPRODUCT(--ISNUMBER($G$2:$G$800),--($G$2:$G$800&lt;G576))+(SUMPRODUCT(--ISNUMBER($G$2:$G$800),--($G$2:$G$800=G576))+1)/2)/COUNT($G$2:$G$800)</f>
        <v/>
      </c>
      <c r="J576" t="n">
        <v>7.929031084661951</v>
      </c>
      <c r="K576" t="n">
        <v>3.492607670880641</v>
      </c>
      <c r="L576" t="n">
        <v>0.2142704092564816</v>
      </c>
      <c r="M576">
        <f>IF(OR(B576="NW",COUNT(Risk_Rank_Keys!B576)=0),0.5,(SUMPRODUCT(--ISNUMBER(Risk_Rank_Keys!$B$2:$B$800),--(Risk_Rank_Keys!$B$2:$B$800&lt;Risk_Rank_Keys!B576))+(SUMPRODUCT(--ISNUMBER(Risk_Rank_Keys!$B$2:$B$800),--(Risk_Rank_Keys!$B$2:$B$800=Risk_Rank_Keys!B576))+1)/2)/COUNT(Risk_Rank_Keys!$B$2:$B$800))</f>
        <v/>
      </c>
      <c r="N576">
        <f>IF(OR(B576="NW",COUNT(Risk_Rank_Keys!C576)=0),0.5,(SUMPRODUCT(--ISNUMBER(Risk_Rank_Keys!$C$2:$C$800),--(Risk_Rank_Keys!$C$2:$C$800&lt;Risk_Rank_Keys!C576))+(SUMPRODUCT(--ISNUMBER(Risk_Rank_Keys!$C$2:$C$800),--(Risk_Rank_Keys!$C$2:$C$800=Risk_Rank_Keys!C576))+1)/2)/COUNT(Risk_Rank_Keys!$C$2:$C$800))</f>
        <v/>
      </c>
      <c r="O576">
        <f>IF(OR(B576="NW",COUNT(Risk_Rank_Keys!D576)=0),0.5,(SUMPRODUCT(--ISNUMBER(Risk_Rank_Keys!$D$2:$D$800),--(Risk_Rank_Keys!$D$2:$D$800&lt;Risk_Rank_Keys!D576))+(SUMPRODUCT(--ISNUMBER(Risk_Rank_Keys!$D$2:$D$800),--(Risk_Rank_Keys!$D$2:$D$800=Risk_Rank_Keys!D576))+1)/2)/COUNT(Risk_Rank_Keys!$D$2:$D$800))</f>
        <v/>
      </c>
      <c r="P576">
        <f>AVERAGE(M576:O576)</f>
        <v/>
      </c>
      <c r="Q576">
        <f>0.4*H576+0.4*I576+0.2*P576</f>
        <v/>
      </c>
      <c r="R576">
        <f>PERCENTILE($Q$2:$Q$800,0.75)</f>
        <v/>
      </c>
      <c r="S576">
        <f>OR(Q576&gt;=R576,AND(B576="CW",COUNT(J576:L576)&lt;3))</f>
        <v/>
      </c>
      <c r="T576" t="n">
        <v>0.3136845328789096</v>
      </c>
      <c r="U576" t="n">
        <v>10.41816682623537</v>
      </c>
      <c r="V576" t="n">
        <v>0.6740988997753468</v>
      </c>
      <c r="W576">
        <f>Q576-V576</f>
        <v/>
      </c>
    </row>
    <row r="577">
      <c r="A577" t="inlineStr">
        <is>
          <t>2024-10-24</t>
        </is>
      </c>
      <c r="B577" t="inlineStr">
        <is>
          <t>CW</t>
        </is>
      </c>
      <c r="C577" t="n">
        <v>34.43369562467912</v>
      </c>
      <c r="D577">
        <f>SUMPRODUCT(Risk_Inputs!B577:AJ577,Risk_Coefs!$B$2:$AJ$2)</f>
        <v/>
      </c>
      <c r="E577">
        <f>1/(1+EXP(-MAX(-25,MIN(25,D577))))</f>
        <v/>
      </c>
      <c r="F577">
        <f>SUMPRODUCT(Risk_Inputs!B577:AJ577,Risk_Coefs!$B$3:$AJ$3)</f>
        <v/>
      </c>
      <c r="G577">
        <f>MAX(0,F577)</f>
        <v/>
      </c>
      <c r="H577">
        <f>(SUMPRODUCT(--ISNUMBER($E$2:$E$800),--($E$2:$E$800&lt;E577))+(SUMPRODUCT(--ISNUMBER($E$2:$E$800),--($E$2:$E$800=E577))+1)/2)/COUNT($E$2:$E$800)</f>
        <v/>
      </c>
      <c r="I577">
        <f>(SUMPRODUCT(--ISNUMBER($G$2:$G$800),--($G$2:$G$800&lt;G577))+(SUMPRODUCT(--ISNUMBER($G$2:$G$800),--($G$2:$G$800=G577))+1)/2)/COUNT($G$2:$G$800)</f>
        <v/>
      </c>
      <c r="J577" t="n">
        <v>23.45216718044801</v>
      </c>
      <c r="K577" t="n">
        <v>16.94255111976631</v>
      </c>
      <c r="L577" t="n">
        <v>0.2271989613761728</v>
      </c>
      <c r="M577">
        <f>IF(OR(B577="NW",COUNT(Risk_Rank_Keys!B577)=0),0.5,(SUMPRODUCT(--ISNUMBER(Risk_Rank_Keys!$B$2:$B$800),--(Risk_Rank_Keys!$B$2:$B$800&lt;Risk_Rank_Keys!B577))+(SUMPRODUCT(--ISNUMBER(Risk_Rank_Keys!$B$2:$B$800),--(Risk_Rank_Keys!$B$2:$B$800=Risk_Rank_Keys!B577))+1)/2)/COUNT(Risk_Rank_Keys!$B$2:$B$800))</f>
        <v/>
      </c>
      <c r="N577">
        <f>IF(OR(B577="NW",COUNT(Risk_Rank_Keys!C577)=0),0.5,(SUMPRODUCT(--ISNUMBER(Risk_Rank_Keys!$C$2:$C$800),--(Risk_Rank_Keys!$C$2:$C$800&lt;Risk_Rank_Keys!C577))+(SUMPRODUCT(--ISNUMBER(Risk_Rank_Keys!$C$2:$C$800),--(Risk_Rank_Keys!$C$2:$C$800=Risk_Rank_Keys!C577))+1)/2)/COUNT(Risk_Rank_Keys!$C$2:$C$800))</f>
        <v/>
      </c>
      <c r="O577">
        <f>IF(OR(B577="NW",COUNT(Risk_Rank_Keys!D577)=0),0.5,(SUMPRODUCT(--ISNUMBER(Risk_Rank_Keys!$D$2:$D$800),--(Risk_Rank_Keys!$D$2:$D$800&lt;Risk_Rank_Keys!D577))+(SUMPRODUCT(--ISNUMBER(Risk_Rank_Keys!$D$2:$D$800),--(Risk_Rank_Keys!$D$2:$D$800=Risk_Rank_Keys!D577))+1)/2)/COUNT(Risk_Rank_Keys!$D$2:$D$800))</f>
        <v/>
      </c>
      <c r="P577">
        <f>AVERAGE(M577:O577)</f>
        <v/>
      </c>
      <c r="Q577">
        <f>0.4*H577+0.4*I577+0.2*P577</f>
        <v/>
      </c>
      <c r="R577">
        <f>PERCENTILE($Q$2:$Q$800,0.75)</f>
        <v/>
      </c>
      <c r="S577">
        <f>OR(Q577&gt;=R577,AND(B577="CW",COUNT(J577:L577)&lt;3))</f>
        <v/>
      </c>
      <c r="T577" t="n">
        <v>0.2416079580163196</v>
      </c>
      <c r="U577" t="n">
        <v>8.214647316821949</v>
      </c>
      <c r="V577" t="n">
        <v>0.4704917641705781</v>
      </c>
      <c r="W577">
        <f>Q577-V577</f>
        <v/>
      </c>
    </row>
    <row r="578">
      <c r="A578" t="inlineStr">
        <is>
          <t>2024-10-28</t>
        </is>
      </c>
      <c r="B578" t="inlineStr">
        <is>
          <t>CW</t>
        </is>
      </c>
      <c r="C578" t="n">
        <v>27.20763306566657</v>
      </c>
      <c r="D578">
        <f>SUMPRODUCT(Risk_Inputs!B578:AJ578,Risk_Coefs!$B$2:$AJ$2)</f>
        <v/>
      </c>
      <c r="E578">
        <f>1/(1+EXP(-MAX(-25,MIN(25,D578))))</f>
        <v/>
      </c>
      <c r="F578">
        <f>SUMPRODUCT(Risk_Inputs!B578:AJ578,Risk_Coefs!$B$3:$AJ$3)</f>
        <v/>
      </c>
      <c r="G578">
        <f>MAX(0,F578)</f>
        <v/>
      </c>
      <c r="H578">
        <f>(SUMPRODUCT(--ISNUMBER($E$2:$E$800),--($E$2:$E$800&lt;E578))+(SUMPRODUCT(--ISNUMBER($E$2:$E$800),--($E$2:$E$800=E578))+1)/2)/COUNT($E$2:$E$800)</f>
        <v/>
      </c>
      <c r="I578">
        <f>(SUMPRODUCT(--ISNUMBER($G$2:$G$800),--($G$2:$G$800&lt;G578))+(SUMPRODUCT(--ISNUMBER($G$2:$G$800),--($G$2:$G$800=G578))+1)/2)/COUNT($G$2:$G$800)</f>
        <v/>
      </c>
      <c r="J578" t="n">
        <v>8.430413958121282</v>
      </c>
      <c r="K578" t="n">
        <v>3.1157756641522</v>
      </c>
      <c r="L578" t="n">
        <v>0.2295834699901663</v>
      </c>
      <c r="M578">
        <f>IF(OR(B578="NW",COUNT(Risk_Rank_Keys!B578)=0),0.5,(SUMPRODUCT(--ISNUMBER(Risk_Rank_Keys!$B$2:$B$800),--(Risk_Rank_Keys!$B$2:$B$800&lt;Risk_Rank_Keys!B578))+(SUMPRODUCT(--ISNUMBER(Risk_Rank_Keys!$B$2:$B$800),--(Risk_Rank_Keys!$B$2:$B$800=Risk_Rank_Keys!B578))+1)/2)/COUNT(Risk_Rank_Keys!$B$2:$B$800))</f>
        <v/>
      </c>
      <c r="N578">
        <f>IF(OR(B578="NW",COUNT(Risk_Rank_Keys!C578)=0),0.5,(SUMPRODUCT(--ISNUMBER(Risk_Rank_Keys!$C$2:$C$800),--(Risk_Rank_Keys!$C$2:$C$800&lt;Risk_Rank_Keys!C578))+(SUMPRODUCT(--ISNUMBER(Risk_Rank_Keys!$C$2:$C$800),--(Risk_Rank_Keys!$C$2:$C$800=Risk_Rank_Keys!C578))+1)/2)/COUNT(Risk_Rank_Keys!$C$2:$C$800))</f>
        <v/>
      </c>
      <c r="O578">
        <f>IF(OR(B578="NW",COUNT(Risk_Rank_Keys!D578)=0),0.5,(SUMPRODUCT(--ISNUMBER(Risk_Rank_Keys!$D$2:$D$800),--(Risk_Rank_Keys!$D$2:$D$800&lt;Risk_Rank_Keys!D578))+(SUMPRODUCT(--ISNUMBER(Risk_Rank_Keys!$D$2:$D$800),--(Risk_Rank_Keys!$D$2:$D$800=Risk_Rank_Keys!D578))+1)/2)/COUNT(Risk_Rank_Keys!$D$2:$D$800))</f>
        <v/>
      </c>
      <c r="P578">
        <f>AVERAGE(M578:O578)</f>
        <v/>
      </c>
      <c r="Q578">
        <f>0.4*H578+0.4*I578+0.2*P578</f>
        <v/>
      </c>
      <c r="R578">
        <f>PERCENTILE($Q$2:$Q$800,0.75)</f>
        <v/>
      </c>
      <c r="S578">
        <f>OR(Q578&gt;=R578,AND(B578="CW",COUNT(J578:L578)&lt;3))</f>
        <v/>
      </c>
      <c r="T578" t="n">
        <v>0.3646517692063749</v>
      </c>
      <c r="U578" t="n">
        <v>11.6871367739383</v>
      </c>
      <c r="V578" t="n">
        <v>0.8002712595765629</v>
      </c>
      <c r="W578">
        <f>Q578-V578</f>
        <v/>
      </c>
    </row>
    <row r="579">
      <c r="A579" t="inlineStr">
        <is>
          <t>2024-10-30</t>
        </is>
      </c>
      <c r="B579" t="inlineStr">
        <is>
          <t>CW</t>
        </is>
      </c>
      <c r="C579" t="n">
        <v>16.73860109151699</v>
      </c>
      <c r="D579">
        <f>SUMPRODUCT(Risk_Inputs!B579:AJ579,Risk_Coefs!$B$2:$AJ$2)</f>
        <v/>
      </c>
      <c r="E579">
        <f>1/(1+EXP(-MAX(-25,MIN(25,D579))))</f>
        <v/>
      </c>
      <c r="F579">
        <f>SUMPRODUCT(Risk_Inputs!B579:AJ579,Risk_Coefs!$B$3:$AJ$3)</f>
        <v/>
      </c>
      <c r="G579">
        <f>MAX(0,F579)</f>
        <v/>
      </c>
      <c r="H579">
        <f>(SUMPRODUCT(--ISNUMBER($E$2:$E$800),--($E$2:$E$800&lt;E579))+(SUMPRODUCT(--ISNUMBER($E$2:$E$800),--($E$2:$E$800=E579))+1)/2)/COUNT($E$2:$E$800)</f>
        <v/>
      </c>
      <c r="I579">
        <f>(SUMPRODUCT(--ISNUMBER($G$2:$G$800),--($G$2:$G$800&lt;G579))+(SUMPRODUCT(--ISNUMBER($G$2:$G$800),--($G$2:$G$800=G579))+1)/2)/COUNT($G$2:$G$800)</f>
        <v/>
      </c>
      <c r="J579" t="n">
        <v>9.114930050592982</v>
      </c>
      <c r="K579" t="n">
        <v>9.224598930481283</v>
      </c>
      <c r="L579" t="n">
        <v>0.2941176470588296</v>
      </c>
      <c r="M579">
        <f>IF(OR(B579="NW",COUNT(Risk_Rank_Keys!B579)=0),0.5,(SUMPRODUCT(--ISNUMBER(Risk_Rank_Keys!$B$2:$B$800),--(Risk_Rank_Keys!$B$2:$B$800&lt;Risk_Rank_Keys!B579))+(SUMPRODUCT(--ISNUMBER(Risk_Rank_Keys!$B$2:$B$800),--(Risk_Rank_Keys!$B$2:$B$800=Risk_Rank_Keys!B579))+1)/2)/COUNT(Risk_Rank_Keys!$B$2:$B$800))</f>
        <v/>
      </c>
      <c r="N579">
        <f>IF(OR(B579="NW",COUNT(Risk_Rank_Keys!C579)=0),0.5,(SUMPRODUCT(--ISNUMBER(Risk_Rank_Keys!$C$2:$C$800),--(Risk_Rank_Keys!$C$2:$C$800&lt;Risk_Rank_Keys!C579))+(SUMPRODUCT(--ISNUMBER(Risk_Rank_Keys!$C$2:$C$800),--(Risk_Rank_Keys!$C$2:$C$800=Risk_Rank_Keys!C579))+1)/2)/COUNT(Risk_Rank_Keys!$C$2:$C$800))</f>
        <v/>
      </c>
      <c r="O579">
        <f>IF(OR(B579="NW",COUNT(Risk_Rank_Keys!D579)=0),0.5,(SUMPRODUCT(--ISNUMBER(Risk_Rank_Keys!$D$2:$D$800),--(Risk_Rank_Keys!$D$2:$D$800&lt;Risk_Rank_Keys!D579))+(SUMPRODUCT(--ISNUMBER(Risk_Rank_Keys!$D$2:$D$800),--(Risk_Rank_Keys!$D$2:$D$800=Risk_Rank_Keys!D579))+1)/2)/COUNT(Risk_Rank_Keys!$D$2:$D$800))</f>
        <v/>
      </c>
      <c r="P579">
        <f>AVERAGE(M579:O579)</f>
        <v/>
      </c>
      <c r="Q579">
        <f>0.4*H579+0.4*I579+0.2*P579</f>
        <v/>
      </c>
      <c r="R579">
        <f>PERCENTILE($Q$2:$Q$800,0.75)</f>
        <v/>
      </c>
      <c r="S579">
        <f>OR(Q579&gt;=R579,AND(B579="CW",COUNT(J579:L579)&lt;3))</f>
        <v/>
      </c>
      <c r="T579" t="n">
        <v>0.232320779320899</v>
      </c>
      <c r="U579" t="n">
        <v>4.663609014983528</v>
      </c>
      <c r="V579" t="n">
        <v>0.2512666635246639</v>
      </c>
      <c r="W579">
        <f>Q579-V579</f>
        <v/>
      </c>
    </row>
    <row r="580">
      <c r="A580" t="inlineStr">
        <is>
          <t>2024-10-31</t>
        </is>
      </c>
      <c r="B580" t="inlineStr">
        <is>
          <t>CW</t>
        </is>
      </c>
      <c r="C580" t="n">
        <v>48.36890803108697</v>
      </c>
      <c r="D580">
        <f>SUMPRODUCT(Risk_Inputs!B580:AJ580,Risk_Coefs!$B$2:$AJ$2)</f>
        <v/>
      </c>
      <c r="E580">
        <f>1/(1+EXP(-MAX(-25,MIN(25,D580))))</f>
        <v/>
      </c>
      <c r="F580">
        <f>SUMPRODUCT(Risk_Inputs!B580:AJ580,Risk_Coefs!$B$3:$AJ$3)</f>
        <v/>
      </c>
      <c r="G580">
        <f>MAX(0,F580)</f>
        <v/>
      </c>
      <c r="H580">
        <f>(SUMPRODUCT(--ISNUMBER($E$2:$E$800),--($E$2:$E$800&lt;E580))+(SUMPRODUCT(--ISNUMBER($E$2:$E$800),--($E$2:$E$800=E580))+1)/2)/COUNT($E$2:$E$800)</f>
        <v/>
      </c>
      <c r="I580">
        <f>(SUMPRODUCT(--ISNUMBER($G$2:$G$800),--($G$2:$G$800&lt;G580))+(SUMPRODUCT(--ISNUMBER($G$2:$G$800),--($G$2:$G$800=G580))+1)/2)/COUNT($G$2:$G$800)</f>
        <v/>
      </c>
      <c r="J580" t="n">
        <v>19.18023036856178</v>
      </c>
      <c r="K580" t="n">
        <v>20.07005253940456</v>
      </c>
      <c r="L580" t="n">
        <v>0.4203152364273165</v>
      </c>
      <c r="M580">
        <f>IF(OR(B580="NW",COUNT(Risk_Rank_Keys!B580)=0),0.5,(SUMPRODUCT(--ISNUMBER(Risk_Rank_Keys!$B$2:$B$800),--(Risk_Rank_Keys!$B$2:$B$800&lt;Risk_Rank_Keys!B580))+(SUMPRODUCT(--ISNUMBER(Risk_Rank_Keys!$B$2:$B$800),--(Risk_Rank_Keys!$B$2:$B$800=Risk_Rank_Keys!B580))+1)/2)/COUNT(Risk_Rank_Keys!$B$2:$B$800))</f>
        <v/>
      </c>
      <c r="N580">
        <f>IF(OR(B580="NW",COUNT(Risk_Rank_Keys!C580)=0),0.5,(SUMPRODUCT(--ISNUMBER(Risk_Rank_Keys!$C$2:$C$800),--(Risk_Rank_Keys!$C$2:$C$800&lt;Risk_Rank_Keys!C580))+(SUMPRODUCT(--ISNUMBER(Risk_Rank_Keys!$C$2:$C$800),--(Risk_Rank_Keys!$C$2:$C$800=Risk_Rank_Keys!C580))+1)/2)/COUNT(Risk_Rank_Keys!$C$2:$C$800))</f>
        <v/>
      </c>
      <c r="O580">
        <f>IF(OR(B580="NW",COUNT(Risk_Rank_Keys!D580)=0),0.5,(SUMPRODUCT(--ISNUMBER(Risk_Rank_Keys!$D$2:$D$800),--(Risk_Rank_Keys!$D$2:$D$800&lt;Risk_Rank_Keys!D580))+(SUMPRODUCT(--ISNUMBER(Risk_Rank_Keys!$D$2:$D$800),--(Risk_Rank_Keys!$D$2:$D$800=Risk_Rank_Keys!D580))+1)/2)/COUNT(Risk_Rank_Keys!$D$2:$D$800))</f>
        <v/>
      </c>
      <c r="P580">
        <f>AVERAGE(M580:O580)</f>
        <v/>
      </c>
      <c r="Q580">
        <f>0.4*H580+0.4*I580+0.2*P580</f>
        <v/>
      </c>
      <c r="R580">
        <f>PERCENTILE($Q$2:$Q$800,0.75)</f>
        <v/>
      </c>
      <c r="S580">
        <f>OR(Q580&gt;=R580,AND(B580="CW",COUNT(J580:L580)&lt;3))</f>
        <v/>
      </c>
      <c r="T580" t="n">
        <v>0.185434214151252</v>
      </c>
      <c r="U580" t="n">
        <v>5.982129854911673</v>
      </c>
      <c r="V580" t="n">
        <v>0.3102145929738999</v>
      </c>
      <c r="W580">
        <f>Q580-V580</f>
        <v/>
      </c>
    </row>
    <row r="581">
      <c r="A581" t="inlineStr">
        <is>
          <t>2024-11-04</t>
        </is>
      </c>
      <c r="B581" t="inlineStr">
        <is>
          <t>CW</t>
        </is>
      </c>
      <c r="C581" t="n">
        <v>-36.932595819258</v>
      </c>
      <c r="D581">
        <f>SUMPRODUCT(Risk_Inputs!B581:AJ581,Risk_Coefs!$B$2:$AJ$2)</f>
        <v/>
      </c>
      <c r="E581">
        <f>1/(1+EXP(-MAX(-25,MIN(25,D581))))</f>
        <v/>
      </c>
      <c r="F581">
        <f>SUMPRODUCT(Risk_Inputs!B581:AJ581,Risk_Coefs!$B$3:$AJ$3)</f>
        <v/>
      </c>
      <c r="G581">
        <f>MAX(0,F581)</f>
        <v/>
      </c>
      <c r="H581">
        <f>(SUMPRODUCT(--ISNUMBER($E$2:$E$800),--($E$2:$E$800&lt;E581))+(SUMPRODUCT(--ISNUMBER($E$2:$E$800),--($E$2:$E$800=E581))+1)/2)/COUNT($E$2:$E$800)</f>
        <v/>
      </c>
      <c r="I581">
        <f>(SUMPRODUCT(--ISNUMBER($G$2:$G$800),--($G$2:$G$800&lt;G581))+(SUMPRODUCT(--ISNUMBER($G$2:$G$800),--($G$2:$G$800=G581))+1)/2)/COUNT($G$2:$G$800)</f>
        <v/>
      </c>
      <c r="J581" t="n">
        <v>28.49908926823275</v>
      </c>
      <c r="K581" t="n">
        <v>8.290282902829039</v>
      </c>
      <c r="L581" t="n">
        <v>0.2214022140221416</v>
      </c>
      <c r="M581">
        <f>IF(OR(B581="NW",COUNT(Risk_Rank_Keys!B581)=0),0.5,(SUMPRODUCT(--ISNUMBER(Risk_Rank_Keys!$B$2:$B$800),--(Risk_Rank_Keys!$B$2:$B$800&lt;Risk_Rank_Keys!B581))+(SUMPRODUCT(--ISNUMBER(Risk_Rank_Keys!$B$2:$B$800),--(Risk_Rank_Keys!$B$2:$B$800=Risk_Rank_Keys!B581))+1)/2)/COUNT(Risk_Rank_Keys!$B$2:$B$800))</f>
        <v/>
      </c>
      <c r="N581">
        <f>IF(OR(B581="NW",COUNT(Risk_Rank_Keys!C581)=0),0.5,(SUMPRODUCT(--ISNUMBER(Risk_Rank_Keys!$C$2:$C$800),--(Risk_Rank_Keys!$C$2:$C$800&lt;Risk_Rank_Keys!C581))+(SUMPRODUCT(--ISNUMBER(Risk_Rank_Keys!$C$2:$C$800),--(Risk_Rank_Keys!$C$2:$C$800=Risk_Rank_Keys!C581))+1)/2)/COUNT(Risk_Rank_Keys!$C$2:$C$800))</f>
        <v/>
      </c>
      <c r="O581">
        <f>IF(OR(B581="NW",COUNT(Risk_Rank_Keys!D581)=0),0.5,(SUMPRODUCT(--ISNUMBER(Risk_Rank_Keys!$D$2:$D$800),--(Risk_Rank_Keys!$D$2:$D$800&lt;Risk_Rank_Keys!D581))+(SUMPRODUCT(--ISNUMBER(Risk_Rank_Keys!$D$2:$D$800),--(Risk_Rank_Keys!$D$2:$D$800=Risk_Rank_Keys!D581))+1)/2)/COUNT(Risk_Rank_Keys!$D$2:$D$800))</f>
        <v/>
      </c>
      <c r="P581">
        <f>AVERAGE(M581:O581)</f>
        <v/>
      </c>
      <c r="Q581">
        <f>0.4*H581+0.4*I581+0.2*P581</f>
        <v/>
      </c>
      <c r="R581">
        <f>PERCENTILE($Q$2:$Q$800,0.75)</f>
        <v/>
      </c>
      <c r="S581">
        <f>OR(Q581&gt;=R581,AND(B581="CW",COUNT(J581:L581)&lt;3))</f>
        <v/>
      </c>
      <c r="T581" t="n">
        <v>0.3441535137509454</v>
      </c>
      <c r="U581" t="n">
        <v>12.25202012485419</v>
      </c>
      <c r="V581" t="n">
        <v>0.8376002313445037</v>
      </c>
      <c r="W581">
        <f>Q581-V581</f>
        <v/>
      </c>
    </row>
    <row r="582">
      <c r="A582" t="inlineStr">
        <is>
          <t>2024-11-05</t>
        </is>
      </c>
      <c r="B582" t="inlineStr">
        <is>
          <t>CW</t>
        </is>
      </c>
      <c r="C582" t="n">
        <v>26.05646883668331</v>
      </c>
      <c r="D582">
        <f>SUMPRODUCT(Risk_Inputs!B582:AJ582,Risk_Coefs!$B$2:$AJ$2)</f>
        <v/>
      </c>
      <c r="E582">
        <f>1/(1+EXP(-MAX(-25,MIN(25,D582))))</f>
        <v/>
      </c>
      <c r="F582">
        <f>SUMPRODUCT(Risk_Inputs!B582:AJ582,Risk_Coefs!$B$3:$AJ$3)</f>
        <v/>
      </c>
      <c r="G582">
        <f>MAX(0,F582)</f>
        <v/>
      </c>
      <c r="H582">
        <f>(SUMPRODUCT(--ISNUMBER($E$2:$E$800),--($E$2:$E$800&lt;E582))+(SUMPRODUCT(--ISNUMBER($E$2:$E$800),--($E$2:$E$800=E582))+1)/2)/COUNT($E$2:$E$800)</f>
        <v/>
      </c>
      <c r="I582">
        <f>(SUMPRODUCT(--ISNUMBER($G$2:$G$800),--($G$2:$G$800&lt;G582))+(SUMPRODUCT(--ISNUMBER($G$2:$G$800),--($G$2:$G$800=G582))+1)/2)/COUNT($G$2:$G$800)</f>
        <v/>
      </c>
      <c r="J582" t="n">
        <v>20.81536955110296</v>
      </c>
      <c r="K582" t="n">
        <v>13.16017316017316</v>
      </c>
      <c r="L582" t="n">
        <v>0.2102659245516374</v>
      </c>
      <c r="M582">
        <f>IF(OR(B582="NW",COUNT(Risk_Rank_Keys!B582)=0),0.5,(SUMPRODUCT(--ISNUMBER(Risk_Rank_Keys!$B$2:$B$800),--(Risk_Rank_Keys!$B$2:$B$800&lt;Risk_Rank_Keys!B582))+(SUMPRODUCT(--ISNUMBER(Risk_Rank_Keys!$B$2:$B$800),--(Risk_Rank_Keys!$B$2:$B$800=Risk_Rank_Keys!B582))+1)/2)/COUNT(Risk_Rank_Keys!$B$2:$B$800))</f>
        <v/>
      </c>
      <c r="N582">
        <f>IF(OR(B582="NW",COUNT(Risk_Rank_Keys!C582)=0),0.5,(SUMPRODUCT(--ISNUMBER(Risk_Rank_Keys!$C$2:$C$800),--(Risk_Rank_Keys!$C$2:$C$800&lt;Risk_Rank_Keys!C582))+(SUMPRODUCT(--ISNUMBER(Risk_Rank_Keys!$C$2:$C$800),--(Risk_Rank_Keys!$C$2:$C$800=Risk_Rank_Keys!C582))+1)/2)/COUNT(Risk_Rank_Keys!$C$2:$C$800))</f>
        <v/>
      </c>
      <c r="O582">
        <f>IF(OR(B582="NW",COUNT(Risk_Rank_Keys!D582)=0),0.5,(SUMPRODUCT(--ISNUMBER(Risk_Rank_Keys!$D$2:$D$800),--(Risk_Rank_Keys!$D$2:$D$800&lt;Risk_Rank_Keys!D582))+(SUMPRODUCT(--ISNUMBER(Risk_Rank_Keys!$D$2:$D$800),--(Risk_Rank_Keys!$D$2:$D$800=Risk_Rank_Keys!D582))+1)/2)/COUNT(Risk_Rank_Keys!$D$2:$D$800))</f>
        <v/>
      </c>
      <c r="P582">
        <f>AVERAGE(M582:O582)</f>
        <v/>
      </c>
      <c r="Q582">
        <f>0.4*H582+0.4*I582+0.2*P582</f>
        <v/>
      </c>
      <c r="R582">
        <f>PERCENTILE($Q$2:$Q$800,0.75)</f>
        <v/>
      </c>
      <c r="S582">
        <f>OR(Q582&gt;=R582,AND(B582="CW",COUNT(J582:L582)&lt;3))</f>
        <v/>
      </c>
      <c r="T582" t="n">
        <v>0.2841545893876885</v>
      </c>
      <c r="U582" t="n">
        <v>9.962313232500556</v>
      </c>
      <c r="V582" t="n">
        <v>0.6465682056080096</v>
      </c>
      <c r="W582">
        <f>Q582-V582</f>
        <v/>
      </c>
    </row>
    <row r="583">
      <c r="A583" t="inlineStr">
        <is>
          <t>2024-11-06</t>
        </is>
      </c>
      <c r="B583" t="inlineStr">
        <is>
          <t>CW</t>
        </is>
      </c>
      <c r="C583" t="n">
        <v>20.144997161001</v>
      </c>
      <c r="D583">
        <f>SUMPRODUCT(Risk_Inputs!B583:AJ583,Risk_Coefs!$B$2:$AJ$2)</f>
        <v/>
      </c>
      <c r="E583">
        <f>1/(1+EXP(-MAX(-25,MIN(25,D583))))</f>
        <v/>
      </c>
      <c r="F583">
        <f>SUMPRODUCT(Risk_Inputs!B583:AJ583,Risk_Coefs!$B$3:$AJ$3)</f>
        <v/>
      </c>
      <c r="G583">
        <f>MAX(0,F583)</f>
        <v/>
      </c>
      <c r="H583">
        <f>(SUMPRODUCT(--ISNUMBER($E$2:$E$800),--($E$2:$E$800&lt;E583))+(SUMPRODUCT(--ISNUMBER($E$2:$E$800),--($E$2:$E$800=E583))+1)/2)/COUNT($E$2:$E$800)</f>
        <v/>
      </c>
      <c r="I583">
        <f>(SUMPRODUCT(--ISNUMBER($G$2:$G$800),--($G$2:$G$800&lt;G583))+(SUMPRODUCT(--ISNUMBER($G$2:$G$800),--($G$2:$G$800=G583))+1)/2)/COUNT($G$2:$G$800)</f>
        <v/>
      </c>
      <c r="J583" t="n">
        <v>10.09277510036046</v>
      </c>
      <c r="K583" t="n">
        <v>1.530168666318933</v>
      </c>
      <c r="L583" t="n">
        <v>0.2956007650843411</v>
      </c>
      <c r="M583">
        <f>IF(OR(B583="NW",COUNT(Risk_Rank_Keys!B583)=0),0.5,(SUMPRODUCT(--ISNUMBER(Risk_Rank_Keys!$B$2:$B$800),--(Risk_Rank_Keys!$B$2:$B$800&lt;Risk_Rank_Keys!B583))+(SUMPRODUCT(--ISNUMBER(Risk_Rank_Keys!$B$2:$B$800),--(Risk_Rank_Keys!$B$2:$B$800=Risk_Rank_Keys!B583))+1)/2)/COUNT(Risk_Rank_Keys!$B$2:$B$800))</f>
        <v/>
      </c>
      <c r="N583">
        <f>IF(OR(B583="NW",COUNT(Risk_Rank_Keys!C583)=0),0.5,(SUMPRODUCT(--ISNUMBER(Risk_Rank_Keys!$C$2:$C$800),--(Risk_Rank_Keys!$C$2:$C$800&lt;Risk_Rank_Keys!C583))+(SUMPRODUCT(--ISNUMBER(Risk_Rank_Keys!$C$2:$C$800),--(Risk_Rank_Keys!$C$2:$C$800=Risk_Rank_Keys!C583))+1)/2)/COUNT(Risk_Rank_Keys!$C$2:$C$800))</f>
        <v/>
      </c>
      <c r="O583">
        <f>IF(OR(B583="NW",COUNT(Risk_Rank_Keys!D583)=0),0.5,(SUMPRODUCT(--ISNUMBER(Risk_Rank_Keys!$D$2:$D$800),--(Risk_Rank_Keys!$D$2:$D$800&lt;Risk_Rank_Keys!D583))+(SUMPRODUCT(--ISNUMBER(Risk_Rank_Keys!$D$2:$D$800),--(Risk_Rank_Keys!$D$2:$D$800=Risk_Rank_Keys!D583))+1)/2)/COUNT(Risk_Rank_Keys!$D$2:$D$800))</f>
        <v/>
      </c>
      <c r="P583">
        <f>AVERAGE(M583:O583)</f>
        <v/>
      </c>
      <c r="Q583">
        <f>0.4*H583+0.4*I583+0.2*P583</f>
        <v/>
      </c>
      <c r="R583">
        <f>PERCENTILE($Q$2:$Q$800,0.75)</f>
        <v/>
      </c>
      <c r="S583">
        <f>OR(Q583&gt;=R583,AND(B583="CW",COUNT(J583:L583)&lt;3))</f>
        <v/>
      </c>
      <c r="T583" t="n">
        <v>0.3949518530624783</v>
      </c>
      <c r="U583" t="n">
        <v>10.05659497608744</v>
      </c>
      <c r="V583" t="n">
        <v>0.7829710429529241</v>
      </c>
      <c r="W583">
        <f>Q583-V583</f>
        <v/>
      </c>
    </row>
    <row r="584">
      <c r="A584" t="inlineStr">
        <is>
          <t>2024-11-07</t>
        </is>
      </c>
      <c r="B584" t="inlineStr">
        <is>
          <t>CW</t>
        </is>
      </c>
      <c r="C584" t="n">
        <v>-46.83944845987364</v>
      </c>
      <c r="D584">
        <f>SUMPRODUCT(Risk_Inputs!B584:AJ584,Risk_Coefs!$B$2:$AJ$2)</f>
        <v/>
      </c>
      <c r="E584">
        <f>1/(1+EXP(-MAX(-25,MIN(25,D584))))</f>
        <v/>
      </c>
      <c r="F584">
        <f>SUMPRODUCT(Risk_Inputs!B584:AJ584,Risk_Coefs!$B$3:$AJ$3)</f>
        <v/>
      </c>
      <c r="G584">
        <f>MAX(0,F584)</f>
        <v/>
      </c>
      <c r="H584">
        <f>(SUMPRODUCT(--ISNUMBER($E$2:$E$800),--($E$2:$E$800&lt;E584))+(SUMPRODUCT(--ISNUMBER($E$2:$E$800),--($E$2:$E$800=E584))+1)/2)/COUNT($E$2:$E$800)</f>
        <v/>
      </c>
      <c r="I584">
        <f>(SUMPRODUCT(--ISNUMBER($G$2:$G$800),--($G$2:$G$800&lt;G584))+(SUMPRODUCT(--ISNUMBER($G$2:$G$800),--($G$2:$G$800=G584))+1)/2)/COUNT($G$2:$G$800)</f>
        <v/>
      </c>
      <c r="J584" t="n">
        <v>6.939838357039627</v>
      </c>
      <c r="K584" t="n">
        <v>4.267371601208463</v>
      </c>
      <c r="L584" t="n">
        <v>0.2643504531722118</v>
      </c>
      <c r="M584">
        <f>IF(OR(B584="NW",COUNT(Risk_Rank_Keys!B584)=0),0.5,(SUMPRODUCT(--ISNUMBER(Risk_Rank_Keys!$B$2:$B$800),--(Risk_Rank_Keys!$B$2:$B$800&lt;Risk_Rank_Keys!B584))+(SUMPRODUCT(--ISNUMBER(Risk_Rank_Keys!$B$2:$B$800),--(Risk_Rank_Keys!$B$2:$B$800=Risk_Rank_Keys!B584))+1)/2)/COUNT(Risk_Rank_Keys!$B$2:$B$800))</f>
        <v/>
      </c>
      <c r="N584">
        <f>IF(OR(B584="NW",COUNT(Risk_Rank_Keys!C584)=0),0.5,(SUMPRODUCT(--ISNUMBER(Risk_Rank_Keys!$C$2:$C$800),--(Risk_Rank_Keys!$C$2:$C$800&lt;Risk_Rank_Keys!C584))+(SUMPRODUCT(--ISNUMBER(Risk_Rank_Keys!$C$2:$C$800),--(Risk_Rank_Keys!$C$2:$C$800=Risk_Rank_Keys!C584))+1)/2)/COUNT(Risk_Rank_Keys!$C$2:$C$800))</f>
        <v/>
      </c>
      <c r="O584">
        <f>IF(OR(B584="NW",COUNT(Risk_Rank_Keys!D584)=0),0.5,(SUMPRODUCT(--ISNUMBER(Risk_Rank_Keys!$D$2:$D$800),--(Risk_Rank_Keys!$D$2:$D$800&lt;Risk_Rank_Keys!D584))+(SUMPRODUCT(--ISNUMBER(Risk_Rank_Keys!$D$2:$D$800),--(Risk_Rank_Keys!$D$2:$D$800=Risk_Rank_Keys!D584))+1)/2)/COUNT(Risk_Rank_Keys!$D$2:$D$800))</f>
        <v/>
      </c>
      <c r="P584">
        <f>AVERAGE(M584:O584)</f>
        <v/>
      </c>
      <c r="Q584">
        <f>0.4*H584+0.4*I584+0.2*P584</f>
        <v/>
      </c>
      <c r="R584">
        <f>PERCENTILE($Q$2:$Q$800,0.75)</f>
        <v/>
      </c>
      <c r="S584">
        <f>OR(Q584&gt;=R584,AND(B584="CW",COUNT(J584:L584)&lt;3))</f>
        <v/>
      </c>
      <c r="T584" t="n">
        <v>0.3184259815917244</v>
      </c>
      <c r="U584" t="n">
        <v>6.889026872553513</v>
      </c>
      <c r="V584" t="n">
        <v>0.5325196127888825</v>
      </c>
      <c r="W584">
        <f>Q584-V584</f>
        <v/>
      </c>
    </row>
    <row r="585">
      <c r="A585" t="inlineStr">
        <is>
          <t>2024-11-08</t>
        </is>
      </c>
      <c r="B585" t="inlineStr">
        <is>
          <t>CW</t>
        </is>
      </c>
      <c r="C585" t="n">
        <v>29.56976926216913</v>
      </c>
      <c r="D585">
        <f>SUMPRODUCT(Risk_Inputs!B585:AJ585,Risk_Coefs!$B$2:$AJ$2)</f>
        <v/>
      </c>
      <c r="E585">
        <f>1/(1+EXP(-MAX(-25,MIN(25,D585))))</f>
        <v/>
      </c>
      <c r="F585">
        <f>SUMPRODUCT(Risk_Inputs!B585:AJ585,Risk_Coefs!$B$3:$AJ$3)</f>
        <v/>
      </c>
      <c r="G585">
        <f>MAX(0,F585)</f>
        <v/>
      </c>
      <c r="H585">
        <f>(SUMPRODUCT(--ISNUMBER($E$2:$E$800),--($E$2:$E$800&lt;E585))+(SUMPRODUCT(--ISNUMBER($E$2:$E$800),--($E$2:$E$800=E585))+1)/2)/COUNT($E$2:$E$800)</f>
        <v/>
      </c>
      <c r="I585">
        <f>(SUMPRODUCT(--ISNUMBER($G$2:$G$800),--($G$2:$G$800&lt;G585))+(SUMPRODUCT(--ISNUMBER($G$2:$G$800),--($G$2:$G$800=G585))+1)/2)/COUNT($G$2:$G$800)</f>
        <v/>
      </c>
      <c r="J585" t="n">
        <v>37.80722252606109</v>
      </c>
      <c r="K585" t="n">
        <v>4.847645429362881</v>
      </c>
      <c r="L585" t="n">
        <v>0.3462603878116265</v>
      </c>
      <c r="M585">
        <f>IF(OR(B585="NW",COUNT(Risk_Rank_Keys!B585)=0),0.5,(SUMPRODUCT(--ISNUMBER(Risk_Rank_Keys!$B$2:$B$800),--(Risk_Rank_Keys!$B$2:$B$800&lt;Risk_Rank_Keys!B585))+(SUMPRODUCT(--ISNUMBER(Risk_Rank_Keys!$B$2:$B$800),--(Risk_Rank_Keys!$B$2:$B$800=Risk_Rank_Keys!B585))+1)/2)/COUNT(Risk_Rank_Keys!$B$2:$B$800))</f>
        <v/>
      </c>
      <c r="N585">
        <f>IF(OR(B585="NW",COUNT(Risk_Rank_Keys!C585)=0),0.5,(SUMPRODUCT(--ISNUMBER(Risk_Rank_Keys!$C$2:$C$800),--(Risk_Rank_Keys!$C$2:$C$800&lt;Risk_Rank_Keys!C585))+(SUMPRODUCT(--ISNUMBER(Risk_Rank_Keys!$C$2:$C$800),--(Risk_Rank_Keys!$C$2:$C$800=Risk_Rank_Keys!C585))+1)/2)/COUNT(Risk_Rank_Keys!$C$2:$C$800))</f>
        <v/>
      </c>
      <c r="O585">
        <f>IF(OR(B585="NW",COUNT(Risk_Rank_Keys!D585)=0),0.5,(SUMPRODUCT(--ISNUMBER(Risk_Rank_Keys!$D$2:$D$800),--(Risk_Rank_Keys!$D$2:$D$800&lt;Risk_Rank_Keys!D585))+(SUMPRODUCT(--ISNUMBER(Risk_Rank_Keys!$D$2:$D$800),--(Risk_Rank_Keys!$D$2:$D$800=Risk_Rank_Keys!D585))+1)/2)/COUNT(Risk_Rank_Keys!$D$2:$D$800))</f>
        <v/>
      </c>
      <c r="P585">
        <f>AVERAGE(M585:O585)</f>
        <v/>
      </c>
      <c r="Q585">
        <f>0.4*H585+0.4*I585+0.2*P585</f>
        <v/>
      </c>
      <c r="R585">
        <f>PERCENTILE($Q$2:$Q$800,0.75)</f>
        <v/>
      </c>
      <c r="S585">
        <f>OR(Q585&gt;=R585,AND(B585="CW",COUNT(J585:L585)&lt;3))</f>
        <v/>
      </c>
      <c r="T585" t="n">
        <v>0.1764928654932395</v>
      </c>
      <c r="U585" t="n">
        <v>4.85226181329689</v>
      </c>
      <c r="V585" t="n">
        <v>0.2336394458670735</v>
      </c>
      <c r="W585">
        <f>Q585-V585</f>
        <v/>
      </c>
    </row>
    <row r="586">
      <c r="A586" t="inlineStr">
        <is>
          <t>2024-11-13</t>
        </is>
      </c>
      <c r="B586" t="inlineStr">
        <is>
          <t>CW</t>
        </is>
      </c>
      <c r="C586" t="n">
        <v>4.500746250138354</v>
      </c>
      <c r="D586">
        <f>SUMPRODUCT(Risk_Inputs!B586:AJ586,Risk_Coefs!$B$2:$AJ$2)</f>
        <v/>
      </c>
      <c r="E586">
        <f>1/(1+EXP(-MAX(-25,MIN(25,D586))))</f>
        <v/>
      </c>
      <c r="F586">
        <f>SUMPRODUCT(Risk_Inputs!B586:AJ586,Risk_Coefs!$B$3:$AJ$3)</f>
        <v/>
      </c>
      <c r="G586">
        <f>MAX(0,F586)</f>
        <v/>
      </c>
      <c r="H586">
        <f>(SUMPRODUCT(--ISNUMBER($E$2:$E$800),--($E$2:$E$800&lt;E586))+(SUMPRODUCT(--ISNUMBER($E$2:$E$800),--($E$2:$E$800=E586))+1)/2)/COUNT($E$2:$E$800)</f>
        <v/>
      </c>
      <c r="I586">
        <f>(SUMPRODUCT(--ISNUMBER($G$2:$G$800),--($G$2:$G$800&lt;G586))+(SUMPRODUCT(--ISNUMBER($G$2:$G$800),--($G$2:$G$800=G586))+1)/2)/COUNT($G$2:$G$800)</f>
        <v/>
      </c>
      <c r="J586" t="n">
        <v>9.769822151497502</v>
      </c>
      <c r="K586" t="n">
        <v>1.654203489689543</v>
      </c>
      <c r="L586" t="n">
        <v>0.2492635395422602</v>
      </c>
      <c r="M586">
        <f>IF(OR(B586="NW",COUNT(Risk_Rank_Keys!B586)=0),0.5,(SUMPRODUCT(--ISNUMBER(Risk_Rank_Keys!$B$2:$B$800),--(Risk_Rank_Keys!$B$2:$B$800&lt;Risk_Rank_Keys!B586))+(SUMPRODUCT(--ISNUMBER(Risk_Rank_Keys!$B$2:$B$800),--(Risk_Rank_Keys!$B$2:$B$800=Risk_Rank_Keys!B586))+1)/2)/COUNT(Risk_Rank_Keys!$B$2:$B$800))</f>
        <v/>
      </c>
      <c r="N586">
        <f>IF(OR(B586="NW",COUNT(Risk_Rank_Keys!C586)=0),0.5,(SUMPRODUCT(--ISNUMBER(Risk_Rank_Keys!$C$2:$C$800),--(Risk_Rank_Keys!$C$2:$C$800&lt;Risk_Rank_Keys!C586))+(SUMPRODUCT(--ISNUMBER(Risk_Rank_Keys!$C$2:$C$800),--(Risk_Rank_Keys!$C$2:$C$800=Risk_Rank_Keys!C586))+1)/2)/COUNT(Risk_Rank_Keys!$C$2:$C$800))</f>
        <v/>
      </c>
      <c r="O586">
        <f>IF(OR(B586="NW",COUNT(Risk_Rank_Keys!D586)=0),0.5,(SUMPRODUCT(--ISNUMBER(Risk_Rank_Keys!$D$2:$D$800),--(Risk_Rank_Keys!$D$2:$D$800&lt;Risk_Rank_Keys!D586))+(SUMPRODUCT(--ISNUMBER(Risk_Rank_Keys!$D$2:$D$800),--(Risk_Rank_Keys!$D$2:$D$800=Risk_Rank_Keys!D586))+1)/2)/COUNT(Risk_Rank_Keys!$D$2:$D$800))</f>
        <v/>
      </c>
      <c r="P586">
        <f>AVERAGE(M586:O586)</f>
        <v/>
      </c>
      <c r="Q586">
        <f>0.4*H586+0.4*I586+0.2*P586</f>
        <v/>
      </c>
      <c r="R586">
        <f>PERCENTILE($Q$2:$Q$800,0.75)</f>
        <v/>
      </c>
      <c r="S586">
        <f>OR(Q586&gt;=R586,AND(B586="CW",COUNT(J586:L586)&lt;3))</f>
        <v/>
      </c>
      <c r="T586" t="n">
        <v>0.3376101938721157</v>
      </c>
      <c r="U586" t="n">
        <v>8.297895050773388</v>
      </c>
      <c r="V586" t="n">
        <v>0.6240789131463144</v>
      </c>
      <c r="W586">
        <f>Q586-V586</f>
        <v/>
      </c>
    </row>
    <row r="587">
      <c r="A587" t="inlineStr">
        <is>
          <t>2024-11-14</t>
        </is>
      </c>
      <c r="B587" t="inlineStr">
        <is>
          <t>CW</t>
        </is>
      </c>
      <c r="C587" t="n">
        <v>53.00638741677206</v>
      </c>
      <c r="D587">
        <f>SUMPRODUCT(Risk_Inputs!B587:AJ587,Risk_Coefs!$B$2:$AJ$2)</f>
        <v/>
      </c>
      <c r="E587">
        <f>1/(1+EXP(-MAX(-25,MIN(25,D587))))</f>
        <v/>
      </c>
      <c r="F587">
        <f>SUMPRODUCT(Risk_Inputs!B587:AJ587,Risk_Coefs!$B$3:$AJ$3)</f>
        <v/>
      </c>
      <c r="G587">
        <f>MAX(0,F587)</f>
        <v/>
      </c>
      <c r="H587">
        <f>(SUMPRODUCT(--ISNUMBER($E$2:$E$800),--($E$2:$E$800&lt;E587))+(SUMPRODUCT(--ISNUMBER($E$2:$E$800),--($E$2:$E$800=E587))+1)/2)/COUNT($E$2:$E$800)</f>
        <v/>
      </c>
      <c r="I587">
        <f>(SUMPRODUCT(--ISNUMBER($G$2:$G$800),--($G$2:$G$800&lt;G587))+(SUMPRODUCT(--ISNUMBER($G$2:$G$800),--($G$2:$G$800=G587))+1)/2)/COUNT($G$2:$G$800)</f>
        <v/>
      </c>
      <c r="J587" t="n">
        <v>29.93624766520528</v>
      </c>
      <c r="K587" t="n">
        <v>21.93600867678958</v>
      </c>
      <c r="L587" t="n">
        <v>0.3524945770065106</v>
      </c>
      <c r="M587">
        <f>IF(OR(B587="NW",COUNT(Risk_Rank_Keys!B587)=0),0.5,(SUMPRODUCT(--ISNUMBER(Risk_Rank_Keys!$B$2:$B$800),--(Risk_Rank_Keys!$B$2:$B$800&lt;Risk_Rank_Keys!B587))+(SUMPRODUCT(--ISNUMBER(Risk_Rank_Keys!$B$2:$B$800),--(Risk_Rank_Keys!$B$2:$B$800=Risk_Rank_Keys!B587))+1)/2)/COUNT(Risk_Rank_Keys!$B$2:$B$800))</f>
        <v/>
      </c>
      <c r="N587">
        <f>IF(OR(B587="NW",COUNT(Risk_Rank_Keys!C587)=0),0.5,(SUMPRODUCT(--ISNUMBER(Risk_Rank_Keys!$C$2:$C$800),--(Risk_Rank_Keys!$C$2:$C$800&lt;Risk_Rank_Keys!C587))+(SUMPRODUCT(--ISNUMBER(Risk_Rank_Keys!$C$2:$C$800),--(Risk_Rank_Keys!$C$2:$C$800=Risk_Rank_Keys!C587))+1)/2)/COUNT(Risk_Rank_Keys!$C$2:$C$800))</f>
        <v/>
      </c>
      <c r="O587">
        <f>IF(OR(B587="NW",COUNT(Risk_Rank_Keys!D587)=0),0.5,(SUMPRODUCT(--ISNUMBER(Risk_Rank_Keys!$D$2:$D$800),--(Risk_Rank_Keys!$D$2:$D$800&lt;Risk_Rank_Keys!D587))+(SUMPRODUCT(--ISNUMBER(Risk_Rank_Keys!$D$2:$D$800),--(Risk_Rank_Keys!$D$2:$D$800=Risk_Rank_Keys!D587))+1)/2)/COUNT(Risk_Rank_Keys!$D$2:$D$800))</f>
        <v/>
      </c>
      <c r="P587">
        <f>AVERAGE(M587:O587)</f>
        <v/>
      </c>
      <c r="Q587">
        <f>0.4*H587+0.4*I587+0.2*P587</f>
        <v/>
      </c>
      <c r="R587">
        <f>PERCENTILE($Q$2:$Q$800,0.75)</f>
        <v/>
      </c>
      <c r="S587">
        <f>OR(Q587&gt;=R587,AND(B587="CW",COUNT(J587:L587)&lt;3))</f>
        <v/>
      </c>
      <c r="T587" t="n">
        <v>0.1791646293995563</v>
      </c>
      <c r="U587" t="n">
        <v>8.221513135281828</v>
      </c>
      <c r="V587" t="n">
        <v>0.4342914696369067</v>
      </c>
      <c r="W587">
        <f>Q587-V587</f>
        <v/>
      </c>
    </row>
    <row r="588">
      <c r="A588" t="inlineStr">
        <is>
          <t>2024-11-21</t>
        </is>
      </c>
      <c r="B588" t="inlineStr">
        <is>
          <t>CW</t>
        </is>
      </c>
      <c r="C588" t="n">
        <v>78.24619375670868</v>
      </c>
      <c r="D588">
        <f>SUMPRODUCT(Risk_Inputs!B588:AJ588,Risk_Coefs!$B$2:$AJ$2)</f>
        <v/>
      </c>
      <c r="E588">
        <f>1/(1+EXP(-MAX(-25,MIN(25,D588))))</f>
        <v/>
      </c>
      <c r="F588">
        <f>SUMPRODUCT(Risk_Inputs!B588:AJ588,Risk_Coefs!$B$3:$AJ$3)</f>
        <v/>
      </c>
      <c r="G588">
        <f>MAX(0,F588)</f>
        <v/>
      </c>
      <c r="H588">
        <f>(SUMPRODUCT(--ISNUMBER($E$2:$E$800),--($E$2:$E$800&lt;E588))+(SUMPRODUCT(--ISNUMBER($E$2:$E$800),--($E$2:$E$800=E588))+1)/2)/COUNT($E$2:$E$800)</f>
        <v/>
      </c>
      <c r="I588">
        <f>(SUMPRODUCT(--ISNUMBER($G$2:$G$800),--($G$2:$G$800&lt;G588))+(SUMPRODUCT(--ISNUMBER($G$2:$G$800),--($G$2:$G$800=G588))+1)/2)/COUNT($G$2:$G$800)</f>
        <v/>
      </c>
      <c r="J588" t="n">
        <v>79.32888406420822</v>
      </c>
      <c r="K588" t="n">
        <v>24.17480241748024</v>
      </c>
      <c r="L588" t="n">
        <v>0.371920037192009</v>
      </c>
      <c r="M588">
        <f>IF(OR(B588="NW",COUNT(Risk_Rank_Keys!B588)=0),0.5,(SUMPRODUCT(--ISNUMBER(Risk_Rank_Keys!$B$2:$B$800),--(Risk_Rank_Keys!$B$2:$B$800&lt;Risk_Rank_Keys!B588))+(SUMPRODUCT(--ISNUMBER(Risk_Rank_Keys!$B$2:$B$800),--(Risk_Rank_Keys!$B$2:$B$800=Risk_Rank_Keys!B588))+1)/2)/COUNT(Risk_Rank_Keys!$B$2:$B$800))</f>
        <v/>
      </c>
      <c r="N588">
        <f>IF(OR(B588="NW",COUNT(Risk_Rank_Keys!C588)=0),0.5,(SUMPRODUCT(--ISNUMBER(Risk_Rank_Keys!$C$2:$C$800),--(Risk_Rank_Keys!$C$2:$C$800&lt;Risk_Rank_Keys!C588))+(SUMPRODUCT(--ISNUMBER(Risk_Rank_Keys!$C$2:$C$800),--(Risk_Rank_Keys!$C$2:$C$800=Risk_Rank_Keys!C588))+1)/2)/COUNT(Risk_Rank_Keys!$C$2:$C$800))</f>
        <v/>
      </c>
      <c r="O588">
        <f>IF(OR(B588="NW",COUNT(Risk_Rank_Keys!D588)=0),0.5,(SUMPRODUCT(--ISNUMBER(Risk_Rank_Keys!$D$2:$D$800),--(Risk_Rank_Keys!$D$2:$D$800&lt;Risk_Rank_Keys!D588))+(SUMPRODUCT(--ISNUMBER(Risk_Rank_Keys!$D$2:$D$800),--(Risk_Rank_Keys!$D$2:$D$800=Risk_Rank_Keys!D588))+1)/2)/COUNT(Risk_Rank_Keys!$D$2:$D$800))</f>
        <v/>
      </c>
      <c r="P588">
        <f>AVERAGE(M588:O588)</f>
        <v/>
      </c>
      <c r="Q588">
        <f>0.4*H588+0.4*I588+0.2*P588</f>
        <v/>
      </c>
      <c r="R588">
        <f>PERCENTILE($Q$2:$Q$800,0.75)</f>
        <v/>
      </c>
      <c r="S588">
        <f>OR(Q588&gt;=R588,AND(B588="CW",COUNT(J588:L588)&lt;3))</f>
        <v/>
      </c>
      <c r="T588" t="n">
        <v>0.2299420434556582</v>
      </c>
      <c r="U588" t="n">
        <v>10.49434525611436</v>
      </c>
      <c r="V588" t="n">
        <v>0.5957581798261309</v>
      </c>
      <c r="W588">
        <f>Q588-V588</f>
        <v/>
      </c>
    </row>
    <row r="589">
      <c r="A589" t="inlineStr">
        <is>
          <t>2024-11-22</t>
        </is>
      </c>
      <c r="B589" t="inlineStr">
        <is>
          <t>CW</t>
        </is>
      </c>
      <c r="C589" t="n">
        <v>-41.48997048225947</v>
      </c>
      <c r="D589">
        <f>SUMPRODUCT(Risk_Inputs!B589:AJ589,Risk_Coefs!$B$2:$AJ$2)</f>
        <v/>
      </c>
      <c r="E589">
        <f>1/(1+EXP(-MAX(-25,MIN(25,D589))))</f>
        <v/>
      </c>
      <c r="F589">
        <f>SUMPRODUCT(Risk_Inputs!B589:AJ589,Risk_Coefs!$B$3:$AJ$3)</f>
        <v/>
      </c>
      <c r="G589">
        <f>MAX(0,F589)</f>
        <v/>
      </c>
      <c r="H589">
        <f>(SUMPRODUCT(--ISNUMBER($E$2:$E$800),--($E$2:$E$800&lt;E589))+(SUMPRODUCT(--ISNUMBER($E$2:$E$800),--($E$2:$E$800=E589))+1)/2)/COUNT($E$2:$E$800)</f>
        <v/>
      </c>
      <c r="I589">
        <f>(SUMPRODUCT(--ISNUMBER($G$2:$G$800),--($G$2:$G$800&lt;G589))+(SUMPRODUCT(--ISNUMBER($G$2:$G$800),--($G$2:$G$800=G589))+1)/2)/COUNT($G$2:$G$800)</f>
        <v/>
      </c>
      <c r="J589" t="n">
        <v>5.023948190007179</v>
      </c>
      <c r="K589" t="n">
        <v>2.39881904293271</v>
      </c>
      <c r="L589" t="n">
        <v>0.2214294501168669</v>
      </c>
      <c r="M589">
        <f>IF(OR(B589="NW",COUNT(Risk_Rank_Keys!B589)=0),0.5,(SUMPRODUCT(--ISNUMBER(Risk_Rank_Keys!$B$2:$B$800),--(Risk_Rank_Keys!$B$2:$B$800&lt;Risk_Rank_Keys!B589))+(SUMPRODUCT(--ISNUMBER(Risk_Rank_Keys!$B$2:$B$800),--(Risk_Rank_Keys!$B$2:$B$800=Risk_Rank_Keys!B589))+1)/2)/COUNT(Risk_Rank_Keys!$B$2:$B$800))</f>
        <v/>
      </c>
      <c r="N589">
        <f>IF(OR(B589="NW",COUNT(Risk_Rank_Keys!C589)=0),0.5,(SUMPRODUCT(--ISNUMBER(Risk_Rank_Keys!$C$2:$C$800),--(Risk_Rank_Keys!$C$2:$C$800&lt;Risk_Rank_Keys!C589))+(SUMPRODUCT(--ISNUMBER(Risk_Rank_Keys!$C$2:$C$800),--(Risk_Rank_Keys!$C$2:$C$800=Risk_Rank_Keys!C589))+1)/2)/COUNT(Risk_Rank_Keys!$C$2:$C$800))</f>
        <v/>
      </c>
      <c r="O589">
        <f>IF(OR(B589="NW",COUNT(Risk_Rank_Keys!D589)=0),0.5,(SUMPRODUCT(--ISNUMBER(Risk_Rank_Keys!$D$2:$D$800),--(Risk_Rank_Keys!$D$2:$D$800&lt;Risk_Rank_Keys!D589))+(SUMPRODUCT(--ISNUMBER(Risk_Rank_Keys!$D$2:$D$800),--(Risk_Rank_Keys!$D$2:$D$800=Risk_Rank_Keys!D589))+1)/2)/COUNT(Risk_Rank_Keys!$D$2:$D$800))</f>
        <v/>
      </c>
      <c r="P589">
        <f>AVERAGE(M589:O589)</f>
        <v/>
      </c>
      <c r="Q589">
        <f>0.4*H589+0.4*I589+0.2*P589</f>
        <v/>
      </c>
      <c r="R589">
        <f>PERCENTILE($Q$2:$Q$800,0.75)</f>
        <v/>
      </c>
      <c r="S589">
        <f>OR(Q589&gt;=R589,AND(B589="CW",COUNT(J589:L589)&lt;3))</f>
        <v/>
      </c>
      <c r="T589" t="n">
        <v>0.3241434011651821</v>
      </c>
      <c r="U589" t="n">
        <v>12.61430592284092</v>
      </c>
      <c r="V589" t="n">
        <v>0.7212703699242836</v>
      </c>
      <c r="W589">
        <f>Q589-V589</f>
        <v/>
      </c>
    </row>
    <row r="590">
      <c r="A590" t="inlineStr">
        <is>
          <t>2024-11-27</t>
        </is>
      </c>
      <c r="B590" t="inlineStr">
        <is>
          <t>CW</t>
        </is>
      </c>
      <c r="C590" t="n">
        <v>47.99974506543152</v>
      </c>
      <c r="D590">
        <f>SUMPRODUCT(Risk_Inputs!B590:AJ590,Risk_Coefs!$B$2:$AJ$2)</f>
        <v/>
      </c>
      <c r="E590">
        <f>1/(1+EXP(-MAX(-25,MIN(25,D590))))</f>
        <v/>
      </c>
      <c r="F590">
        <f>SUMPRODUCT(Risk_Inputs!B590:AJ590,Risk_Coefs!$B$3:$AJ$3)</f>
        <v/>
      </c>
      <c r="G590">
        <f>MAX(0,F590)</f>
        <v/>
      </c>
      <c r="H590">
        <f>(SUMPRODUCT(--ISNUMBER($E$2:$E$800),--($E$2:$E$800&lt;E590))+(SUMPRODUCT(--ISNUMBER($E$2:$E$800),--($E$2:$E$800=E590))+1)/2)/COUNT($E$2:$E$800)</f>
        <v/>
      </c>
      <c r="I590">
        <f>(SUMPRODUCT(--ISNUMBER($G$2:$G$800),--($G$2:$G$800&lt;G590))+(SUMPRODUCT(--ISNUMBER($G$2:$G$800),--($G$2:$G$800=G590))+1)/2)/COUNT($G$2:$G$800)</f>
        <v/>
      </c>
      <c r="J590" t="n">
        <v>6.092574081568769</v>
      </c>
      <c r="K590" t="n">
        <v>1.347048738672545</v>
      </c>
      <c r="L590" t="n">
        <v>0.1714425667401392</v>
      </c>
      <c r="M590">
        <f>IF(OR(B590="NW",COUNT(Risk_Rank_Keys!B590)=0),0.5,(SUMPRODUCT(--ISNUMBER(Risk_Rank_Keys!$B$2:$B$800),--(Risk_Rank_Keys!$B$2:$B$800&lt;Risk_Rank_Keys!B590))+(SUMPRODUCT(--ISNUMBER(Risk_Rank_Keys!$B$2:$B$800),--(Risk_Rank_Keys!$B$2:$B$800=Risk_Rank_Keys!B590))+1)/2)/COUNT(Risk_Rank_Keys!$B$2:$B$800))</f>
        <v/>
      </c>
      <c r="N590">
        <f>IF(OR(B590="NW",COUNT(Risk_Rank_Keys!C590)=0),0.5,(SUMPRODUCT(--ISNUMBER(Risk_Rank_Keys!$C$2:$C$800),--(Risk_Rank_Keys!$C$2:$C$800&lt;Risk_Rank_Keys!C590))+(SUMPRODUCT(--ISNUMBER(Risk_Rank_Keys!$C$2:$C$800),--(Risk_Rank_Keys!$C$2:$C$800=Risk_Rank_Keys!C590))+1)/2)/COUNT(Risk_Rank_Keys!$C$2:$C$800))</f>
        <v/>
      </c>
      <c r="O590">
        <f>IF(OR(B590="NW",COUNT(Risk_Rank_Keys!D590)=0),0.5,(SUMPRODUCT(--ISNUMBER(Risk_Rank_Keys!$D$2:$D$800),--(Risk_Rank_Keys!$D$2:$D$800&lt;Risk_Rank_Keys!D590))+(SUMPRODUCT(--ISNUMBER(Risk_Rank_Keys!$D$2:$D$800),--(Risk_Rank_Keys!$D$2:$D$800=Risk_Rank_Keys!D590))+1)/2)/COUNT(Risk_Rank_Keys!$D$2:$D$800))</f>
        <v/>
      </c>
      <c r="P590">
        <f>AVERAGE(M590:O590)</f>
        <v/>
      </c>
      <c r="Q590">
        <f>0.4*H590+0.4*I590+0.2*P590</f>
        <v/>
      </c>
      <c r="R590">
        <f>PERCENTILE($Q$2:$Q$800,0.75)</f>
        <v/>
      </c>
      <c r="S590">
        <f>OR(Q590&gt;=R590,AND(B590="CW",COUNT(J590:L590)&lt;3))</f>
        <v/>
      </c>
      <c r="T590" t="n">
        <v>0.3085056561061237</v>
      </c>
      <c r="U590" t="n">
        <v>8.0140535292255</v>
      </c>
      <c r="V590" t="n">
        <v>0.4951427545705959</v>
      </c>
      <c r="W590">
        <f>Q590-V590</f>
        <v/>
      </c>
    </row>
    <row r="591">
      <c r="A591" t="inlineStr">
        <is>
          <t>2024-11-28</t>
        </is>
      </c>
      <c r="B591" t="inlineStr">
        <is>
          <t>CW</t>
        </is>
      </c>
      <c r="C591" t="n">
        <v>-48.62534969414602</v>
      </c>
      <c r="D591">
        <f>SUMPRODUCT(Risk_Inputs!B591:AJ591,Risk_Coefs!$B$2:$AJ$2)</f>
        <v/>
      </c>
      <c r="E591">
        <f>1/(1+EXP(-MAX(-25,MIN(25,D591))))</f>
        <v/>
      </c>
      <c r="F591">
        <f>SUMPRODUCT(Risk_Inputs!B591:AJ591,Risk_Coefs!$B$3:$AJ$3)</f>
        <v/>
      </c>
      <c r="G591">
        <f>MAX(0,F591)</f>
        <v/>
      </c>
      <c r="H591">
        <f>(SUMPRODUCT(--ISNUMBER($E$2:$E$800),--($E$2:$E$800&lt;E591))+(SUMPRODUCT(--ISNUMBER($E$2:$E$800),--($E$2:$E$800=E591))+1)/2)/COUNT($E$2:$E$800)</f>
        <v/>
      </c>
      <c r="I591">
        <f>(SUMPRODUCT(--ISNUMBER($G$2:$G$800),--($G$2:$G$800&lt;G591))+(SUMPRODUCT(--ISNUMBER($G$2:$G$800),--($G$2:$G$800=G591))+1)/2)/COUNT($G$2:$G$800)</f>
        <v/>
      </c>
      <c r="J591" t="n">
        <v>7.381955539654149</v>
      </c>
      <c r="K591" t="n">
        <v>7.387769529869203</v>
      </c>
      <c r="L591" t="n">
        <v>0.3534817956875221</v>
      </c>
      <c r="M591">
        <f>IF(OR(B591="NW",COUNT(Risk_Rank_Keys!B591)=0),0.5,(SUMPRODUCT(--ISNUMBER(Risk_Rank_Keys!$B$2:$B$800),--(Risk_Rank_Keys!$B$2:$B$800&lt;Risk_Rank_Keys!B591))+(SUMPRODUCT(--ISNUMBER(Risk_Rank_Keys!$B$2:$B$800),--(Risk_Rank_Keys!$B$2:$B$800=Risk_Rank_Keys!B591))+1)/2)/COUNT(Risk_Rank_Keys!$B$2:$B$800))</f>
        <v/>
      </c>
      <c r="N591">
        <f>IF(OR(B591="NW",COUNT(Risk_Rank_Keys!C591)=0),0.5,(SUMPRODUCT(--ISNUMBER(Risk_Rank_Keys!$C$2:$C$800),--(Risk_Rank_Keys!$C$2:$C$800&lt;Risk_Rank_Keys!C591))+(SUMPRODUCT(--ISNUMBER(Risk_Rank_Keys!$C$2:$C$800),--(Risk_Rank_Keys!$C$2:$C$800=Risk_Rank_Keys!C591))+1)/2)/COUNT(Risk_Rank_Keys!$C$2:$C$800))</f>
        <v/>
      </c>
      <c r="O591">
        <f>IF(OR(B591="NW",COUNT(Risk_Rank_Keys!D591)=0),0.5,(SUMPRODUCT(--ISNUMBER(Risk_Rank_Keys!$D$2:$D$800),--(Risk_Rank_Keys!$D$2:$D$800&lt;Risk_Rank_Keys!D591))+(SUMPRODUCT(--ISNUMBER(Risk_Rank_Keys!$D$2:$D$800),--(Risk_Rank_Keys!$D$2:$D$800=Risk_Rank_Keys!D591))+1)/2)/COUNT(Risk_Rank_Keys!$D$2:$D$800))</f>
        <v/>
      </c>
      <c r="P591">
        <f>AVERAGE(M591:O591)</f>
        <v/>
      </c>
      <c r="Q591">
        <f>0.4*H591+0.4*I591+0.2*P591</f>
        <v/>
      </c>
      <c r="R591">
        <f>PERCENTILE($Q$2:$Q$800,0.75)</f>
        <v/>
      </c>
      <c r="S591">
        <f>OR(Q591&gt;=R591,AND(B591="CW",COUNT(J591:L591)&lt;3))</f>
        <v/>
      </c>
      <c r="T591" t="n">
        <v>0.3203015368305802</v>
      </c>
      <c r="U591" t="n">
        <v>9.864752365879987</v>
      </c>
      <c r="V591" t="n">
        <v>0.7125358348330579</v>
      </c>
      <c r="W591">
        <f>Q591-V591</f>
        <v/>
      </c>
    </row>
    <row r="592">
      <c r="A592" t="inlineStr">
        <is>
          <t>2024-12-03</t>
        </is>
      </c>
      <c r="B592" t="inlineStr">
        <is>
          <t>CW</t>
        </is>
      </c>
      <c r="C592" t="n">
        <v>13.47759678273116</v>
      </c>
      <c r="D592">
        <f>SUMPRODUCT(Risk_Inputs!B592:AJ592,Risk_Coefs!$B$2:$AJ$2)</f>
        <v/>
      </c>
      <c r="E592">
        <f>1/(1+EXP(-MAX(-25,MIN(25,D592))))</f>
        <v/>
      </c>
      <c r="F592">
        <f>SUMPRODUCT(Risk_Inputs!B592:AJ592,Risk_Coefs!$B$3:$AJ$3)</f>
        <v/>
      </c>
      <c r="G592">
        <f>MAX(0,F592)</f>
        <v/>
      </c>
      <c r="H592">
        <f>(SUMPRODUCT(--ISNUMBER($E$2:$E$800),--($E$2:$E$800&lt;E592))+(SUMPRODUCT(--ISNUMBER($E$2:$E$800),--($E$2:$E$800=E592))+1)/2)/COUNT($E$2:$E$800)</f>
        <v/>
      </c>
      <c r="I592">
        <f>(SUMPRODUCT(--ISNUMBER($G$2:$G$800),--($G$2:$G$800&lt;G592))+(SUMPRODUCT(--ISNUMBER($G$2:$G$800),--($G$2:$G$800=G592))+1)/2)/COUNT($G$2:$G$800)</f>
        <v/>
      </c>
      <c r="J592" t="n">
        <v>3.678691947569691</v>
      </c>
      <c r="K592" t="n">
        <v>1.755241345685024</v>
      </c>
      <c r="L592" t="n">
        <v>0.2112790508694871</v>
      </c>
      <c r="M592">
        <f>IF(OR(B592="NW",COUNT(Risk_Rank_Keys!B592)=0),0.5,(SUMPRODUCT(--ISNUMBER(Risk_Rank_Keys!$B$2:$B$800),--(Risk_Rank_Keys!$B$2:$B$800&lt;Risk_Rank_Keys!B592))+(SUMPRODUCT(--ISNUMBER(Risk_Rank_Keys!$B$2:$B$800),--(Risk_Rank_Keys!$B$2:$B$800=Risk_Rank_Keys!B592))+1)/2)/COUNT(Risk_Rank_Keys!$B$2:$B$800))</f>
        <v/>
      </c>
      <c r="N592">
        <f>IF(OR(B592="NW",COUNT(Risk_Rank_Keys!C592)=0),0.5,(SUMPRODUCT(--ISNUMBER(Risk_Rank_Keys!$C$2:$C$800),--(Risk_Rank_Keys!$C$2:$C$800&lt;Risk_Rank_Keys!C592))+(SUMPRODUCT(--ISNUMBER(Risk_Rank_Keys!$C$2:$C$800),--(Risk_Rank_Keys!$C$2:$C$800=Risk_Rank_Keys!C592))+1)/2)/COUNT(Risk_Rank_Keys!$C$2:$C$800))</f>
        <v/>
      </c>
      <c r="O592">
        <f>IF(OR(B592="NW",COUNT(Risk_Rank_Keys!D592)=0),0.5,(SUMPRODUCT(--ISNUMBER(Risk_Rank_Keys!$D$2:$D$800),--(Risk_Rank_Keys!$D$2:$D$800&lt;Risk_Rank_Keys!D592))+(SUMPRODUCT(--ISNUMBER(Risk_Rank_Keys!$D$2:$D$800),--(Risk_Rank_Keys!$D$2:$D$800=Risk_Rank_Keys!D592))+1)/2)/COUNT(Risk_Rank_Keys!$D$2:$D$800))</f>
        <v/>
      </c>
      <c r="P592">
        <f>AVERAGE(M592:O592)</f>
        <v/>
      </c>
      <c r="Q592">
        <f>0.4*H592+0.4*I592+0.2*P592</f>
        <v/>
      </c>
      <c r="R592">
        <f>PERCENTILE($Q$2:$Q$800,0.75)</f>
        <v/>
      </c>
      <c r="S592">
        <f>OR(Q592&gt;=R592,AND(B592="CW",COUNT(J592:L592)&lt;3))</f>
        <v/>
      </c>
      <c r="T592" t="n">
        <v>0.2962148071617667</v>
      </c>
      <c r="U592" t="n">
        <v>6.460006652845291</v>
      </c>
      <c r="V592" t="n">
        <v>0.3983080896681057</v>
      </c>
      <c r="W592">
        <f>Q592-V592</f>
        <v/>
      </c>
    </row>
    <row r="593">
      <c r="A593" t="inlineStr">
        <is>
          <t>2024-12-04</t>
        </is>
      </c>
      <c r="B593" t="inlineStr">
        <is>
          <t>CW</t>
        </is>
      </c>
      <c r="C593" t="n">
        <v>-37.1142518967116</v>
      </c>
      <c r="D593">
        <f>SUMPRODUCT(Risk_Inputs!B593:AJ593,Risk_Coefs!$B$2:$AJ$2)</f>
        <v/>
      </c>
      <c r="E593">
        <f>1/(1+EXP(-MAX(-25,MIN(25,D593))))</f>
        <v/>
      </c>
      <c r="F593">
        <f>SUMPRODUCT(Risk_Inputs!B593:AJ593,Risk_Coefs!$B$3:$AJ$3)</f>
        <v/>
      </c>
      <c r="G593">
        <f>MAX(0,F593)</f>
        <v/>
      </c>
      <c r="H593">
        <f>(SUMPRODUCT(--ISNUMBER($E$2:$E$800),--($E$2:$E$800&lt;E593))+(SUMPRODUCT(--ISNUMBER($E$2:$E$800),--($E$2:$E$800=E593))+1)/2)/COUNT($E$2:$E$800)</f>
        <v/>
      </c>
      <c r="I593">
        <f>(SUMPRODUCT(--ISNUMBER($G$2:$G$800),--($G$2:$G$800&lt;G593))+(SUMPRODUCT(--ISNUMBER($G$2:$G$800),--($G$2:$G$800=G593))+1)/2)/COUNT($G$2:$G$800)</f>
        <v/>
      </c>
      <c r="J593" t="n">
        <v>8.998617485131829</v>
      </c>
      <c r="K593" t="n">
        <v>10.59803179409538</v>
      </c>
      <c r="L593" t="n">
        <v>0.2838758516275441</v>
      </c>
      <c r="M593">
        <f>IF(OR(B593="NW",COUNT(Risk_Rank_Keys!B593)=0),0.5,(SUMPRODUCT(--ISNUMBER(Risk_Rank_Keys!$B$2:$B$800),--(Risk_Rank_Keys!$B$2:$B$800&lt;Risk_Rank_Keys!B593))+(SUMPRODUCT(--ISNUMBER(Risk_Rank_Keys!$B$2:$B$800),--(Risk_Rank_Keys!$B$2:$B$800=Risk_Rank_Keys!B593))+1)/2)/COUNT(Risk_Rank_Keys!$B$2:$B$800))</f>
        <v/>
      </c>
      <c r="N593">
        <f>IF(OR(B593="NW",COUNT(Risk_Rank_Keys!C593)=0),0.5,(SUMPRODUCT(--ISNUMBER(Risk_Rank_Keys!$C$2:$C$800),--(Risk_Rank_Keys!$C$2:$C$800&lt;Risk_Rank_Keys!C593))+(SUMPRODUCT(--ISNUMBER(Risk_Rank_Keys!$C$2:$C$800),--(Risk_Rank_Keys!$C$2:$C$800=Risk_Rank_Keys!C593))+1)/2)/COUNT(Risk_Rank_Keys!$C$2:$C$800))</f>
        <v/>
      </c>
      <c r="O593">
        <f>IF(OR(B593="NW",COUNT(Risk_Rank_Keys!D593)=0),0.5,(SUMPRODUCT(--ISNUMBER(Risk_Rank_Keys!$D$2:$D$800),--(Risk_Rank_Keys!$D$2:$D$800&lt;Risk_Rank_Keys!D593))+(SUMPRODUCT(--ISNUMBER(Risk_Rank_Keys!$D$2:$D$800),--(Risk_Rank_Keys!$D$2:$D$800=Risk_Rank_Keys!D593))+1)/2)/COUNT(Risk_Rank_Keys!$D$2:$D$800))</f>
        <v/>
      </c>
      <c r="P593">
        <f>AVERAGE(M593:O593)</f>
        <v/>
      </c>
      <c r="Q593">
        <f>0.4*H593+0.4*I593+0.2*P593</f>
        <v/>
      </c>
      <c r="R593">
        <f>PERCENTILE($Q$2:$Q$800,0.75)</f>
        <v/>
      </c>
      <c r="S593">
        <f>OR(Q593&gt;=R593,AND(B593="CW",COUNT(J593:L593)&lt;3))</f>
        <v/>
      </c>
      <c r="T593" t="n">
        <v>0.2859481055506821</v>
      </c>
      <c r="U593" t="n">
        <v>8.316729586349895</v>
      </c>
      <c r="V593" t="n">
        <v>0.5681627836748516</v>
      </c>
      <c r="W593">
        <f>Q593-V593</f>
        <v/>
      </c>
    </row>
    <row r="594">
      <c r="A594" t="inlineStr">
        <is>
          <t>2024-12-05</t>
        </is>
      </c>
      <c r="B594" t="inlineStr">
        <is>
          <t>CW</t>
        </is>
      </c>
      <c r="C594" t="n">
        <v>-39.26889078590381</v>
      </c>
      <c r="D594">
        <f>SUMPRODUCT(Risk_Inputs!B594:AJ594,Risk_Coefs!$B$2:$AJ$2)</f>
        <v/>
      </c>
      <c r="E594">
        <f>1/(1+EXP(-MAX(-25,MIN(25,D594))))</f>
        <v/>
      </c>
      <c r="F594">
        <f>SUMPRODUCT(Risk_Inputs!B594:AJ594,Risk_Coefs!$B$3:$AJ$3)</f>
        <v/>
      </c>
      <c r="G594">
        <f>MAX(0,F594)</f>
        <v/>
      </c>
      <c r="H594">
        <f>(SUMPRODUCT(--ISNUMBER($E$2:$E$800),--($E$2:$E$800&lt;E594))+(SUMPRODUCT(--ISNUMBER($E$2:$E$800),--($E$2:$E$800=E594))+1)/2)/COUNT($E$2:$E$800)</f>
        <v/>
      </c>
      <c r="I594">
        <f>(SUMPRODUCT(--ISNUMBER($G$2:$G$800),--($G$2:$G$800&lt;G594))+(SUMPRODUCT(--ISNUMBER($G$2:$G$800),--($G$2:$G$800=G594))+1)/2)/COUNT($G$2:$G$800)</f>
        <v/>
      </c>
      <c r="J594" t="n">
        <v>12.63941127705047</v>
      </c>
      <c r="K594" t="n">
        <v>11.91001323334804</v>
      </c>
      <c r="L594" t="n">
        <v>0.3528892809880887</v>
      </c>
      <c r="M594">
        <f>IF(OR(B594="NW",COUNT(Risk_Rank_Keys!B594)=0),0.5,(SUMPRODUCT(--ISNUMBER(Risk_Rank_Keys!$B$2:$B$800),--(Risk_Rank_Keys!$B$2:$B$800&lt;Risk_Rank_Keys!B594))+(SUMPRODUCT(--ISNUMBER(Risk_Rank_Keys!$B$2:$B$800),--(Risk_Rank_Keys!$B$2:$B$800=Risk_Rank_Keys!B594))+1)/2)/COUNT(Risk_Rank_Keys!$B$2:$B$800))</f>
        <v/>
      </c>
      <c r="N594">
        <f>IF(OR(B594="NW",COUNT(Risk_Rank_Keys!C594)=0),0.5,(SUMPRODUCT(--ISNUMBER(Risk_Rank_Keys!$C$2:$C$800),--(Risk_Rank_Keys!$C$2:$C$800&lt;Risk_Rank_Keys!C594))+(SUMPRODUCT(--ISNUMBER(Risk_Rank_Keys!$C$2:$C$800),--(Risk_Rank_Keys!$C$2:$C$800=Risk_Rank_Keys!C594))+1)/2)/COUNT(Risk_Rank_Keys!$C$2:$C$800))</f>
        <v/>
      </c>
      <c r="O594">
        <f>IF(OR(B594="NW",COUNT(Risk_Rank_Keys!D594)=0),0.5,(SUMPRODUCT(--ISNUMBER(Risk_Rank_Keys!$D$2:$D$800),--(Risk_Rank_Keys!$D$2:$D$800&lt;Risk_Rank_Keys!D594))+(SUMPRODUCT(--ISNUMBER(Risk_Rank_Keys!$D$2:$D$800),--(Risk_Rank_Keys!$D$2:$D$800=Risk_Rank_Keys!D594))+1)/2)/COUNT(Risk_Rank_Keys!$D$2:$D$800))</f>
        <v/>
      </c>
      <c r="P594">
        <f>AVERAGE(M594:O594)</f>
        <v/>
      </c>
      <c r="Q594">
        <f>0.4*H594+0.4*I594+0.2*P594</f>
        <v/>
      </c>
      <c r="R594">
        <f>PERCENTILE($Q$2:$Q$800,0.75)</f>
        <v/>
      </c>
      <c r="S594">
        <f>OR(Q594&gt;=R594,AND(B594="CW",COUNT(J594:L594)&lt;3))</f>
        <v/>
      </c>
      <c r="T594" t="n">
        <v>0.2799436219434661</v>
      </c>
      <c r="U594" t="n">
        <v>11.03988122396852</v>
      </c>
      <c r="V594" t="n">
        <v>0.6949942658448585</v>
      </c>
      <c r="W594">
        <f>Q594-V594</f>
        <v/>
      </c>
    </row>
    <row r="595">
      <c r="A595" t="inlineStr">
        <is>
          <t>2024-12-06</t>
        </is>
      </c>
      <c r="B595" t="inlineStr">
        <is>
          <t>CW</t>
        </is>
      </c>
      <c r="C595" t="n">
        <v>38.1371782673783</v>
      </c>
      <c r="D595">
        <f>SUMPRODUCT(Risk_Inputs!B595:AJ595,Risk_Coefs!$B$2:$AJ$2)</f>
        <v/>
      </c>
      <c r="E595">
        <f>1/(1+EXP(-MAX(-25,MIN(25,D595))))</f>
        <v/>
      </c>
      <c r="F595">
        <f>SUMPRODUCT(Risk_Inputs!B595:AJ595,Risk_Coefs!$B$3:$AJ$3)</f>
        <v/>
      </c>
      <c r="G595">
        <f>MAX(0,F595)</f>
        <v/>
      </c>
      <c r="H595">
        <f>(SUMPRODUCT(--ISNUMBER($E$2:$E$800),--($E$2:$E$800&lt;E595))+(SUMPRODUCT(--ISNUMBER($E$2:$E$800),--($E$2:$E$800=E595))+1)/2)/COUNT($E$2:$E$800)</f>
        <v/>
      </c>
      <c r="I595">
        <f>(SUMPRODUCT(--ISNUMBER($G$2:$G$800),--($G$2:$G$800&lt;G595))+(SUMPRODUCT(--ISNUMBER($G$2:$G$800),--($G$2:$G$800=G595))+1)/2)/COUNT($G$2:$G$800)</f>
        <v/>
      </c>
      <c r="J595" t="n">
        <v>8.643479739441466</v>
      </c>
      <c r="K595" t="n">
        <v>5.837941301573796</v>
      </c>
      <c r="L595" t="n">
        <v>0.1807741386643969</v>
      </c>
      <c r="M595">
        <f>IF(OR(B595="NW",COUNT(Risk_Rank_Keys!B595)=0),0.5,(SUMPRODUCT(--ISNUMBER(Risk_Rank_Keys!$B$2:$B$800),--(Risk_Rank_Keys!$B$2:$B$800&lt;Risk_Rank_Keys!B595))+(SUMPRODUCT(--ISNUMBER(Risk_Rank_Keys!$B$2:$B$800),--(Risk_Rank_Keys!$B$2:$B$800=Risk_Rank_Keys!B595))+1)/2)/COUNT(Risk_Rank_Keys!$B$2:$B$800))</f>
        <v/>
      </c>
      <c r="N595">
        <f>IF(OR(B595="NW",COUNT(Risk_Rank_Keys!C595)=0),0.5,(SUMPRODUCT(--ISNUMBER(Risk_Rank_Keys!$C$2:$C$800),--(Risk_Rank_Keys!$C$2:$C$800&lt;Risk_Rank_Keys!C595))+(SUMPRODUCT(--ISNUMBER(Risk_Rank_Keys!$C$2:$C$800),--(Risk_Rank_Keys!$C$2:$C$800=Risk_Rank_Keys!C595))+1)/2)/COUNT(Risk_Rank_Keys!$C$2:$C$800))</f>
        <v/>
      </c>
      <c r="O595">
        <f>IF(OR(B595="NW",COUNT(Risk_Rank_Keys!D595)=0),0.5,(SUMPRODUCT(--ISNUMBER(Risk_Rank_Keys!$D$2:$D$800),--(Risk_Rank_Keys!$D$2:$D$800&lt;Risk_Rank_Keys!D595))+(SUMPRODUCT(--ISNUMBER(Risk_Rank_Keys!$D$2:$D$800),--(Risk_Rank_Keys!$D$2:$D$800=Risk_Rank_Keys!D595))+1)/2)/COUNT(Risk_Rank_Keys!$D$2:$D$800))</f>
        <v/>
      </c>
      <c r="P595">
        <f>AVERAGE(M595:O595)</f>
        <v/>
      </c>
      <c r="Q595">
        <f>0.4*H595+0.4*I595+0.2*P595</f>
        <v/>
      </c>
      <c r="R595">
        <f>PERCENTILE($Q$2:$Q$800,0.75)</f>
        <v/>
      </c>
      <c r="S595">
        <f>OR(Q595&gt;=R595,AND(B595="CW",COUNT(J595:L595)&lt;3))</f>
        <v/>
      </c>
      <c r="T595" t="n">
        <v>0.1902663321045016</v>
      </c>
      <c r="U595" t="n">
        <v>4.988064951131993</v>
      </c>
      <c r="V595" t="n">
        <v>0.1815692442144964</v>
      </c>
      <c r="W595">
        <f>Q595-V595</f>
        <v/>
      </c>
    </row>
    <row r="596">
      <c r="A596" t="inlineStr">
        <is>
          <t>2024-12-09</t>
        </is>
      </c>
      <c r="B596" t="inlineStr">
        <is>
          <t>CW</t>
        </is>
      </c>
      <c r="C596" t="n">
        <v>45.63786097214568</v>
      </c>
      <c r="D596">
        <f>SUMPRODUCT(Risk_Inputs!B596:AJ596,Risk_Coefs!$B$2:$AJ$2)</f>
        <v/>
      </c>
      <c r="E596">
        <f>1/(1+EXP(-MAX(-25,MIN(25,D596))))</f>
        <v/>
      </c>
      <c r="F596">
        <f>SUMPRODUCT(Risk_Inputs!B596:AJ596,Risk_Coefs!$B$3:$AJ$3)</f>
        <v/>
      </c>
      <c r="G596">
        <f>MAX(0,F596)</f>
        <v/>
      </c>
      <c r="H596">
        <f>(SUMPRODUCT(--ISNUMBER($E$2:$E$800),--($E$2:$E$800&lt;E596))+(SUMPRODUCT(--ISNUMBER($E$2:$E$800),--($E$2:$E$800=E596))+1)/2)/COUNT($E$2:$E$800)</f>
        <v/>
      </c>
      <c r="I596">
        <f>(SUMPRODUCT(--ISNUMBER($G$2:$G$800),--($G$2:$G$800&lt;G596))+(SUMPRODUCT(--ISNUMBER($G$2:$G$800),--($G$2:$G$800=G596))+1)/2)/COUNT($G$2:$G$800)</f>
        <v/>
      </c>
      <c r="J596" t="n">
        <v>4.318515890312866</v>
      </c>
      <c r="K596" t="n">
        <v>1.760363429869373</v>
      </c>
      <c r="L596" t="n">
        <v>0.2271436683702393</v>
      </c>
      <c r="M596">
        <f>IF(OR(B596="NW",COUNT(Risk_Rank_Keys!B596)=0),0.5,(SUMPRODUCT(--ISNUMBER(Risk_Rank_Keys!$B$2:$B$800),--(Risk_Rank_Keys!$B$2:$B$800&lt;Risk_Rank_Keys!B596))+(SUMPRODUCT(--ISNUMBER(Risk_Rank_Keys!$B$2:$B$800),--(Risk_Rank_Keys!$B$2:$B$800=Risk_Rank_Keys!B596))+1)/2)/COUNT(Risk_Rank_Keys!$B$2:$B$800))</f>
        <v/>
      </c>
      <c r="N596">
        <f>IF(OR(B596="NW",COUNT(Risk_Rank_Keys!C596)=0),0.5,(SUMPRODUCT(--ISNUMBER(Risk_Rank_Keys!$C$2:$C$800),--(Risk_Rank_Keys!$C$2:$C$800&lt;Risk_Rank_Keys!C596))+(SUMPRODUCT(--ISNUMBER(Risk_Rank_Keys!$C$2:$C$800),--(Risk_Rank_Keys!$C$2:$C$800=Risk_Rank_Keys!C596))+1)/2)/COUNT(Risk_Rank_Keys!$C$2:$C$800))</f>
        <v/>
      </c>
      <c r="O596">
        <f>IF(OR(B596="NW",COUNT(Risk_Rank_Keys!D596)=0),0.5,(SUMPRODUCT(--ISNUMBER(Risk_Rank_Keys!$D$2:$D$800),--(Risk_Rank_Keys!$D$2:$D$800&lt;Risk_Rank_Keys!D596))+(SUMPRODUCT(--ISNUMBER(Risk_Rank_Keys!$D$2:$D$800),--(Risk_Rank_Keys!$D$2:$D$800=Risk_Rank_Keys!D596))+1)/2)/COUNT(Risk_Rank_Keys!$D$2:$D$800))</f>
        <v/>
      </c>
      <c r="P596">
        <f>AVERAGE(M596:O596)</f>
        <v/>
      </c>
      <c r="Q596">
        <f>0.4*H596+0.4*I596+0.2*P596</f>
        <v/>
      </c>
      <c r="R596">
        <f>PERCENTILE($Q$2:$Q$800,0.75)</f>
        <v/>
      </c>
      <c r="S596">
        <f>OR(Q596&gt;=R596,AND(B596="CW",COUNT(J596:L596)&lt;3))</f>
        <v/>
      </c>
      <c r="T596" t="n">
        <v>0.2775242814035483</v>
      </c>
      <c r="U596" t="n">
        <v>5.593638120506901</v>
      </c>
      <c r="V596" t="n">
        <v>0.3175291755326422</v>
      </c>
      <c r="W596">
        <f>Q596-V596</f>
        <v/>
      </c>
    </row>
    <row r="597">
      <c r="A597" t="inlineStr">
        <is>
          <t>2024-12-10</t>
        </is>
      </c>
      <c r="B597" t="inlineStr">
        <is>
          <t>CW</t>
        </is>
      </c>
      <c r="C597" t="n">
        <v>31.50284681887258</v>
      </c>
      <c r="D597">
        <f>SUMPRODUCT(Risk_Inputs!B597:AJ597,Risk_Coefs!$B$2:$AJ$2)</f>
        <v/>
      </c>
      <c r="E597">
        <f>1/(1+EXP(-MAX(-25,MIN(25,D597))))</f>
        <v/>
      </c>
      <c r="F597">
        <f>SUMPRODUCT(Risk_Inputs!B597:AJ597,Risk_Coefs!$B$3:$AJ$3)</f>
        <v/>
      </c>
      <c r="G597">
        <f>MAX(0,F597)</f>
        <v/>
      </c>
      <c r="H597">
        <f>(SUMPRODUCT(--ISNUMBER($E$2:$E$800),--($E$2:$E$800&lt;E597))+(SUMPRODUCT(--ISNUMBER($E$2:$E$800),--($E$2:$E$800=E597))+1)/2)/COUNT($E$2:$E$800)</f>
        <v/>
      </c>
      <c r="I597">
        <f>(SUMPRODUCT(--ISNUMBER($G$2:$G$800),--($G$2:$G$800&lt;G597))+(SUMPRODUCT(--ISNUMBER($G$2:$G$800),--($G$2:$G$800=G597))+1)/2)/COUNT($G$2:$G$800)</f>
        <v/>
      </c>
      <c r="J597" t="n">
        <v>4.001267406529655</v>
      </c>
      <c r="K597" t="n">
        <v>2.215076813147549</v>
      </c>
      <c r="L597" t="n">
        <v>0.2500893176134293</v>
      </c>
      <c r="M597">
        <f>IF(OR(B597="NW",COUNT(Risk_Rank_Keys!B597)=0),0.5,(SUMPRODUCT(--ISNUMBER(Risk_Rank_Keys!$B$2:$B$800),--(Risk_Rank_Keys!$B$2:$B$800&lt;Risk_Rank_Keys!B597))+(SUMPRODUCT(--ISNUMBER(Risk_Rank_Keys!$B$2:$B$800),--(Risk_Rank_Keys!$B$2:$B$800=Risk_Rank_Keys!B597))+1)/2)/COUNT(Risk_Rank_Keys!$B$2:$B$800))</f>
        <v/>
      </c>
      <c r="N597">
        <f>IF(OR(B597="NW",COUNT(Risk_Rank_Keys!C597)=0),0.5,(SUMPRODUCT(--ISNUMBER(Risk_Rank_Keys!$C$2:$C$800),--(Risk_Rank_Keys!$C$2:$C$800&lt;Risk_Rank_Keys!C597))+(SUMPRODUCT(--ISNUMBER(Risk_Rank_Keys!$C$2:$C$800),--(Risk_Rank_Keys!$C$2:$C$800=Risk_Rank_Keys!C597))+1)/2)/COUNT(Risk_Rank_Keys!$C$2:$C$800))</f>
        <v/>
      </c>
      <c r="O597">
        <f>IF(OR(B597="NW",COUNT(Risk_Rank_Keys!D597)=0),0.5,(SUMPRODUCT(--ISNUMBER(Risk_Rank_Keys!$D$2:$D$800),--(Risk_Rank_Keys!$D$2:$D$800&lt;Risk_Rank_Keys!D597))+(SUMPRODUCT(--ISNUMBER(Risk_Rank_Keys!$D$2:$D$800),--(Risk_Rank_Keys!$D$2:$D$800=Risk_Rank_Keys!D597))+1)/2)/COUNT(Risk_Rank_Keys!$D$2:$D$800))</f>
        <v/>
      </c>
      <c r="P597">
        <f>AVERAGE(M597:O597)</f>
        <v/>
      </c>
      <c r="Q597">
        <f>0.4*H597+0.4*I597+0.2*P597</f>
        <v/>
      </c>
      <c r="R597">
        <f>PERCENTILE($Q$2:$Q$800,0.75)</f>
        <v/>
      </c>
      <c r="S597">
        <f>OR(Q597&gt;=R597,AND(B597="CW",COUNT(J597:L597)&lt;3))</f>
        <v/>
      </c>
      <c r="T597" t="n">
        <v>0.2567840779122893</v>
      </c>
      <c r="U597" t="n">
        <v>5.407472016921279</v>
      </c>
      <c r="V597" t="n">
        <v>0.2629261704978736</v>
      </c>
      <c r="W597">
        <f>Q597-V597</f>
        <v/>
      </c>
    </row>
    <row r="598">
      <c r="A598" t="inlineStr">
        <is>
          <t>2024-12-11</t>
        </is>
      </c>
      <c r="B598" t="inlineStr">
        <is>
          <t>CW</t>
        </is>
      </c>
      <c r="C598" t="n">
        <v>47.42479416699496</v>
      </c>
      <c r="D598">
        <f>SUMPRODUCT(Risk_Inputs!B598:AJ598,Risk_Coefs!$B$2:$AJ$2)</f>
        <v/>
      </c>
      <c r="E598">
        <f>1/(1+EXP(-MAX(-25,MIN(25,D598))))</f>
        <v/>
      </c>
      <c r="F598">
        <f>SUMPRODUCT(Risk_Inputs!B598:AJ598,Risk_Coefs!$B$3:$AJ$3)</f>
        <v/>
      </c>
      <c r="G598">
        <f>MAX(0,F598)</f>
        <v/>
      </c>
      <c r="H598">
        <f>(SUMPRODUCT(--ISNUMBER($E$2:$E$800),--($E$2:$E$800&lt;E598))+(SUMPRODUCT(--ISNUMBER($E$2:$E$800),--($E$2:$E$800=E598))+1)/2)/COUNT($E$2:$E$800)</f>
        <v/>
      </c>
      <c r="I598">
        <f>(SUMPRODUCT(--ISNUMBER($G$2:$G$800),--($G$2:$G$800&lt;G598))+(SUMPRODUCT(--ISNUMBER($G$2:$G$800),--($G$2:$G$800=G598))+1)/2)/COUNT($G$2:$G$800)</f>
        <v/>
      </c>
      <c r="J598" t="n">
        <v>3.048588401948805</v>
      </c>
      <c r="K598" t="n">
        <v>3.875586274993826</v>
      </c>
      <c r="L598" t="n">
        <v>0.2468526289804986</v>
      </c>
      <c r="M598">
        <f>IF(OR(B598="NW",COUNT(Risk_Rank_Keys!B598)=0),0.5,(SUMPRODUCT(--ISNUMBER(Risk_Rank_Keys!$B$2:$B$800),--(Risk_Rank_Keys!$B$2:$B$800&lt;Risk_Rank_Keys!B598))+(SUMPRODUCT(--ISNUMBER(Risk_Rank_Keys!$B$2:$B$800),--(Risk_Rank_Keys!$B$2:$B$800=Risk_Rank_Keys!B598))+1)/2)/COUNT(Risk_Rank_Keys!$B$2:$B$800))</f>
        <v/>
      </c>
      <c r="N598">
        <f>IF(OR(B598="NW",COUNT(Risk_Rank_Keys!C598)=0),0.5,(SUMPRODUCT(--ISNUMBER(Risk_Rank_Keys!$C$2:$C$800),--(Risk_Rank_Keys!$C$2:$C$800&lt;Risk_Rank_Keys!C598))+(SUMPRODUCT(--ISNUMBER(Risk_Rank_Keys!$C$2:$C$800),--(Risk_Rank_Keys!$C$2:$C$800=Risk_Rank_Keys!C598))+1)/2)/COUNT(Risk_Rank_Keys!$C$2:$C$800))</f>
        <v/>
      </c>
      <c r="O598">
        <f>IF(OR(B598="NW",COUNT(Risk_Rank_Keys!D598)=0),0.5,(SUMPRODUCT(--ISNUMBER(Risk_Rank_Keys!$D$2:$D$800),--(Risk_Rank_Keys!$D$2:$D$800&lt;Risk_Rank_Keys!D598))+(SUMPRODUCT(--ISNUMBER(Risk_Rank_Keys!$D$2:$D$800),--(Risk_Rank_Keys!$D$2:$D$800=Risk_Rank_Keys!D598))+1)/2)/COUNT(Risk_Rank_Keys!$D$2:$D$800))</f>
        <v/>
      </c>
      <c r="P598">
        <f>AVERAGE(M598:O598)</f>
        <v/>
      </c>
      <c r="Q598">
        <f>0.4*H598+0.4*I598+0.2*P598</f>
        <v/>
      </c>
      <c r="R598">
        <f>PERCENTILE($Q$2:$Q$800,0.75)</f>
        <v/>
      </c>
      <c r="S598">
        <f>OR(Q598&gt;=R598,AND(B598="CW",COUNT(J598:L598)&lt;3))</f>
        <v/>
      </c>
      <c r="T598" t="n">
        <v>0.2733395864561752</v>
      </c>
      <c r="U598" t="n">
        <v>7.175186638011863</v>
      </c>
      <c r="V598" t="n">
        <v>0.4190866197810025</v>
      </c>
      <c r="W598">
        <f>Q598-V598</f>
        <v/>
      </c>
    </row>
    <row r="599">
      <c r="A599" t="inlineStr">
        <is>
          <t>2024-12-13</t>
        </is>
      </c>
      <c r="B599" t="inlineStr">
        <is>
          <t>CW</t>
        </is>
      </c>
      <c r="C599" t="n">
        <v>-36.8020016177112</v>
      </c>
      <c r="D599">
        <f>SUMPRODUCT(Risk_Inputs!B599:AJ599,Risk_Coefs!$B$2:$AJ$2)</f>
        <v/>
      </c>
      <c r="E599">
        <f>1/(1+EXP(-MAX(-25,MIN(25,D599))))</f>
        <v/>
      </c>
      <c r="F599">
        <f>SUMPRODUCT(Risk_Inputs!B599:AJ599,Risk_Coefs!$B$3:$AJ$3)</f>
        <v/>
      </c>
      <c r="G599">
        <f>MAX(0,F599)</f>
        <v/>
      </c>
      <c r="H599">
        <f>(SUMPRODUCT(--ISNUMBER($E$2:$E$800),--($E$2:$E$800&lt;E599))+(SUMPRODUCT(--ISNUMBER($E$2:$E$800),--($E$2:$E$800=E599))+1)/2)/COUNT($E$2:$E$800)</f>
        <v/>
      </c>
      <c r="I599">
        <f>(SUMPRODUCT(--ISNUMBER($G$2:$G$800),--($G$2:$G$800&lt;G599))+(SUMPRODUCT(--ISNUMBER($G$2:$G$800),--($G$2:$G$800=G599))+1)/2)/COUNT($G$2:$G$800)</f>
        <v/>
      </c>
      <c r="J599" t="n">
        <v>30.68554150295948</v>
      </c>
      <c r="K599" t="n">
        <v>3.694472951180185</v>
      </c>
      <c r="L599" t="n">
        <v>0.2492303181351691</v>
      </c>
      <c r="M599">
        <f>IF(OR(B599="NW",COUNT(Risk_Rank_Keys!B599)=0),0.5,(SUMPRODUCT(--ISNUMBER(Risk_Rank_Keys!$B$2:$B$800),--(Risk_Rank_Keys!$B$2:$B$800&lt;Risk_Rank_Keys!B599))+(SUMPRODUCT(--ISNUMBER(Risk_Rank_Keys!$B$2:$B$800),--(Risk_Rank_Keys!$B$2:$B$800=Risk_Rank_Keys!B599))+1)/2)/COUNT(Risk_Rank_Keys!$B$2:$B$800))</f>
        <v/>
      </c>
      <c r="N599">
        <f>IF(OR(B599="NW",COUNT(Risk_Rank_Keys!C599)=0),0.5,(SUMPRODUCT(--ISNUMBER(Risk_Rank_Keys!$C$2:$C$800),--(Risk_Rank_Keys!$C$2:$C$800&lt;Risk_Rank_Keys!C599))+(SUMPRODUCT(--ISNUMBER(Risk_Rank_Keys!$C$2:$C$800),--(Risk_Rank_Keys!$C$2:$C$800=Risk_Rank_Keys!C599))+1)/2)/COUNT(Risk_Rank_Keys!$C$2:$C$800))</f>
        <v/>
      </c>
      <c r="O599">
        <f>IF(OR(B599="NW",COUNT(Risk_Rank_Keys!D599)=0),0.5,(SUMPRODUCT(--ISNUMBER(Risk_Rank_Keys!$D$2:$D$800),--(Risk_Rank_Keys!$D$2:$D$800&lt;Risk_Rank_Keys!D599))+(SUMPRODUCT(--ISNUMBER(Risk_Rank_Keys!$D$2:$D$800),--(Risk_Rank_Keys!$D$2:$D$800=Risk_Rank_Keys!D599))+1)/2)/COUNT(Risk_Rank_Keys!$D$2:$D$800))</f>
        <v/>
      </c>
      <c r="P599">
        <f>AVERAGE(M599:O599)</f>
        <v/>
      </c>
      <c r="Q599">
        <f>0.4*H599+0.4*I599+0.2*P599</f>
        <v/>
      </c>
      <c r="R599">
        <f>PERCENTILE($Q$2:$Q$800,0.75)</f>
        <v/>
      </c>
      <c r="S599">
        <f>OR(Q599&gt;=R599,AND(B599="CW",COUNT(J599:L599)&lt;3))</f>
        <v/>
      </c>
      <c r="T599" t="n">
        <v>0.2054673888535168</v>
      </c>
      <c r="U599" t="n">
        <v>5.353362669997402</v>
      </c>
      <c r="V599" t="n">
        <v>0.2549570040188543</v>
      </c>
      <c r="W599">
        <f>Q599-V599</f>
        <v/>
      </c>
    </row>
    <row r="600">
      <c r="A600" t="inlineStr">
        <is>
          <t>2024-12-17</t>
        </is>
      </c>
      <c r="B600" t="inlineStr">
        <is>
          <t>CW</t>
        </is>
      </c>
      <c r="C600" t="n">
        <v>-35.67762886138033</v>
      </c>
      <c r="D600">
        <f>SUMPRODUCT(Risk_Inputs!B600:AJ600,Risk_Coefs!$B$2:$AJ$2)</f>
        <v/>
      </c>
      <c r="E600">
        <f>1/(1+EXP(-MAX(-25,MIN(25,D600))))</f>
        <v/>
      </c>
      <c r="F600">
        <f>SUMPRODUCT(Risk_Inputs!B600:AJ600,Risk_Coefs!$B$3:$AJ$3)</f>
        <v/>
      </c>
      <c r="G600">
        <f>MAX(0,F600)</f>
        <v/>
      </c>
      <c r="H600">
        <f>(SUMPRODUCT(--ISNUMBER($E$2:$E$800),--($E$2:$E$800&lt;E600))+(SUMPRODUCT(--ISNUMBER($E$2:$E$800),--($E$2:$E$800=E600))+1)/2)/COUNT($E$2:$E$800)</f>
        <v/>
      </c>
      <c r="I600">
        <f>(SUMPRODUCT(--ISNUMBER($G$2:$G$800),--($G$2:$G$800&lt;G600))+(SUMPRODUCT(--ISNUMBER($G$2:$G$800),--($G$2:$G$800=G600))+1)/2)/COUNT($G$2:$G$800)</f>
        <v/>
      </c>
      <c r="J600" t="n">
        <v>5.934826660378952</v>
      </c>
      <c r="K600" t="n">
        <v>2.315622521808074</v>
      </c>
      <c r="L600" t="n">
        <v>0.0951625693893681</v>
      </c>
      <c r="M600">
        <f>IF(OR(B600="NW",COUNT(Risk_Rank_Keys!B600)=0),0.5,(SUMPRODUCT(--ISNUMBER(Risk_Rank_Keys!$B$2:$B$800),--(Risk_Rank_Keys!$B$2:$B$800&lt;Risk_Rank_Keys!B600))+(SUMPRODUCT(--ISNUMBER(Risk_Rank_Keys!$B$2:$B$800),--(Risk_Rank_Keys!$B$2:$B$800=Risk_Rank_Keys!B600))+1)/2)/COUNT(Risk_Rank_Keys!$B$2:$B$800))</f>
        <v/>
      </c>
      <c r="N600">
        <f>IF(OR(B600="NW",COUNT(Risk_Rank_Keys!C600)=0),0.5,(SUMPRODUCT(--ISNUMBER(Risk_Rank_Keys!$C$2:$C$800),--(Risk_Rank_Keys!$C$2:$C$800&lt;Risk_Rank_Keys!C600))+(SUMPRODUCT(--ISNUMBER(Risk_Rank_Keys!$C$2:$C$800),--(Risk_Rank_Keys!$C$2:$C$800=Risk_Rank_Keys!C600))+1)/2)/COUNT(Risk_Rank_Keys!$C$2:$C$800))</f>
        <v/>
      </c>
      <c r="O600">
        <f>IF(OR(B600="NW",COUNT(Risk_Rank_Keys!D600)=0),0.5,(SUMPRODUCT(--ISNUMBER(Risk_Rank_Keys!$D$2:$D$800),--(Risk_Rank_Keys!$D$2:$D$800&lt;Risk_Rank_Keys!D600))+(SUMPRODUCT(--ISNUMBER(Risk_Rank_Keys!$D$2:$D$800),--(Risk_Rank_Keys!$D$2:$D$800=Risk_Rank_Keys!D600))+1)/2)/COUNT(Risk_Rank_Keys!$D$2:$D$800))</f>
        <v/>
      </c>
      <c r="P600">
        <f>AVERAGE(M600:O600)</f>
        <v/>
      </c>
      <c r="Q600">
        <f>0.4*H600+0.4*I600+0.2*P600</f>
        <v/>
      </c>
      <c r="R600">
        <f>PERCENTILE($Q$2:$Q$800,0.75)</f>
        <v/>
      </c>
      <c r="S600">
        <f>OR(Q600&gt;=R600,AND(B600="CW",COUNT(J600:L600)&lt;3))</f>
        <v/>
      </c>
      <c r="T600" t="n">
        <v>0.3469761556562591</v>
      </c>
      <c r="U600" t="n">
        <v>9.573907536641114</v>
      </c>
      <c r="V600" t="n">
        <v>0.6544493960081437</v>
      </c>
      <c r="W600">
        <f>Q600-V600</f>
        <v/>
      </c>
    </row>
    <row r="601">
      <c r="A601" t="inlineStr">
        <is>
          <t>2024-12-18</t>
        </is>
      </c>
      <c r="B601" t="inlineStr">
        <is>
          <t>CW</t>
        </is>
      </c>
      <c r="C601" t="n">
        <v>36.34703333061881</v>
      </c>
      <c r="D601">
        <f>SUMPRODUCT(Risk_Inputs!B601:AJ601,Risk_Coefs!$B$2:$AJ$2)</f>
        <v/>
      </c>
      <c r="E601">
        <f>1/(1+EXP(-MAX(-25,MIN(25,D601))))</f>
        <v/>
      </c>
      <c r="F601">
        <f>SUMPRODUCT(Risk_Inputs!B601:AJ601,Risk_Coefs!$B$3:$AJ$3)</f>
        <v/>
      </c>
      <c r="G601">
        <f>MAX(0,F601)</f>
        <v/>
      </c>
      <c r="H601">
        <f>(SUMPRODUCT(--ISNUMBER($E$2:$E$800),--($E$2:$E$800&lt;E601))+(SUMPRODUCT(--ISNUMBER($E$2:$E$800),--($E$2:$E$800=E601))+1)/2)/COUNT($E$2:$E$800)</f>
        <v/>
      </c>
      <c r="I601">
        <f>(SUMPRODUCT(--ISNUMBER($G$2:$G$800),--($G$2:$G$800&lt;G601))+(SUMPRODUCT(--ISNUMBER($G$2:$G$800),--($G$2:$G$800=G601))+1)/2)/COUNT($G$2:$G$800)</f>
        <v/>
      </c>
      <c r="J601" t="n">
        <v>6.314806472778884</v>
      </c>
      <c r="K601" t="n">
        <v>3.662524525833868</v>
      </c>
      <c r="L601" t="n">
        <v>0.1090037061260144</v>
      </c>
      <c r="M601">
        <f>IF(OR(B601="NW",COUNT(Risk_Rank_Keys!B601)=0),0.5,(SUMPRODUCT(--ISNUMBER(Risk_Rank_Keys!$B$2:$B$800),--(Risk_Rank_Keys!$B$2:$B$800&lt;Risk_Rank_Keys!B601))+(SUMPRODUCT(--ISNUMBER(Risk_Rank_Keys!$B$2:$B$800),--(Risk_Rank_Keys!$B$2:$B$800=Risk_Rank_Keys!B601))+1)/2)/COUNT(Risk_Rank_Keys!$B$2:$B$800))</f>
        <v/>
      </c>
      <c r="N601">
        <f>IF(OR(B601="NW",COUNT(Risk_Rank_Keys!C601)=0),0.5,(SUMPRODUCT(--ISNUMBER(Risk_Rank_Keys!$C$2:$C$800),--(Risk_Rank_Keys!$C$2:$C$800&lt;Risk_Rank_Keys!C601))+(SUMPRODUCT(--ISNUMBER(Risk_Rank_Keys!$C$2:$C$800),--(Risk_Rank_Keys!$C$2:$C$800=Risk_Rank_Keys!C601))+1)/2)/COUNT(Risk_Rank_Keys!$C$2:$C$800))</f>
        <v/>
      </c>
      <c r="O601">
        <f>IF(OR(B601="NW",COUNT(Risk_Rank_Keys!D601)=0),0.5,(SUMPRODUCT(--ISNUMBER(Risk_Rank_Keys!$D$2:$D$800),--(Risk_Rank_Keys!$D$2:$D$800&lt;Risk_Rank_Keys!D601))+(SUMPRODUCT(--ISNUMBER(Risk_Rank_Keys!$D$2:$D$800),--(Risk_Rank_Keys!$D$2:$D$800=Risk_Rank_Keys!D601))+1)/2)/COUNT(Risk_Rank_Keys!$D$2:$D$800))</f>
        <v/>
      </c>
      <c r="P601">
        <f>AVERAGE(M601:O601)</f>
        <v/>
      </c>
      <c r="Q601">
        <f>0.4*H601+0.4*I601+0.2*P601</f>
        <v/>
      </c>
      <c r="R601">
        <f>PERCENTILE($Q$2:$Q$800,0.75)</f>
        <v/>
      </c>
      <c r="S601">
        <f>OR(Q601&gt;=R601,AND(B601="CW",COUNT(J601:L601)&lt;3))</f>
        <v/>
      </c>
      <c r="T601" t="n">
        <v>0.3128226109768176</v>
      </c>
      <c r="U601" t="n">
        <v>7.570878895522728</v>
      </c>
      <c r="V601" t="n">
        <v>0.5039767864177037</v>
      </c>
      <c r="W601">
        <f>Q601-V601</f>
        <v/>
      </c>
    </row>
    <row r="602">
      <c r="A602" t="inlineStr">
        <is>
          <t>2024-12-19</t>
        </is>
      </c>
      <c r="B602" t="inlineStr">
        <is>
          <t>CW</t>
        </is>
      </c>
      <c r="C602" t="n">
        <v>73.61544879882123</v>
      </c>
      <c r="D602">
        <f>SUMPRODUCT(Risk_Inputs!B602:AJ602,Risk_Coefs!$B$2:$AJ$2)</f>
        <v/>
      </c>
      <c r="E602">
        <f>1/(1+EXP(-MAX(-25,MIN(25,D602))))</f>
        <v/>
      </c>
      <c r="F602">
        <f>SUMPRODUCT(Risk_Inputs!B602:AJ602,Risk_Coefs!$B$3:$AJ$3)</f>
        <v/>
      </c>
      <c r="G602">
        <f>MAX(0,F602)</f>
        <v/>
      </c>
      <c r="H602">
        <f>(SUMPRODUCT(--ISNUMBER($E$2:$E$800),--($E$2:$E$800&lt;E602))+(SUMPRODUCT(--ISNUMBER($E$2:$E$800),--($E$2:$E$800=E602))+1)/2)/COUNT($E$2:$E$800)</f>
        <v/>
      </c>
      <c r="I602">
        <f>(SUMPRODUCT(--ISNUMBER($G$2:$G$800),--($G$2:$G$800&lt;G602))+(SUMPRODUCT(--ISNUMBER($G$2:$G$800),--($G$2:$G$800=G602))+1)/2)/COUNT($G$2:$G$800)</f>
        <v/>
      </c>
      <c r="J602" t="n">
        <v>44.68998668897781</v>
      </c>
      <c r="K602" t="n">
        <v>38.4299640841457</v>
      </c>
      <c r="L602" t="n">
        <v>0.6670087224217532</v>
      </c>
      <c r="M602">
        <f>IF(OR(B602="NW",COUNT(Risk_Rank_Keys!B602)=0),0.5,(SUMPRODUCT(--ISNUMBER(Risk_Rank_Keys!$B$2:$B$800),--(Risk_Rank_Keys!$B$2:$B$800&lt;Risk_Rank_Keys!B602))+(SUMPRODUCT(--ISNUMBER(Risk_Rank_Keys!$B$2:$B$800),--(Risk_Rank_Keys!$B$2:$B$800=Risk_Rank_Keys!B602))+1)/2)/COUNT(Risk_Rank_Keys!$B$2:$B$800))</f>
        <v/>
      </c>
      <c r="N602">
        <f>IF(OR(B602="NW",COUNT(Risk_Rank_Keys!C602)=0),0.5,(SUMPRODUCT(--ISNUMBER(Risk_Rank_Keys!$C$2:$C$800),--(Risk_Rank_Keys!$C$2:$C$800&lt;Risk_Rank_Keys!C602))+(SUMPRODUCT(--ISNUMBER(Risk_Rank_Keys!$C$2:$C$800),--(Risk_Rank_Keys!$C$2:$C$800=Risk_Rank_Keys!C602))+1)/2)/COUNT(Risk_Rank_Keys!$C$2:$C$800))</f>
        <v/>
      </c>
      <c r="O602">
        <f>IF(OR(B602="NW",COUNT(Risk_Rank_Keys!D602)=0),0.5,(SUMPRODUCT(--ISNUMBER(Risk_Rank_Keys!$D$2:$D$800),--(Risk_Rank_Keys!$D$2:$D$800&lt;Risk_Rank_Keys!D602))+(SUMPRODUCT(--ISNUMBER(Risk_Rank_Keys!$D$2:$D$800),--(Risk_Rank_Keys!$D$2:$D$800=Risk_Rank_Keys!D602))+1)/2)/COUNT(Risk_Rank_Keys!$D$2:$D$800))</f>
        <v/>
      </c>
      <c r="P602">
        <f>AVERAGE(M602:O602)</f>
        <v/>
      </c>
      <c r="Q602">
        <f>0.4*H602+0.4*I602+0.2*P602</f>
        <v/>
      </c>
      <c r="R602">
        <f>PERCENTILE($Q$2:$Q$800,0.75)</f>
        <v/>
      </c>
      <c r="S602">
        <f>OR(Q602&gt;=R602,AND(B602="CW",COUNT(J602:L602)&lt;3))</f>
        <v/>
      </c>
      <c r="T602" t="n">
        <v>0.1364443725753042</v>
      </c>
      <c r="U602" t="n">
        <v>2.581060955291669</v>
      </c>
      <c r="V602" t="n">
        <v>0.2086677384387388</v>
      </c>
      <c r="W602">
        <f>Q602-V602</f>
        <v/>
      </c>
    </row>
    <row r="603">
      <c r="A603" t="inlineStr">
        <is>
          <t>2024-12-26</t>
        </is>
      </c>
      <c r="B603" t="inlineStr">
        <is>
          <t>CW</t>
        </is>
      </c>
      <c r="C603" t="n">
        <v>40.24068702326907</v>
      </c>
      <c r="D603">
        <f>SUMPRODUCT(Risk_Inputs!B603:AJ603,Risk_Coefs!$B$2:$AJ$2)</f>
        <v/>
      </c>
      <c r="E603">
        <f>1/(1+EXP(-MAX(-25,MIN(25,D603))))</f>
        <v/>
      </c>
      <c r="F603">
        <f>SUMPRODUCT(Risk_Inputs!B603:AJ603,Risk_Coefs!$B$3:$AJ$3)</f>
        <v/>
      </c>
      <c r="G603">
        <f>MAX(0,F603)</f>
        <v/>
      </c>
      <c r="H603">
        <f>(SUMPRODUCT(--ISNUMBER($E$2:$E$800),--($E$2:$E$800&lt;E603))+(SUMPRODUCT(--ISNUMBER($E$2:$E$800),--($E$2:$E$800=E603))+1)/2)/COUNT($E$2:$E$800)</f>
        <v/>
      </c>
      <c r="I603">
        <f>(SUMPRODUCT(--ISNUMBER($G$2:$G$800),--($G$2:$G$800&lt;G603))+(SUMPRODUCT(--ISNUMBER($G$2:$G$800),--($G$2:$G$800=G603))+1)/2)/COUNT($G$2:$G$800)</f>
        <v/>
      </c>
      <c r="J603" t="n">
        <v>7.364867275021312</v>
      </c>
      <c r="K603" t="n">
        <v>8.395061728395053</v>
      </c>
      <c r="L603" t="n">
        <v>0.3292181069958777</v>
      </c>
      <c r="M603">
        <f>IF(OR(B603="NW",COUNT(Risk_Rank_Keys!B603)=0),0.5,(SUMPRODUCT(--ISNUMBER(Risk_Rank_Keys!$B$2:$B$800),--(Risk_Rank_Keys!$B$2:$B$800&lt;Risk_Rank_Keys!B603))+(SUMPRODUCT(--ISNUMBER(Risk_Rank_Keys!$B$2:$B$800),--(Risk_Rank_Keys!$B$2:$B$800=Risk_Rank_Keys!B603))+1)/2)/COUNT(Risk_Rank_Keys!$B$2:$B$800))</f>
        <v/>
      </c>
      <c r="N603">
        <f>IF(OR(B603="NW",COUNT(Risk_Rank_Keys!C603)=0),0.5,(SUMPRODUCT(--ISNUMBER(Risk_Rank_Keys!$C$2:$C$800),--(Risk_Rank_Keys!$C$2:$C$800&lt;Risk_Rank_Keys!C603))+(SUMPRODUCT(--ISNUMBER(Risk_Rank_Keys!$C$2:$C$800),--(Risk_Rank_Keys!$C$2:$C$800=Risk_Rank_Keys!C603))+1)/2)/COUNT(Risk_Rank_Keys!$C$2:$C$800))</f>
        <v/>
      </c>
      <c r="O603">
        <f>IF(OR(B603="NW",COUNT(Risk_Rank_Keys!D603)=0),0.5,(SUMPRODUCT(--ISNUMBER(Risk_Rank_Keys!$D$2:$D$800),--(Risk_Rank_Keys!$D$2:$D$800&lt;Risk_Rank_Keys!D603))+(SUMPRODUCT(--ISNUMBER(Risk_Rank_Keys!$D$2:$D$800),--(Risk_Rank_Keys!$D$2:$D$800=Risk_Rank_Keys!D603))+1)/2)/COUNT(Risk_Rank_Keys!$D$2:$D$800))</f>
        <v/>
      </c>
      <c r="P603">
        <f>AVERAGE(M603:O603)</f>
        <v/>
      </c>
      <c r="Q603">
        <f>0.4*H603+0.4*I603+0.2*P603</f>
        <v/>
      </c>
      <c r="R603">
        <f>PERCENTILE($Q$2:$Q$800,0.75)</f>
        <v/>
      </c>
      <c r="S603">
        <f>OR(Q603&gt;=R603,AND(B603="CW",COUNT(J603:L603)&lt;3))</f>
        <v/>
      </c>
      <c r="T603" t="n">
        <v>0.2889140337726551</v>
      </c>
      <c r="U603" t="n">
        <v>8.983603985533598</v>
      </c>
      <c r="V603" t="n">
        <v>0.6108515467672574</v>
      </c>
      <c r="W603">
        <f>Q603-V603</f>
        <v/>
      </c>
    </row>
    <row r="604">
      <c r="A604" t="inlineStr">
        <is>
          <t>2024-12-30</t>
        </is>
      </c>
      <c r="B604" t="inlineStr">
        <is>
          <t>CW</t>
        </is>
      </c>
      <c r="C604" t="n">
        <v>15.85133179361389</v>
      </c>
      <c r="D604">
        <f>SUMPRODUCT(Risk_Inputs!B604:AJ604,Risk_Coefs!$B$2:$AJ$2)</f>
        <v/>
      </c>
      <c r="E604">
        <f>1/(1+EXP(-MAX(-25,MIN(25,D604))))</f>
        <v/>
      </c>
      <c r="F604">
        <f>SUMPRODUCT(Risk_Inputs!B604:AJ604,Risk_Coefs!$B$3:$AJ$3)</f>
        <v/>
      </c>
      <c r="G604">
        <f>MAX(0,F604)</f>
        <v/>
      </c>
      <c r="H604">
        <f>(SUMPRODUCT(--ISNUMBER($E$2:$E$800),--($E$2:$E$800&lt;E604))+(SUMPRODUCT(--ISNUMBER($E$2:$E$800),--($E$2:$E$800=E604))+1)/2)/COUNT($E$2:$E$800)</f>
        <v/>
      </c>
      <c r="I604">
        <f>(SUMPRODUCT(--ISNUMBER($G$2:$G$800),--($G$2:$G$800&lt;G604))+(SUMPRODUCT(--ISNUMBER($G$2:$G$800),--($G$2:$G$800=G604))+1)/2)/COUNT($G$2:$G$800)</f>
        <v/>
      </c>
      <c r="J604" t="n">
        <v>11.21348804453536</v>
      </c>
      <c r="K604" t="n">
        <v>1.976906927921636</v>
      </c>
      <c r="L604" t="n">
        <v>0.1924422673197981</v>
      </c>
      <c r="M604">
        <f>IF(OR(B604="NW",COUNT(Risk_Rank_Keys!B604)=0),0.5,(SUMPRODUCT(--ISNUMBER(Risk_Rank_Keys!$B$2:$B$800),--(Risk_Rank_Keys!$B$2:$B$800&lt;Risk_Rank_Keys!B604))+(SUMPRODUCT(--ISNUMBER(Risk_Rank_Keys!$B$2:$B$800),--(Risk_Rank_Keys!$B$2:$B$800=Risk_Rank_Keys!B604))+1)/2)/COUNT(Risk_Rank_Keys!$B$2:$B$800))</f>
        <v/>
      </c>
      <c r="N604">
        <f>IF(OR(B604="NW",COUNT(Risk_Rank_Keys!C604)=0),0.5,(SUMPRODUCT(--ISNUMBER(Risk_Rank_Keys!$C$2:$C$800),--(Risk_Rank_Keys!$C$2:$C$800&lt;Risk_Rank_Keys!C604))+(SUMPRODUCT(--ISNUMBER(Risk_Rank_Keys!$C$2:$C$800),--(Risk_Rank_Keys!$C$2:$C$800=Risk_Rank_Keys!C604))+1)/2)/COUNT(Risk_Rank_Keys!$C$2:$C$800))</f>
        <v/>
      </c>
      <c r="O604">
        <f>IF(OR(B604="NW",COUNT(Risk_Rank_Keys!D604)=0),0.5,(SUMPRODUCT(--ISNUMBER(Risk_Rank_Keys!$D$2:$D$800),--(Risk_Rank_Keys!$D$2:$D$800&lt;Risk_Rank_Keys!D604))+(SUMPRODUCT(--ISNUMBER(Risk_Rank_Keys!$D$2:$D$800),--(Risk_Rank_Keys!$D$2:$D$800=Risk_Rank_Keys!D604))+1)/2)/COUNT(Risk_Rank_Keys!$D$2:$D$800))</f>
        <v/>
      </c>
      <c r="P604">
        <f>AVERAGE(M604:O604)</f>
        <v/>
      </c>
      <c r="Q604">
        <f>0.4*H604+0.4*I604+0.2*P604</f>
        <v/>
      </c>
      <c r="R604">
        <f>PERCENTILE($Q$2:$Q$800,0.75)</f>
        <v/>
      </c>
      <c r="S604">
        <f>OR(Q604&gt;=R604,AND(B604="CW",COUNT(J604:L604)&lt;3))</f>
        <v/>
      </c>
      <c r="T604" t="n">
        <v>0.4010117185226908</v>
      </c>
      <c r="U604" t="n">
        <v>10.68719849442562</v>
      </c>
      <c r="V604" t="n">
        <v>0.7955210167986599</v>
      </c>
      <c r="W604">
        <f>Q604-V604</f>
        <v/>
      </c>
    </row>
    <row r="605">
      <c r="A605" t="inlineStr">
        <is>
          <t>2024-12-31</t>
        </is>
      </c>
      <c r="B605" t="inlineStr">
        <is>
          <t>CW</t>
        </is>
      </c>
      <c r="C605" t="n">
        <v>6.044343164897644</v>
      </c>
      <c r="D605">
        <f>SUMPRODUCT(Risk_Inputs!B605:AJ605,Risk_Coefs!$B$2:$AJ$2)</f>
        <v/>
      </c>
      <c r="E605">
        <f>1/(1+EXP(-MAX(-25,MIN(25,D605))))</f>
        <v/>
      </c>
      <c r="F605">
        <f>SUMPRODUCT(Risk_Inputs!B605:AJ605,Risk_Coefs!$B$3:$AJ$3)</f>
        <v/>
      </c>
      <c r="G605">
        <f>MAX(0,F605)</f>
        <v/>
      </c>
      <c r="H605">
        <f>(SUMPRODUCT(--ISNUMBER($E$2:$E$800),--($E$2:$E$800&lt;E605))+(SUMPRODUCT(--ISNUMBER($E$2:$E$800),--($E$2:$E$800=E605))+1)/2)/COUNT($E$2:$E$800)</f>
        <v/>
      </c>
      <c r="I605">
        <f>(SUMPRODUCT(--ISNUMBER($G$2:$G$800),--($G$2:$G$800&lt;G605))+(SUMPRODUCT(--ISNUMBER($G$2:$G$800),--($G$2:$G$800=G605))+1)/2)/COUNT($G$2:$G$800)</f>
        <v/>
      </c>
      <c r="J605" t="n">
        <v>5.714309901840854</v>
      </c>
      <c r="K605" t="n">
        <v>0.4940885830245199</v>
      </c>
      <c r="L605" t="n">
        <v>0.2293982706899513</v>
      </c>
      <c r="M605">
        <f>IF(OR(B605="NW",COUNT(Risk_Rank_Keys!B605)=0),0.5,(SUMPRODUCT(--ISNUMBER(Risk_Rank_Keys!$B$2:$B$800),--(Risk_Rank_Keys!$B$2:$B$800&lt;Risk_Rank_Keys!B605))+(SUMPRODUCT(--ISNUMBER(Risk_Rank_Keys!$B$2:$B$800),--(Risk_Rank_Keys!$B$2:$B$800=Risk_Rank_Keys!B605))+1)/2)/COUNT(Risk_Rank_Keys!$B$2:$B$800))</f>
        <v/>
      </c>
      <c r="N605">
        <f>IF(OR(B605="NW",COUNT(Risk_Rank_Keys!C605)=0),0.5,(SUMPRODUCT(--ISNUMBER(Risk_Rank_Keys!$C$2:$C$800),--(Risk_Rank_Keys!$C$2:$C$800&lt;Risk_Rank_Keys!C605))+(SUMPRODUCT(--ISNUMBER(Risk_Rank_Keys!$C$2:$C$800),--(Risk_Rank_Keys!$C$2:$C$800=Risk_Rank_Keys!C605))+1)/2)/COUNT(Risk_Rank_Keys!$C$2:$C$800))</f>
        <v/>
      </c>
      <c r="O605">
        <f>IF(OR(B605="NW",COUNT(Risk_Rank_Keys!D605)=0),0.5,(SUMPRODUCT(--ISNUMBER(Risk_Rank_Keys!$D$2:$D$800),--(Risk_Rank_Keys!$D$2:$D$800&lt;Risk_Rank_Keys!D605))+(SUMPRODUCT(--ISNUMBER(Risk_Rank_Keys!$D$2:$D$800),--(Risk_Rank_Keys!$D$2:$D$800=Risk_Rank_Keys!D605))+1)/2)/COUNT(Risk_Rank_Keys!$D$2:$D$800))</f>
        <v/>
      </c>
      <c r="P605">
        <f>AVERAGE(M605:O605)</f>
        <v/>
      </c>
      <c r="Q605">
        <f>0.4*H605+0.4*I605+0.2*P605</f>
        <v/>
      </c>
      <c r="R605">
        <f>PERCENTILE($Q$2:$Q$800,0.75)</f>
        <v/>
      </c>
      <c r="S605">
        <f>OR(Q605&gt;=R605,AND(B605="CW",COUNT(J605:L605)&lt;3))</f>
        <v/>
      </c>
      <c r="T605" t="n">
        <v>0.3706192379875463</v>
      </c>
      <c r="U605" t="n">
        <v>10.49504594827271</v>
      </c>
      <c r="V605" t="n">
        <v>0.7340708894020826</v>
      </c>
      <c r="W605">
        <f>Q605-V605</f>
        <v/>
      </c>
    </row>
    <row r="606">
      <c r="A606" t="inlineStr">
        <is>
          <t>2025-01-01</t>
        </is>
      </c>
      <c r="B606" t="inlineStr">
        <is>
          <t>NW</t>
        </is>
      </c>
      <c r="C606" t="n">
        <v>-39.84658473029325</v>
      </c>
      <c r="D606">
        <f>SUMPRODUCT(Risk_Inputs!B606:AJ606,Risk_Coefs!$B$2:$AJ$2)</f>
        <v/>
      </c>
      <c r="E606">
        <f>1/(1+EXP(-MAX(-25,MIN(25,D606))))</f>
        <v/>
      </c>
      <c r="F606">
        <f>SUMPRODUCT(Risk_Inputs!B606:AJ606,Risk_Coefs!$B$3:$AJ$3)</f>
        <v/>
      </c>
      <c r="G606">
        <f>MAX(0,F606)</f>
        <v/>
      </c>
      <c r="H606">
        <f>(SUMPRODUCT(--ISNUMBER($E$2:$E$800),--($E$2:$E$800&lt;E606))+(SUMPRODUCT(--ISNUMBER($E$2:$E$800),--($E$2:$E$800=E606))+1)/2)/COUNT($E$2:$E$800)</f>
        <v/>
      </c>
      <c r="I606">
        <f>(SUMPRODUCT(--ISNUMBER($G$2:$G$800),--($G$2:$G$800&lt;G606))+(SUMPRODUCT(--ISNUMBER($G$2:$G$800),--($G$2:$G$800=G606))+1)/2)/COUNT($G$2:$G$800)</f>
        <v/>
      </c>
      <c r="M606">
        <f>IF(OR(B606="NW",COUNT(Risk_Rank_Keys!B606)=0),0.5,(SUMPRODUCT(--ISNUMBER(Risk_Rank_Keys!$B$2:$B$800),--(Risk_Rank_Keys!$B$2:$B$800&lt;Risk_Rank_Keys!B606))+(SUMPRODUCT(--ISNUMBER(Risk_Rank_Keys!$B$2:$B$800),--(Risk_Rank_Keys!$B$2:$B$800=Risk_Rank_Keys!B606))+1)/2)/COUNT(Risk_Rank_Keys!$B$2:$B$800))</f>
        <v/>
      </c>
      <c r="N606">
        <f>IF(OR(B606="NW",COUNT(Risk_Rank_Keys!C606)=0),0.5,(SUMPRODUCT(--ISNUMBER(Risk_Rank_Keys!$C$2:$C$800),--(Risk_Rank_Keys!$C$2:$C$800&lt;Risk_Rank_Keys!C606))+(SUMPRODUCT(--ISNUMBER(Risk_Rank_Keys!$C$2:$C$800),--(Risk_Rank_Keys!$C$2:$C$800=Risk_Rank_Keys!C606))+1)/2)/COUNT(Risk_Rank_Keys!$C$2:$C$800))</f>
        <v/>
      </c>
      <c r="O606">
        <f>IF(OR(B606="NW",COUNT(Risk_Rank_Keys!D606)=0),0.5,(SUMPRODUCT(--ISNUMBER(Risk_Rank_Keys!$D$2:$D$800),--(Risk_Rank_Keys!$D$2:$D$800&lt;Risk_Rank_Keys!D606))+(SUMPRODUCT(--ISNUMBER(Risk_Rank_Keys!$D$2:$D$800),--(Risk_Rank_Keys!$D$2:$D$800=Risk_Rank_Keys!D606))+1)/2)/COUNT(Risk_Rank_Keys!$D$2:$D$800))</f>
        <v/>
      </c>
      <c r="P606">
        <f>AVERAGE(M606:O606)</f>
        <v/>
      </c>
      <c r="Q606">
        <f>0.4*H606+0.4*I606+0.2*P606</f>
        <v/>
      </c>
      <c r="R606">
        <f>PERCENTILE($Q$2:$Q$800,0.75)</f>
        <v/>
      </c>
      <c r="S606">
        <f>OR(Q606&gt;=R606,AND(B606="CW",COUNT(J606:L606)&lt;3))</f>
        <v/>
      </c>
      <c r="T606" t="n">
        <v>0.3638928703766127</v>
      </c>
      <c r="U606" t="n">
        <v>11.97770916014895</v>
      </c>
      <c r="V606" t="n">
        <v>0.8098873591989987</v>
      </c>
      <c r="W606">
        <f>Q606-V606</f>
        <v/>
      </c>
    </row>
    <row r="607">
      <c r="A607" t="inlineStr">
        <is>
          <t>2025-01-02</t>
        </is>
      </c>
      <c r="B607" t="inlineStr">
        <is>
          <t>CW</t>
        </is>
      </c>
      <c r="C607" t="n">
        <v>-2.00868488762257</v>
      </c>
      <c r="D607">
        <f>SUMPRODUCT(Risk_Inputs!B607:AJ607,Risk_Coefs!$B$2:$AJ$2)</f>
        <v/>
      </c>
      <c r="E607">
        <f>1/(1+EXP(-MAX(-25,MIN(25,D607))))</f>
        <v/>
      </c>
      <c r="F607">
        <f>SUMPRODUCT(Risk_Inputs!B607:AJ607,Risk_Coefs!$B$3:$AJ$3)</f>
        <v/>
      </c>
      <c r="G607">
        <f>MAX(0,F607)</f>
        <v/>
      </c>
      <c r="H607">
        <f>(SUMPRODUCT(--ISNUMBER($E$2:$E$800),--($E$2:$E$800&lt;E607))+(SUMPRODUCT(--ISNUMBER($E$2:$E$800),--($E$2:$E$800=E607))+1)/2)/COUNT($E$2:$E$800)</f>
        <v/>
      </c>
      <c r="I607">
        <f>(SUMPRODUCT(--ISNUMBER($G$2:$G$800),--($G$2:$G$800&lt;G607))+(SUMPRODUCT(--ISNUMBER($G$2:$G$800),--($G$2:$G$800=G607))+1)/2)/COUNT($G$2:$G$800)</f>
        <v/>
      </c>
      <c r="J607" t="n">
        <v>7.919901852036448</v>
      </c>
      <c r="K607" t="n">
        <v>7.05039297272307</v>
      </c>
      <c r="L607" t="n">
        <v>0.3467406380027739</v>
      </c>
      <c r="M607">
        <f>IF(OR(B607="NW",COUNT(Risk_Rank_Keys!B607)=0),0.5,(SUMPRODUCT(--ISNUMBER(Risk_Rank_Keys!$B$2:$B$800),--(Risk_Rank_Keys!$B$2:$B$800&lt;Risk_Rank_Keys!B607))+(SUMPRODUCT(--ISNUMBER(Risk_Rank_Keys!$B$2:$B$800),--(Risk_Rank_Keys!$B$2:$B$800=Risk_Rank_Keys!B607))+1)/2)/COUNT(Risk_Rank_Keys!$B$2:$B$800))</f>
        <v/>
      </c>
      <c r="N607">
        <f>IF(OR(B607="NW",COUNT(Risk_Rank_Keys!C607)=0),0.5,(SUMPRODUCT(--ISNUMBER(Risk_Rank_Keys!$C$2:$C$800),--(Risk_Rank_Keys!$C$2:$C$800&lt;Risk_Rank_Keys!C607))+(SUMPRODUCT(--ISNUMBER(Risk_Rank_Keys!$C$2:$C$800),--(Risk_Rank_Keys!$C$2:$C$800=Risk_Rank_Keys!C607))+1)/2)/COUNT(Risk_Rank_Keys!$C$2:$C$800))</f>
        <v/>
      </c>
      <c r="O607">
        <f>IF(OR(B607="NW",COUNT(Risk_Rank_Keys!D607)=0),0.5,(SUMPRODUCT(--ISNUMBER(Risk_Rank_Keys!$D$2:$D$800),--(Risk_Rank_Keys!$D$2:$D$800&lt;Risk_Rank_Keys!D607))+(SUMPRODUCT(--ISNUMBER(Risk_Rank_Keys!$D$2:$D$800),--(Risk_Rank_Keys!$D$2:$D$800=Risk_Rank_Keys!D607))+1)/2)/COUNT(Risk_Rank_Keys!$D$2:$D$800))</f>
        <v/>
      </c>
      <c r="P607">
        <f>AVERAGE(M607:O607)</f>
        <v/>
      </c>
      <c r="Q607">
        <f>0.4*H607+0.4*I607+0.2*P607</f>
        <v/>
      </c>
      <c r="R607">
        <f>PERCENTILE($Q$2:$Q$800,0.75)</f>
        <v/>
      </c>
      <c r="S607">
        <f>OR(Q607&gt;=R607,AND(B607="CW",COUNT(J607:L607)&lt;3))</f>
        <v/>
      </c>
      <c r="T607" t="n">
        <v>0.3762263117824096</v>
      </c>
      <c r="U607" t="n">
        <v>15.36702291833046</v>
      </c>
      <c r="V607" t="n">
        <v>0.8845866724386423</v>
      </c>
      <c r="W607">
        <f>Q607-V607</f>
        <v/>
      </c>
    </row>
    <row r="608">
      <c r="A608" t="inlineStr">
        <is>
          <t>2025-01-06</t>
        </is>
      </c>
      <c r="B608" t="inlineStr">
        <is>
          <t>CW</t>
        </is>
      </c>
      <c r="C608" t="n">
        <v>-39.69420164712552</v>
      </c>
      <c r="D608">
        <f>SUMPRODUCT(Risk_Inputs!B608:AJ608,Risk_Coefs!$B$2:$AJ$2)</f>
        <v/>
      </c>
      <c r="E608">
        <f>1/(1+EXP(-MAX(-25,MIN(25,D608))))</f>
        <v/>
      </c>
      <c r="F608">
        <f>SUMPRODUCT(Risk_Inputs!B608:AJ608,Risk_Coefs!$B$3:$AJ$3)</f>
        <v/>
      </c>
      <c r="G608">
        <f>MAX(0,F608)</f>
        <v/>
      </c>
      <c r="H608">
        <f>(SUMPRODUCT(--ISNUMBER($E$2:$E$800),--($E$2:$E$800&lt;E608))+(SUMPRODUCT(--ISNUMBER($E$2:$E$800),--($E$2:$E$800=E608))+1)/2)/COUNT($E$2:$E$800)</f>
        <v/>
      </c>
      <c r="I608">
        <f>(SUMPRODUCT(--ISNUMBER($G$2:$G$800),--($G$2:$G$800&lt;G608))+(SUMPRODUCT(--ISNUMBER($G$2:$G$800),--($G$2:$G$800=G608))+1)/2)/COUNT($G$2:$G$800)</f>
        <v/>
      </c>
      <c r="J608" t="n">
        <v>15.38678504598266</v>
      </c>
      <c r="K608" t="n">
        <v>2.775343266140796</v>
      </c>
      <c r="L608" t="n">
        <v>0.1606777680397262</v>
      </c>
      <c r="M608">
        <f>IF(OR(B608="NW",COUNT(Risk_Rank_Keys!B608)=0),0.5,(SUMPRODUCT(--ISNUMBER(Risk_Rank_Keys!$B$2:$B$800),--(Risk_Rank_Keys!$B$2:$B$800&lt;Risk_Rank_Keys!B608))+(SUMPRODUCT(--ISNUMBER(Risk_Rank_Keys!$B$2:$B$800),--(Risk_Rank_Keys!$B$2:$B$800=Risk_Rank_Keys!B608))+1)/2)/COUNT(Risk_Rank_Keys!$B$2:$B$800))</f>
        <v/>
      </c>
      <c r="N608">
        <f>IF(OR(B608="NW",COUNT(Risk_Rank_Keys!C608)=0),0.5,(SUMPRODUCT(--ISNUMBER(Risk_Rank_Keys!$C$2:$C$800),--(Risk_Rank_Keys!$C$2:$C$800&lt;Risk_Rank_Keys!C608))+(SUMPRODUCT(--ISNUMBER(Risk_Rank_Keys!$C$2:$C$800),--(Risk_Rank_Keys!$C$2:$C$800=Risk_Rank_Keys!C608))+1)/2)/COUNT(Risk_Rank_Keys!$C$2:$C$800))</f>
        <v/>
      </c>
      <c r="O608">
        <f>IF(OR(B608="NW",COUNT(Risk_Rank_Keys!D608)=0),0.5,(SUMPRODUCT(--ISNUMBER(Risk_Rank_Keys!$D$2:$D$800),--(Risk_Rank_Keys!$D$2:$D$800&lt;Risk_Rank_Keys!D608))+(SUMPRODUCT(--ISNUMBER(Risk_Rank_Keys!$D$2:$D$800),--(Risk_Rank_Keys!$D$2:$D$800=Risk_Rank_Keys!D608))+1)/2)/COUNT(Risk_Rank_Keys!$D$2:$D$800))</f>
        <v/>
      </c>
      <c r="P608">
        <f>AVERAGE(M608:O608)</f>
        <v/>
      </c>
      <c r="Q608">
        <f>0.4*H608+0.4*I608+0.2*P608</f>
        <v/>
      </c>
      <c r="R608">
        <f>PERCENTILE($Q$2:$Q$800,0.75)</f>
        <v/>
      </c>
      <c r="S608">
        <f>OR(Q608&gt;=R608,AND(B608="CW",COUNT(J608:L608)&lt;3))</f>
        <v/>
      </c>
      <c r="T608" t="n">
        <v>0.3921654590171307</v>
      </c>
      <c r="U608" t="n">
        <v>12.43025127938718</v>
      </c>
      <c r="V608" t="n">
        <v>0.8338127215039255</v>
      </c>
      <c r="W608">
        <f>Q608-V608</f>
        <v/>
      </c>
    </row>
    <row r="609">
      <c r="A609" t="inlineStr">
        <is>
          <t>2025-01-09</t>
        </is>
      </c>
      <c r="B609" t="inlineStr">
        <is>
          <t>NW</t>
        </is>
      </c>
      <c r="C609" t="n">
        <v>-3.964716971005817</v>
      </c>
      <c r="D609">
        <f>SUMPRODUCT(Risk_Inputs!B609:AJ609,Risk_Coefs!$B$2:$AJ$2)</f>
        <v/>
      </c>
      <c r="E609">
        <f>1/(1+EXP(-MAX(-25,MIN(25,D609))))</f>
        <v/>
      </c>
      <c r="F609">
        <f>SUMPRODUCT(Risk_Inputs!B609:AJ609,Risk_Coefs!$B$3:$AJ$3)</f>
        <v/>
      </c>
      <c r="G609">
        <f>MAX(0,F609)</f>
        <v/>
      </c>
      <c r="H609">
        <f>(SUMPRODUCT(--ISNUMBER($E$2:$E$800),--($E$2:$E$800&lt;E609))+(SUMPRODUCT(--ISNUMBER($E$2:$E$800),--($E$2:$E$800=E609))+1)/2)/COUNT($E$2:$E$800)</f>
        <v/>
      </c>
      <c r="I609">
        <f>(SUMPRODUCT(--ISNUMBER($G$2:$G$800),--($G$2:$G$800&lt;G609))+(SUMPRODUCT(--ISNUMBER($G$2:$G$800),--($G$2:$G$800=G609))+1)/2)/COUNT($G$2:$G$800)</f>
        <v/>
      </c>
      <c r="M609">
        <f>IF(OR(B609="NW",COUNT(Risk_Rank_Keys!B609)=0),0.5,(SUMPRODUCT(--ISNUMBER(Risk_Rank_Keys!$B$2:$B$800),--(Risk_Rank_Keys!$B$2:$B$800&lt;Risk_Rank_Keys!B609))+(SUMPRODUCT(--ISNUMBER(Risk_Rank_Keys!$B$2:$B$800),--(Risk_Rank_Keys!$B$2:$B$800=Risk_Rank_Keys!B609))+1)/2)/COUNT(Risk_Rank_Keys!$B$2:$B$800))</f>
        <v/>
      </c>
      <c r="N609">
        <f>IF(OR(B609="NW",COUNT(Risk_Rank_Keys!C609)=0),0.5,(SUMPRODUCT(--ISNUMBER(Risk_Rank_Keys!$C$2:$C$800),--(Risk_Rank_Keys!$C$2:$C$800&lt;Risk_Rank_Keys!C609))+(SUMPRODUCT(--ISNUMBER(Risk_Rank_Keys!$C$2:$C$800),--(Risk_Rank_Keys!$C$2:$C$800=Risk_Rank_Keys!C609))+1)/2)/COUNT(Risk_Rank_Keys!$C$2:$C$800))</f>
        <v/>
      </c>
      <c r="O609">
        <f>IF(OR(B609="NW",COUNT(Risk_Rank_Keys!D609)=0),0.5,(SUMPRODUCT(--ISNUMBER(Risk_Rank_Keys!$D$2:$D$800),--(Risk_Rank_Keys!$D$2:$D$800&lt;Risk_Rank_Keys!D609))+(SUMPRODUCT(--ISNUMBER(Risk_Rank_Keys!$D$2:$D$800),--(Risk_Rank_Keys!$D$2:$D$800=Risk_Rank_Keys!D609))+1)/2)/COUNT(Risk_Rank_Keys!$D$2:$D$800))</f>
        <v/>
      </c>
      <c r="P609">
        <f>AVERAGE(M609:O609)</f>
        <v/>
      </c>
      <c r="Q609">
        <f>0.4*H609+0.4*I609+0.2*P609</f>
        <v/>
      </c>
      <c r="R609">
        <f>PERCENTILE($Q$2:$Q$800,0.75)</f>
        <v/>
      </c>
      <c r="S609">
        <f>OR(Q609&gt;=R609,AND(B609="CW",COUNT(J609:L609)&lt;3))</f>
        <v/>
      </c>
      <c r="T609" t="n">
        <v>0.3437389643129669</v>
      </c>
      <c r="U609" t="n">
        <v>10.06560968743133</v>
      </c>
      <c r="V609" t="n">
        <v>0.7377972465581978</v>
      </c>
      <c r="W609">
        <f>Q609-V609</f>
        <v/>
      </c>
    </row>
    <row r="610">
      <c r="A610" t="inlineStr">
        <is>
          <t>2025-01-10</t>
        </is>
      </c>
      <c r="B610" t="inlineStr">
        <is>
          <t>CW</t>
        </is>
      </c>
      <c r="C610" t="n">
        <v>-40.8738961983742</v>
      </c>
      <c r="D610">
        <f>SUMPRODUCT(Risk_Inputs!B610:AJ610,Risk_Coefs!$B$2:$AJ$2)</f>
        <v/>
      </c>
      <c r="E610">
        <f>1/(1+EXP(-MAX(-25,MIN(25,D610))))</f>
        <v/>
      </c>
      <c r="F610">
        <f>SUMPRODUCT(Risk_Inputs!B610:AJ610,Risk_Coefs!$B$3:$AJ$3)</f>
        <v/>
      </c>
      <c r="G610">
        <f>MAX(0,F610)</f>
        <v/>
      </c>
      <c r="H610">
        <f>(SUMPRODUCT(--ISNUMBER($E$2:$E$800),--($E$2:$E$800&lt;E610))+(SUMPRODUCT(--ISNUMBER($E$2:$E$800),--($E$2:$E$800=E610))+1)/2)/COUNT($E$2:$E$800)</f>
        <v/>
      </c>
      <c r="I610">
        <f>(SUMPRODUCT(--ISNUMBER($G$2:$G$800),--($G$2:$G$800&lt;G610))+(SUMPRODUCT(--ISNUMBER($G$2:$G$800),--($G$2:$G$800=G610))+1)/2)/COUNT($G$2:$G$800)</f>
        <v/>
      </c>
      <c r="J610" t="n">
        <v>5.364272250599062</v>
      </c>
      <c r="K610" t="n">
        <v>1.893238434163711</v>
      </c>
      <c r="L610" t="n">
        <v>0.1850533807829197</v>
      </c>
      <c r="M610">
        <f>IF(OR(B610="NW",COUNT(Risk_Rank_Keys!B610)=0),0.5,(SUMPRODUCT(--ISNUMBER(Risk_Rank_Keys!$B$2:$B$800),--(Risk_Rank_Keys!$B$2:$B$800&lt;Risk_Rank_Keys!B610))+(SUMPRODUCT(--ISNUMBER(Risk_Rank_Keys!$B$2:$B$800),--(Risk_Rank_Keys!$B$2:$B$800=Risk_Rank_Keys!B610))+1)/2)/COUNT(Risk_Rank_Keys!$B$2:$B$800))</f>
        <v/>
      </c>
      <c r="N610">
        <f>IF(OR(B610="NW",COUNT(Risk_Rank_Keys!C610)=0),0.5,(SUMPRODUCT(--ISNUMBER(Risk_Rank_Keys!$C$2:$C$800),--(Risk_Rank_Keys!$C$2:$C$800&lt;Risk_Rank_Keys!C610))+(SUMPRODUCT(--ISNUMBER(Risk_Rank_Keys!$C$2:$C$800),--(Risk_Rank_Keys!$C$2:$C$800=Risk_Rank_Keys!C610))+1)/2)/COUNT(Risk_Rank_Keys!$C$2:$C$800))</f>
        <v/>
      </c>
      <c r="O610">
        <f>IF(OR(B610="NW",COUNT(Risk_Rank_Keys!D610)=0),0.5,(SUMPRODUCT(--ISNUMBER(Risk_Rank_Keys!$D$2:$D$800),--(Risk_Rank_Keys!$D$2:$D$800&lt;Risk_Rank_Keys!D610))+(SUMPRODUCT(--ISNUMBER(Risk_Rank_Keys!$D$2:$D$800),--(Risk_Rank_Keys!$D$2:$D$800=Risk_Rank_Keys!D610))+1)/2)/COUNT(Risk_Rank_Keys!$D$2:$D$800))</f>
        <v/>
      </c>
      <c r="P610">
        <f>AVERAGE(M610:O610)</f>
        <v/>
      </c>
      <c r="Q610">
        <f>0.4*H610+0.4*I610+0.2*P610</f>
        <v/>
      </c>
      <c r="R610">
        <f>PERCENTILE($Q$2:$Q$800,0.75)</f>
        <v/>
      </c>
      <c r="S610">
        <f>OR(Q610&gt;=R610,AND(B610="CW",COUNT(J610:L610)&lt;3))</f>
        <v/>
      </c>
      <c r="T610" t="n">
        <v>0.2253712806229307</v>
      </c>
      <c r="U610" t="n">
        <v>6.794655634276683</v>
      </c>
      <c r="V610" t="n">
        <v>0.2630818741930435</v>
      </c>
      <c r="W610">
        <f>Q610-V610</f>
        <v/>
      </c>
    </row>
    <row r="611">
      <c r="A611" t="inlineStr">
        <is>
          <t>2025-01-13</t>
        </is>
      </c>
      <c r="B611" t="inlineStr">
        <is>
          <t>CW</t>
        </is>
      </c>
      <c r="C611" t="n">
        <v>45.23999400857437</v>
      </c>
      <c r="D611">
        <f>SUMPRODUCT(Risk_Inputs!B611:AJ611,Risk_Coefs!$B$2:$AJ$2)</f>
        <v/>
      </c>
      <c r="E611">
        <f>1/(1+EXP(-MAX(-25,MIN(25,D611))))</f>
        <v/>
      </c>
      <c r="F611">
        <f>SUMPRODUCT(Risk_Inputs!B611:AJ611,Risk_Coefs!$B$3:$AJ$3)</f>
        <v/>
      </c>
      <c r="G611">
        <f>MAX(0,F611)</f>
        <v/>
      </c>
      <c r="H611">
        <f>(SUMPRODUCT(--ISNUMBER($E$2:$E$800),--($E$2:$E$800&lt;E611))+(SUMPRODUCT(--ISNUMBER($E$2:$E$800),--($E$2:$E$800=E611))+1)/2)/COUNT($E$2:$E$800)</f>
        <v/>
      </c>
      <c r="I611">
        <f>(SUMPRODUCT(--ISNUMBER($G$2:$G$800),--($G$2:$G$800&lt;G611))+(SUMPRODUCT(--ISNUMBER($G$2:$G$800),--($G$2:$G$800=G611))+1)/2)/COUNT($G$2:$G$800)</f>
        <v/>
      </c>
      <c r="J611" t="n">
        <v>20.11734399365926</v>
      </c>
      <c r="K611" t="n">
        <v>7.468996617812835</v>
      </c>
      <c r="L611" t="n">
        <v>0.2254791431792591</v>
      </c>
      <c r="M611">
        <f>IF(OR(B611="NW",COUNT(Risk_Rank_Keys!B611)=0),0.5,(SUMPRODUCT(--ISNUMBER(Risk_Rank_Keys!$B$2:$B$800),--(Risk_Rank_Keys!$B$2:$B$800&lt;Risk_Rank_Keys!B611))+(SUMPRODUCT(--ISNUMBER(Risk_Rank_Keys!$B$2:$B$800),--(Risk_Rank_Keys!$B$2:$B$800=Risk_Rank_Keys!B611))+1)/2)/COUNT(Risk_Rank_Keys!$B$2:$B$800))</f>
        <v/>
      </c>
      <c r="N611">
        <f>IF(OR(B611="NW",COUNT(Risk_Rank_Keys!C611)=0),0.5,(SUMPRODUCT(--ISNUMBER(Risk_Rank_Keys!$C$2:$C$800),--(Risk_Rank_Keys!$C$2:$C$800&lt;Risk_Rank_Keys!C611))+(SUMPRODUCT(--ISNUMBER(Risk_Rank_Keys!$C$2:$C$800),--(Risk_Rank_Keys!$C$2:$C$800=Risk_Rank_Keys!C611))+1)/2)/COUNT(Risk_Rank_Keys!$C$2:$C$800))</f>
        <v/>
      </c>
      <c r="O611">
        <f>IF(OR(B611="NW",COUNT(Risk_Rank_Keys!D611)=0),0.5,(SUMPRODUCT(--ISNUMBER(Risk_Rank_Keys!$D$2:$D$800),--(Risk_Rank_Keys!$D$2:$D$800&lt;Risk_Rank_Keys!D611))+(SUMPRODUCT(--ISNUMBER(Risk_Rank_Keys!$D$2:$D$800),--(Risk_Rank_Keys!$D$2:$D$800=Risk_Rank_Keys!D611))+1)/2)/COUNT(Risk_Rank_Keys!$D$2:$D$800))</f>
        <v/>
      </c>
      <c r="P611">
        <f>AVERAGE(M611:O611)</f>
        <v/>
      </c>
      <c r="Q611">
        <f>0.4*H611+0.4*I611+0.2*P611</f>
        <v/>
      </c>
      <c r="R611">
        <f>PERCENTILE($Q$2:$Q$800,0.75)</f>
        <v/>
      </c>
      <c r="S611">
        <f>OR(Q611&gt;=R611,AND(B611="CW",COUNT(J611:L611)&lt;3))</f>
        <v/>
      </c>
      <c r="T611" t="n">
        <v>0.2178134847197951</v>
      </c>
      <c r="U611" t="n">
        <v>4.347004364185213</v>
      </c>
      <c r="V611" t="n">
        <v>0.2239040083228164</v>
      </c>
      <c r="W611">
        <f>Q611-V611</f>
        <v/>
      </c>
    </row>
    <row r="612">
      <c r="A612" t="inlineStr">
        <is>
          <t>2025-01-15</t>
        </is>
      </c>
      <c r="B612" t="inlineStr">
        <is>
          <t>CW</t>
        </is>
      </c>
      <c r="C612" t="n">
        <v>45.09201959282085</v>
      </c>
      <c r="D612">
        <f>SUMPRODUCT(Risk_Inputs!B612:AJ612,Risk_Coefs!$B$2:$AJ$2)</f>
        <v/>
      </c>
      <c r="E612">
        <f>1/(1+EXP(-MAX(-25,MIN(25,D612))))</f>
        <v/>
      </c>
      <c r="F612">
        <f>SUMPRODUCT(Risk_Inputs!B612:AJ612,Risk_Coefs!$B$3:$AJ$3)</f>
        <v/>
      </c>
      <c r="G612">
        <f>MAX(0,F612)</f>
        <v/>
      </c>
      <c r="H612">
        <f>(SUMPRODUCT(--ISNUMBER($E$2:$E$800),--($E$2:$E$800&lt;E612))+(SUMPRODUCT(--ISNUMBER($E$2:$E$800),--($E$2:$E$800=E612))+1)/2)/COUNT($E$2:$E$800)</f>
        <v/>
      </c>
      <c r="I612">
        <f>(SUMPRODUCT(--ISNUMBER($G$2:$G$800),--($G$2:$G$800&lt;G612))+(SUMPRODUCT(--ISNUMBER($G$2:$G$800),--($G$2:$G$800=G612))+1)/2)/COUNT($G$2:$G$800)</f>
        <v/>
      </c>
      <c r="J612" t="n">
        <v>7.050984873805562</v>
      </c>
      <c r="K612" t="n">
        <v>4.241006142146827</v>
      </c>
      <c r="L612" t="n">
        <v>0.2632348639953136</v>
      </c>
      <c r="M612">
        <f>IF(OR(B612="NW",COUNT(Risk_Rank_Keys!B612)=0),0.5,(SUMPRODUCT(--ISNUMBER(Risk_Rank_Keys!$B$2:$B$800),--(Risk_Rank_Keys!$B$2:$B$800&lt;Risk_Rank_Keys!B612))+(SUMPRODUCT(--ISNUMBER(Risk_Rank_Keys!$B$2:$B$800),--(Risk_Rank_Keys!$B$2:$B$800=Risk_Rank_Keys!B612))+1)/2)/COUNT(Risk_Rank_Keys!$B$2:$B$800))</f>
        <v/>
      </c>
      <c r="N612">
        <f>IF(OR(B612="NW",COUNT(Risk_Rank_Keys!C612)=0),0.5,(SUMPRODUCT(--ISNUMBER(Risk_Rank_Keys!$C$2:$C$800),--(Risk_Rank_Keys!$C$2:$C$800&lt;Risk_Rank_Keys!C612))+(SUMPRODUCT(--ISNUMBER(Risk_Rank_Keys!$C$2:$C$800),--(Risk_Rank_Keys!$C$2:$C$800=Risk_Rank_Keys!C612))+1)/2)/COUNT(Risk_Rank_Keys!$C$2:$C$800))</f>
        <v/>
      </c>
      <c r="O612">
        <f>IF(OR(B612="NW",COUNT(Risk_Rank_Keys!D612)=0),0.5,(SUMPRODUCT(--ISNUMBER(Risk_Rank_Keys!$D$2:$D$800),--(Risk_Rank_Keys!$D$2:$D$800&lt;Risk_Rank_Keys!D612))+(SUMPRODUCT(--ISNUMBER(Risk_Rank_Keys!$D$2:$D$800),--(Risk_Rank_Keys!$D$2:$D$800=Risk_Rank_Keys!D612))+1)/2)/COUNT(Risk_Rank_Keys!$D$2:$D$800))</f>
        <v/>
      </c>
      <c r="P612">
        <f>AVERAGE(M612:O612)</f>
        <v/>
      </c>
      <c r="Q612">
        <f>0.4*H612+0.4*I612+0.2*P612</f>
        <v/>
      </c>
      <c r="R612">
        <f>PERCENTILE($Q$2:$Q$800,0.75)</f>
        <v/>
      </c>
      <c r="S612">
        <f>OR(Q612&gt;=R612,AND(B612="CW",COUNT(J612:L612)&lt;3))</f>
        <v/>
      </c>
      <c r="T612" t="n">
        <v>0.2755012181115986</v>
      </c>
      <c r="U612" t="n">
        <v>6.873398201563115</v>
      </c>
      <c r="V612" t="n">
        <v>0.4389490815169357</v>
      </c>
      <c r="W612">
        <f>Q612-V612</f>
        <v/>
      </c>
    </row>
    <row r="613">
      <c r="A613" t="inlineStr">
        <is>
          <t>2025-01-16</t>
        </is>
      </c>
      <c r="B613" t="inlineStr">
        <is>
          <t>NW</t>
        </is>
      </c>
      <c r="C613" t="n">
        <v>-37.81607693719047</v>
      </c>
      <c r="D613">
        <f>SUMPRODUCT(Risk_Inputs!B613:AJ613,Risk_Coefs!$B$2:$AJ$2)</f>
        <v/>
      </c>
      <c r="E613">
        <f>1/(1+EXP(-MAX(-25,MIN(25,D613))))</f>
        <v/>
      </c>
      <c r="F613">
        <f>SUMPRODUCT(Risk_Inputs!B613:AJ613,Risk_Coefs!$B$3:$AJ$3)</f>
        <v/>
      </c>
      <c r="G613">
        <f>MAX(0,F613)</f>
        <v/>
      </c>
      <c r="H613">
        <f>(SUMPRODUCT(--ISNUMBER($E$2:$E$800),--($E$2:$E$800&lt;E613))+(SUMPRODUCT(--ISNUMBER($E$2:$E$800),--($E$2:$E$800=E613))+1)/2)/COUNT($E$2:$E$800)</f>
        <v/>
      </c>
      <c r="I613">
        <f>(SUMPRODUCT(--ISNUMBER($G$2:$G$800),--($G$2:$G$800&lt;G613))+(SUMPRODUCT(--ISNUMBER($G$2:$G$800),--($G$2:$G$800=G613))+1)/2)/COUNT($G$2:$G$800)</f>
        <v/>
      </c>
      <c r="M613">
        <f>IF(OR(B613="NW",COUNT(Risk_Rank_Keys!B613)=0),0.5,(SUMPRODUCT(--ISNUMBER(Risk_Rank_Keys!$B$2:$B$800),--(Risk_Rank_Keys!$B$2:$B$800&lt;Risk_Rank_Keys!B613))+(SUMPRODUCT(--ISNUMBER(Risk_Rank_Keys!$B$2:$B$800),--(Risk_Rank_Keys!$B$2:$B$800=Risk_Rank_Keys!B613))+1)/2)/COUNT(Risk_Rank_Keys!$B$2:$B$800))</f>
        <v/>
      </c>
      <c r="N613">
        <f>IF(OR(B613="NW",COUNT(Risk_Rank_Keys!C613)=0),0.5,(SUMPRODUCT(--ISNUMBER(Risk_Rank_Keys!$C$2:$C$800),--(Risk_Rank_Keys!$C$2:$C$800&lt;Risk_Rank_Keys!C613))+(SUMPRODUCT(--ISNUMBER(Risk_Rank_Keys!$C$2:$C$800),--(Risk_Rank_Keys!$C$2:$C$800=Risk_Rank_Keys!C613))+1)/2)/COUNT(Risk_Rank_Keys!$C$2:$C$800))</f>
        <v/>
      </c>
      <c r="O613">
        <f>IF(OR(B613="NW",COUNT(Risk_Rank_Keys!D613)=0),0.5,(SUMPRODUCT(--ISNUMBER(Risk_Rank_Keys!$D$2:$D$800),--(Risk_Rank_Keys!$D$2:$D$800&lt;Risk_Rank_Keys!D613))+(SUMPRODUCT(--ISNUMBER(Risk_Rank_Keys!$D$2:$D$800),--(Risk_Rank_Keys!$D$2:$D$800=Risk_Rank_Keys!D613))+1)/2)/COUNT(Risk_Rank_Keys!$D$2:$D$800))</f>
        <v/>
      </c>
      <c r="P613">
        <f>AVERAGE(M613:O613)</f>
        <v/>
      </c>
      <c r="Q613">
        <f>0.4*H613+0.4*I613+0.2*P613</f>
        <v/>
      </c>
      <c r="R613">
        <f>PERCENTILE($Q$2:$Q$800,0.75)</f>
        <v/>
      </c>
      <c r="S613">
        <f>OR(Q613&gt;=R613,AND(B613="CW",COUNT(J613:L613)&lt;3))</f>
        <v/>
      </c>
      <c r="T613" t="n">
        <v>0.3193406232916707</v>
      </c>
      <c r="U613" t="n">
        <v>8.832078728548412</v>
      </c>
      <c r="V613" t="n">
        <v>0.6286608260325407</v>
      </c>
      <c r="W613">
        <f>Q613-V613</f>
        <v/>
      </c>
    </row>
    <row r="614">
      <c r="A614" t="inlineStr">
        <is>
          <t>2025-01-17</t>
        </is>
      </c>
      <c r="B614" t="inlineStr">
        <is>
          <t>CW</t>
        </is>
      </c>
      <c r="C614" t="n">
        <v>34.09186679918358</v>
      </c>
      <c r="D614">
        <f>SUMPRODUCT(Risk_Inputs!B614:AJ614,Risk_Coefs!$B$2:$AJ$2)</f>
        <v/>
      </c>
      <c r="E614">
        <f>1/(1+EXP(-MAX(-25,MIN(25,D614))))</f>
        <v/>
      </c>
      <c r="F614">
        <f>SUMPRODUCT(Risk_Inputs!B614:AJ614,Risk_Coefs!$B$3:$AJ$3)</f>
        <v/>
      </c>
      <c r="G614">
        <f>MAX(0,F614)</f>
        <v/>
      </c>
      <c r="H614">
        <f>(SUMPRODUCT(--ISNUMBER($E$2:$E$800),--($E$2:$E$800&lt;E614))+(SUMPRODUCT(--ISNUMBER($E$2:$E$800),--($E$2:$E$800=E614))+1)/2)/COUNT($E$2:$E$800)</f>
        <v/>
      </c>
      <c r="I614">
        <f>(SUMPRODUCT(--ISNUMBER($G$2:$G$800),--($G$2:$G$800&lt;G614))+(SUMPRODUCT(--ISNUMBER($G$2:$G$800),--($G$2:$G$800=G614))+1)/2)/COUNT($G$2:$G$800)</f>
        <v/>
      </c>
      <c r="J614" t="n">
        <v>4.264860778143861</v>
      </c>
      <c r="K614" t="n">
        <v>2.166890982503368</v>
      </c>
      <c r="L614" t="n">
        <v>0.2557200538357977</v>
      </c>
      <c r="M614">
        <f>IF(OR(B614="NW",COUNT(Risk_Rank_Keys!B614)=0),0.5,(SUMPRODUCT(--ISNUMBER(Risk_Rank_Keys!$B$2:$B$800),--(Risk_Rank_Keys!$B$2:$B$800&lt;Risk_Rank_Keys!B614))+(SUMPRODUCT(--ISNUMBER(Risk_Rank_Keys!$B$2:$B$800),--(Risk_Rank_Keys!$B$2:$B$800=Risk_Rank_Keys!B614))+1)/2)/COUNT(Risk_Rank_Keys!$B$2:$B$800))</f>
        <v/>
      </c>
      <c r="N614">
        <f>IF(OR(B614="NW",COUNT(Risk_Rank_Keys!C614)=0),0.5,(SUMPRODUCT(--ISNUMBER(Risk_Rank_Keys!$C$2:$C$800),--(Risk_Rank_Keys!$C$2:$C$800&lt;Risk_Rank_Keys!C614))+(SUMPRODUCT(--ISNUMBER(Risk_Rank_Keys!$C$2:$C$800),--(Risk_Rank_Keys!$C$2:$C$800=Risk_Rank_Keys!C614))+1)/2)/COUNT(Risk_Rank_Keys!$C$2:$C$800))</f>
        <v/>
      </c>
      <c r="O614">
        <f>IF(OR(B614="NW",COUNT(Risk_Rank_Keys!D614)=0),0.5,(SUMPRODUCT(--ISNUMBER(Risk_Rank_Keys!$D$2:$D$800),--(Risk_Rank_Keys!$D$2:$D$800&lt;Risk_Rank_Keys!D614))+(SUMPRODUCT(--ISNUMBER(Risk_Rank_Keys!$D$2:$D$800),--(Risk_Rank_Keys!$D$2:$D$800=Risk_Rank_Keys!D614))+1)/2)/COUNT(Risk_Rank_Keys!$D$2:$D$800))</f>
        <v/>
      </c>
      <c r="P614">
        <f>AVERAGE(M614:O614)</f>
        <v/>
      </c>
      <c r="Q614">
        <f>0.4*H614+0.4*I614+0.2*P614</f>
        <v/>
      </c>
      <c r="R614">
        <f>PERCENTILE($Q$2:$Q$800,0.75)</f>
        <v/>
      </c>
      <c r="S614">
        <f>OR(Q614&gt;=R614,AND(B614="CW",COUNT(J614:L614)&lt;3))</f>
        <v/>
      </c>
      <c r="T614" t="n">
        <v>0.2564894876719963</v>
      </c>
      <c r="U614" t="n">
        <v>5.314660899162001</v>
      </c>
      <c r="V614" t="n">
        <v>0.2590929270607321</v>
      </c>
      <c r="W614">
        <f>Q614-V614</f>
        <v/>
      </c>
    </row>
    <row r="615">
      <c r="A615" t="inlineStr">
        <is>
          <t>2025-01-20</t>
        </is>
      </c>
      <c r="B615" t="inlineStr">
        <is>
          <t>CW</t>
        </is>
      </c>
      <c r="C615" t="n">
        <v>-42.93711349865944</v>
      </c>
      <c r="D615">
        <f>SUMPRODUCT(Risk_Inputs!B615:AJ615,Risk_Coefs!$B$2:$AJ$2)</f>
        <v/>
      </c>
      <c r="E615">
        <f>1/(1+EXP(-MAX(-25,MIN(25,D615))))</f>
        <v/>
      </c>
      <c r="F615">
        <f>SUMPRODUCT(Risk_Inputs!B615:AJ615,Risk_Coefs!$B$3:$AJ$3)</f>
        <v/>
      </c>
      <c r="G615">
        <f>MAX(0,F615)</f>
        <v/>
      </c>
      <c r="H615">
        <f>(SUMPRODUCT(--ISNUMBER($E$2:$E$800),--($E$2:$E$800&lt;E615))+(SUMPRODUCT(--ISNUMBER($E$2:$E$800),--($E$2:$E$800=E615))+1)/2)/COUNT($E$2:$E$800)</f>
        <v/>
      </c>
      <c r="I615">
        <f>(SUMPRODUCT(--ISNUMBER($G$2:$G$800),--($G$2:$G$800&lt;G615))+(SUMPRODUCT(--ISNUMBER($G$2:$G$800),--($G$2:$G$800=G615))+1)/2)/COUNT($G$2:$G$800)</f>
        <v/>
      </c>
      <c r="J615" t="n">
        <v>5.758190381244394</v>
      </c>
      <c r="K615" t="n">
        <v>1.590836780146357</v>
      </c>
      <c r="L615" t="n">
        <v>0.2068087814190282</v>
      </c>
      <c r="M615">
        <f>IF(OR(B615="NW",COUNT(Risk_Rank_Keys!B615)=0),0.5,(SUMPRODUCT(--ISNUMBER(Risk_Rank_Keys!$B$2:$B$800),--(Risk_Rank_Keys!$B$2:$B$800&lt;Risk_Rank_Keys!B615))+(SUMPRODUCT(--ISNUMBER(Risk_Rank_Keys!$B$2:$B$800),--(Risk_Rank_Keys!$B$2:$B$800=Risk_Rank_Keys!B615))+1)/2)/COUNT(Risk_Rank_Keys!$B$2:$B$800))</f>
        <v/>
      </c>
      <c r="N615">
        <f>IF(OR(B615="NW",COUNT(Risk_Rank_Keys!C615)=0),0.5,(SUMPRODUCT(--ISNUMBER(Risk_Rank_Keys!$C$2:$C$800),--(Risk_Rank_Keys!$C$2:$C$800&lt;Risk_Rank_Keys!C615))+(SUMPRODUCT(--ISNUMBER(Risk_Rank_Keys!$C$2:$C$800),--(Risk_Rank_Keys!$C$2:$C$800=Risk_Rank_Keys!C615))+1)/2)/COUNT(Risk_Rank_Keys!$C$2:$C$800))</f>
        <v/>
      </c>
      <c r="O615">
        <f>IF(OR(B615="NW",COUNT(Risk_Rank_Keys!D615)=0),0.5,(SUMPRODUCT(--ISNUMBER(Risk_Rank_Keys!$D$2:$D$800),--(Risk_Rank_Keys!$D$2:$D$800&lt;Risk_Rank_Keys!D615))+(SUMPRODUCT(--ISNUMBER(Risk_Rank_Keys!$D$2:$D$800),--(Risk_Rank_Keys!$D$2:$D$800=Risk_Rank_Keys!D615))+1)/2)/COUNT(Risk_Rank_Keys!$D$2:$D$800))</f>
        <v/>
      </c>
      <c r="P615">
        <f>AVERAGE(M615:O615)</f>
        <v/>
      </c>
      <c r="Q615">
        <f>0.4*H615+0.4*I615+0.2*P615</f>
        <v/>
      </c>
      <c r="R615">
        <f>PERCENTILE($Q$2:$Q$800,0.75)</f>
        <v/>
      </c>
      <c r="S615">
        <f>OR(Q615&gt;=R615,AND(B615="CW",COUNT(J615:L615)&lt;3))</f>
        <v/>
      </c>
      <c r="T615" t="n">
        <v>0.3096443342038483</v>
      </c>
      <c r="U615" t="n">
        <v>7.870551809092178</v>
      </c>
      <c r="V615" t="n">
        <v>0.5034898923514923</v>
      </c>
      <c r="W615">
        <f>Q615-V615</f>
        <v/>
      </c>
    </row>
    <row r="616">
      <c r="A616" t="inlineStr">
        <is>
          <t>2025-01-21</t>
        </is>
      </c>
      <c r="B616" t="inlineStr">
        <is>
          <t>CW</t>
        </is>
      </c>
      <c r="C616" t="n">
        <v>-34.84451839795089</v>
      </c>
      <c r="D616">
        <f>SUMPRODUCT(Risk_Inputs!B616:AJ616,Risk_Coefs!$B$2:$AJ$2)</f>
        <v/>
      </c>
      <c r="E616">
        <f>1/(1+EXP(-MAX(-25,MIN(25,D616))))</f>
        <v/>
      </c>
      <c r="F616">
        <f>SUMPRODUCT(Risk_Inputs!B616:AJ616,Risk_Coefs!$B$3:$AJ$3)</f>
        <v/>
      </c>
      <c r="G616">
        <f>MAX(0,F616)</f>
        <v/>
      </c>
      <c r="H616">
        <f>(SUMPRODUCT(--ISNUMBER($E$2:$E$800),--($E$2:$E$800&lt;E616))+(SUMPRODUCT(--ISNUMBER($E$2:$E$800),--($E$2:$E$800=E616))+1)/2)/COUNT($E$2:$E$800)</f>
        <v/>
      </c>
      <c r="I616">
        <f>(SUMPRODUCT(--ISNUMBER($G$2:$G$800),--($G$2:$G$800&lt;G616))+(SUMPRODUCT(--ISNUMBER($G$2:$G$800),--($G$2:$G$800=G616))+1)/2)/COUNT($G$2:$G$800)</f>
        <v/>
      </c>
      <c r="J616" t="n">
        <v>4.787593293948436</v>
      </c>
      <c r="K616" t="n">
        <v>2.001154512218605</v>
      </c>
      <c r="L616" t="n">
        <v>0.2693861843371131</v>
      </c>
      <c r="M616">
        <f>IF(OR(B616="NW",COUNT(Risk_Rank_Keys!B616)=0),0.5,(SUMPRODUCT(--ISNUMBER(Risk_Rank_Keys!$B$2:$B$800),--(Risk_Rank_Keys!$B$2:$B$800&lt;Risk_Rank_Keys!B616))+(SUMPRODUCT(--ISNUMBER(Risk_Rank_Keys!$B$2:$B$800),--(Risk_Rank_Keys!$B$2:$B$800=Risk_Rank_Keys!B616))+1)/2)/COUNT(Risk_Rank_Keys!$B$2:$B$800))</f>
        <v/>
      </c>
      <c r="N616">
        <f>IF(OR(B616="NW",COUNT(Risk_Rank_Keys!C616)=0),0.5,(SUMPRODUCT(--ISNUMBER(Risk_Rank_Keys!$C$2:$C$800),--(Risk_Rank_Keys!$C$2:$C$800&lt;Risk_Rank_Keys!C616))+(SUMPRODUCT(--ISNUMBER(Risk_Rank_Keys!$C$2:$C$800),--(Risk_Rank_Keys!$C$2:$C$800=Risk_Rank_Keys!C616))+1)/2)/COUNT(Risk_Rank_Keys!$C$2:$C$800))</f>
        <v/>
      </c>
      <c r="O616">
        <f>IF(OR(B616="NW",COUNT(Risk_Rank_Keys!D616)=0),0.5,(SUMPRODUCT(--ISNUMBER(Risk_Rank_Keys!$D$2:$D$800),--(Risk_Rank_Keys!$D$2:$D$800&lt;Risk_Rank_Keys!D616))+(SUMPRODUCT(--ISNUMBER(Risk_Rank_Keys!$D$2:$D$800),--(Risk_Rank_Keys!$D$2:$D$800=Risk_Rank_Keys!D616))+1)/2)/COUNT(Risk_Rank_Keys!$D$2:$D$800))</f>
        <v/>
      </c>
      <c r="P616">
        <f>AVERAGE(M616:O616)</f>
        <v/>
      </c>
      <c r="Q616">
        <f>0.4*H616+0.4*I616+0.2*P616</f>
        <v/>
      </c>
      <c r="R616">
        <f>PERCENTILE($Q$2:$Q$800,0.75)</f>
        <v/>
      </c>
      <c r="S616">
        <f>OR(Q616&gt;=R616,AND(B616="CW",COUNT(J616:L616)&lt;3))</f>
        <v/>
      </c>
      <c r="T616" t="n">
        <v>0.2360934359095856</v>
      </c>
      <c r="U616" t="n">
        <v>5.090869931873867</v>
      </c>
      <c r="V616" t="n">
        <v>0.2109687318352962</v>
      </c>
      <c r="W616">
        <f>Q616-V616</f>
        <v/>
      </c>
    </row>
    <row r="617">
      <c r="A617" t="inlineStr">
        <is>
          <t>2025-01-22</t>
        </is>
      </c>
      <c r="B617" t="inlineStr">
        <is>
          <t>NW</t>
        </is>
      </c>
      <c r="C617" t="n">
        <v>65.52839092912591</v>
      </c>
      <c r="D617">
        <f>SUMPRODUCT(Risk_Inputs!B617:AJ617,Risk_Coefs!$B$2:$AJ$2)</f>
        <v/>
      </c>
      <c r="E617">
        <f>1/(1+EXP(-MAX(-25,MIN(25,D617))))</f>
        <v/>
      </c>
      <c r="F617">
        <f>SUMPRODUCT(Risk_Inputs!B617:AJ617,Risk_Coefs!$B$3:$AJ$3)</f>
        <v/>
      </c>
      <c r="G617">
        <f>MAX(0,F617)</f>
        <v/>
      </c>
      <c r="H617">
        <f>(SUMPRODUCT(--ISNUMBER($E$2:$E$800),--($E$2:$E$800&lt;E617))+(SUMPRODUCT(--ISNUMBER($E$2:$E$800),--($E$2:$E$800=E617))+1)/2)/COUNT($E$2:$E$800)</f>
        <v/>
      </c>
      <c r="I617">
        <f>(SUMPRODUCT(--ISNUMBER($G$2:$G$800),--($G$2:$G$800&lt;G617))+(SUMPRODUCT(--ISNUMBER($G$2:$G$800),--($G$2:$G$800=G617))+1)/2)/COUNT($G$2:$G$800)</f>
        <v/>
      </c>
      <c r="M617">
        <f>IF(OR(B617="NW",COUNT(Risk_Rank_Keys!B617)=0),0.5,(SUMPRODUCT(--ISNUMBER(Risk_Rank_Keys!$B$2:$B$800),--(Risk_Rank_Keys!$B$2:$B$800&lt;Risk_Rank_Keys!B617))+(SUMPRODUCT(--ISNUMBER(Risk_Rank_Keys!$B$2:$B$800),--(Risk_Rank_Keys!$B$2:$B$800=Risk_Rank_Keys!B617))+1)/2)/COUNT(Risk_Rank_Keys!$B$2:$B$800))</f>
        <v/>
      </c>
      <c r="N617">
        <f>IF(OR(B617="NW",COUNT(Risk_Rank_Keys!C617)=0),0.5,(SUMPRODUCT(--ISNUMBER(Risk_Rank_Keys!$C$2:$C$800),--(Risk_Rank_Keys!$C$2:$C$800&lt;Risk_Rank_Keys!C617))+(SUMPRODUCT(--ISNUMBER(Risk_Rank_Keys!$C$2:$C$800),--(Risk_Rank_Keys!$C$2:$C$800=Risk_Rank_Keys!C617))+1)/2)/COUNT(Risk_Rank_Keys!$C$2:$C$800))</f>
        <v/>
      </c>
      <c r="O617">
        <f>IF(OR(B617="NW",COUNT(Risk_Rank_Keys!D617)=0),0.5,(SUMPRODUCT(--ISNUMBER(Risk_Rank_Keys!$D$2:$D$800),--(Risk_Rank_Keys!$D$2:$D$800&lt;Risk_Rank_Keys!D617))+(SUMPRODUCT(--ISNUMBER(Risk_Rank_Keys!$D$2:$D$800),--(Risk_Rank_Keys!$D$2:$D$800=Risk_Rank_Keys!D617))+1)/2)/COUNT(Risk_Rank_Keys!$D$2:$D$800))</f>
        <v/>
      </c>
      <c r="P617">
        <f>AVERAGE(M617:O617)</f>
        <v/>
      </c>
      <c r="Q617">
        <f>0.4*H617+0.4*I617+0.2*P617</f>
        <v/>
      </c>
      <c r="R617">
        <f>PERCENTILE($Q$2:$Q$800,0.75)</f>
        <v/>
      </c>
      <c r="S617">
        <f>OR(Q617&gt;=R617,AND(B617="CW",COUNT(J617:L617)&lt;3))</f>
        <v/>
      </c>
      <c r="T617" t="n">
        <v>0.3386515676638491</v>
      </c>
      <c r="U617" t="n">
        <v>10.21430768820473</v>
      </c>
      <c r="V617" t="n">
        <v>0.73729662077597</v>
      </c>
      <c r="W617">
        <f>Q617-V617</f>
        <v/>
      </c>
    </row>
    <row r="618">
      <c r="A618" t="inlineStr">
        <is>
          <t>2025-01-23</t>
        </is>
      </c>
      <c r="B618" t="inlineStr">
        <is>
          <t>NW</t>
        </is>
      </c>
      <c r="C618" t="n">
        <v>-8.892153968629851</v>
      </c>
      <c r="D618">
        <f>SUMPRODUCT(Risk_Inputs!B618:AJ618,Risk_Coefs!$B$2:$AJ$2)</f>
        <v/>
      </c>
      <c r="E618">
        <f>1/(1+EXP(-MAX(-25,MIN(25,D618))))</f>
        <v/>
      </c>
      <c r="F618">
        <f>SUMPRODUCT(Risk_Inputs!B618:AJ618,Risk_Coefs!$B$3:$AJ$3)</f>
        <v/>
      </c>
      <c r="G618">
        <f>MAX(0,F618)</f>
        <v/>
      </c>
      <c r="H618">
        <f>(SUMPRODUCT(--ISNUMBER($E$2:$E$800),--($E$2:$E$800&lt;E618))+(SUMPRODUCT(--ISNUMBER($E$2:$E$800),--($E$2:$E$800=E618))+1)/2)/COUNT($E$2:$E$800)</f>
        <v/>
      </c>
      <c r="I618">
        <f>(SUMPRODUCT(--ISNUMBER($G$2:$G$800),--($G$2:$G$800&lt;G618))+(SUMPRODUCT(--ISNUMBER($G$2:$G$800),--($G$2:$G$800=G618))+1)/2)/COUNT($G$2:$G$800)</f>
        <v/>
      </c>
      <c r="M618">
        <f>IF(OR(B618="NW",COUNT(Risk_Rank_Keys!B618)=0),0.5,(SUMPRODUCT(--ISNUMBER(Risk_Rank_Keys!$B$2:$B$800),--(Risk_Rank_Keys!$B$2:$B$800&lt;Risk_Rank_Keys!B618))+(SUMPRODUCT(--ISNUMBER(Risk_Rank_Keys!$B$2:$B$800),--(Risk_Rank_Keys!$B$2:$B$800=Risk_Rank_Keys!B618))+1)/2)/COUNT(Risk_Rank_Keys!$B$2:$B$800))</f>
        <v/>
      </c>
      <c r="N618">
        <f>IF(OR(B618="NW",COUNT(Risk_Rank_Keys!C618)=0),0.5,(SUMPRODUCT(--ISNUMBER(Risk_Rank_Keys!$C$2:$C$800),--(Risk_Rank_Keys!$C$2:$C$800&lt;Risk_Rank_Keys!C618))+(SUMPRODUCT(--ISNUMBER(Risk_Rank_Keys!$C$2:$C$800),--(Risk_Rank_Keys!$C$2:$C$800=Risk_Rank_Keys!C618))+1)/2)/COUNT(Risk_Rank_Keys!$C$2:$C$800))</f>
        <v/>
      </c>
      <c r="O618">
        <f>IF(OR(B618="NW",COUNT(Risk_Rank_Keys!D618)=0),0.5,(SUMPRODUCT(--ISNUMBER(Risk_Rank_Keys!$D$2:$D$800),--(Risk_Rank_Keys!$D$2:$D$800&lt;Risk_Rank_Keys!D618))+(SUMPRODUCT(--ISNUMBER(Risk_Rank_Keys!$D$2:$D$800),--(Risk_Rank_Keys!$D$2:$D$800=Risk_Rank_Keys!D618))+1)/2)/COUNT(Risk_Rank_Keys!$D$2:$D$800))</f>
        <v/>
      </c>
      <c r="P618">
        <f>AVERAGE(M618:O618)</f>
        <v/>
      </c>
      <c r="Q618">
        <f>0.4*H618+0.4*I618+0.2*P618</f>
        <v/>
      </c>
      <c r="R618">
        <f>PERCENTILE($Q$2:$Q$800,0.75)</f>
        <v/>
      </c>
      <c r="S618">
        <f>OR(Q618&gt;=R618,AND(B618="CW",COUNT(J618:L618)&lt;3))</f>
        <v/>
      </c>
      <c r="T618" t="n">
        <v>0.3452873988150382</v>
      </c>
      <c r="U618" t="n">
        <v>9.8483134582146</v>
      </c>
      <c r="V618" t="n">
        <v>0.7312891113892366</v>
      </c>
      <c r="W618">
        <f>Q618-V618</f>
        <v/>
      </c>
    </row>
    <row r="619">
      <c r="A619" t="inlineStr">
        <is>
          <t>2025-01-24</t>
        </is>
      </c>
      <c r="B619" t="inlineStr">
        <is>
          <t>CW</t>
        </is>
      </c>
      <c r="C619" t="n">
        <v>2.229974609788962</v>
      </c>
      <c r="D619">
        <f>SUMPRODUCT(Risk_Inputs!B619:AJ619,Risk_Coefs!$B$2:$AJ$2)</f>
        <v/>
      </c>
      <c r="E619">
        <f>1/(1+EXP(-MAX(-25,MIN(25,D619))))</f>
        <v/>
      </c>
      <c r="F619">
        <f>SUMPRODUCT(Risk_Inputs!B619:AJ619,Risk_Coefs!$B$3:$AJ$3)</f>
        <v/>
      </c>
      <c r="G619">
        <f>MAX(0,F619)</f>
        <v/>
      </c>
      <c r="H619">
        <f>(SUMPRODUCT(--ISNUMBER($E$2:$E$800),--($E$2:$E$800&lt;E619))+(SUMPRODUCT(--ISNUMBER($E$2:$E$800),--($E$2:$E$800=E619))+1)/2)/COUNT($E$2:$E$800)</f>
        <v/>
      </c>
      <c r="I619">
        <f>(SUMPRODUCT(--ISNUMBER($G$2:$G$800),--($G$2:$G$800&lt;G619))+(SUMPRODUCT(--ISNUMBER($G$2:$G$800),--($G$2:$G$800=G619))+1)/2)/COUNT($G$2:$G$800)</f>
        <v/>
      </c>
      <c r="J619" t="n">
        <v>8.612524457636162</v>
      </c>
      <c r="K619" t="n">
        <v>4.404873477038422</v>
      </c>
      <c r="L619" t="n">
        <v>0.294550810014726</v>
      </c>
      <c r="M619">
        <f>IF(OR(B619="NW",COUNT(Risk_Rank_Keys!B619)=0),0.5,(SUMPRODUCT(--ISNUMBER(Risk_Rank_Keys!$B$2:$B$800),--(Risk_Rank_Keys!$B$2:$B$800&lt;Risk_Rank_Keys!B619))+(SUMPRODUCT(--ISNUMBER(Risk_Rank_Keys!$B$2:$B$800),--(Risk_Rank_Keys!$B$2:$B$800=Risk_Rank_Keys!B619))+1)/2)/COUNT(Risk_Rank_Keys!$B$2:$B$800))</f>
        <v/>
      </c>
      <c r="N619">
        <f>IF(OR(B619="NW",COUNT(Risk_Rank_Keys!C619)=0),0.5,(SUMPRODUCT(--ISNUMBER(Risk_Rank_Keys!$C$2:$C$800),--(Risk_Rank_Keys!$C$2:$C$800&lt;Risk_Rank_Keys!C619))+(SUMPRODUCT(--ISNUMBER(Risk_Rank_Keys!$C$2:$C$800),--(Risk_Rank_Keys!$C$2:$C$800=Risk_Rank_Keys!C619))+1)/2)/COUNT(Risk_Rank_Keys!$C$2:$C$800))</f>
        <v/>
      </c>
      <c r="O619">
        <f>IF(OR(B619="NW",COUNT(Risk_Rank_Keys!D619)=0),0.5,(SUMPRODUCT(--ISNUMBER(Risk_Rank_Keys!$D$2:$D$800),--(Risk_Rank_Keys!$D$2:$D$800&lt;Risk_Rank_Keys!D619))+(SUMPRODUCT(--ISNUMBER(Risk_Rank_Keys!$D$2:$D$800),--(Risk_Rank_Keys!$D$2:$D$800=Risk_Rank_Keys!D619))+1)/2)/COUNT(Risk_Rank_Keys!$D$2:$D$800))</f>
        <v/>
      </c>
      <c r="P619">
        <f>AVERAGE(M619:O619)</f>
        <v/>
      </c>
      <c r="Q619">
        <f>0.4*H619+0.4*I619+0.2*P619</f>
        <v/>
      </c>
      <c r="R619">
        <f>PERCENTILE($Q$2:$Q$800,0.75)</f>
        <v/>
      </c>
      <c r="S619">
        <f>OR(Q619&gt;=R619,AND(B619="CW",COUNT(J619:L619)&lt;3))</f>
        <v/>
      </c>
      <c r="T619" t="n">
        <v>0.2295390265396364</v>
      </c>
      <c r="U619" t="n">
        <v>6.971401856464679</v>
      </c>
      <c r="V619" t="n">
        <v>0.3526422207210431</v>
      </c>
      <c r="W619">
        <f>Q619-V619</f>
        <v/>
      </c>
    </row>
    <row r="620">
      <c r="A620" t="inlineStr">
        <is>
          <t>2025-01-27</t>
        </is>
      </c>
      <c r="B620" t="inlineStr">
        <is>
          <t>CW</t>
        </is>
      </c>
      <c r="C620" t="n">
        <v>33.2420481650209</v>
      </c>
      <c r="D620">
        <f>SUMPRODUCT(Risk_Inputs!B620:AJ620,Risk_Coefs!$B$2:$AJ$2)</f>
        <v/>
      </c>
      <c r="E620">
        <f>1/(1+EXP(-MAX(-25,MIN(25,D620))))</f>
        <v/>
      </c>
      <c r="F620">
        <f>SUMPRODUCT(Risk_Inputs!B620:AJ620,Risk_Coefs!$B$3:$AJ$3)</f>
        <v/>
      </c>
      <c r="G620">
        <f>MAX(0,F620)</f>
        <v/>
      </c>
      <c r="H620">
        <f>(SUMPRODUCT(--ISNUMBER($E$2:$E$800),--($E$2:$E$800&lt;E620))+(SUMPRODUCT(--ISNUMBER($E$2:$E$800),--($E$2:$E$800=E620))+1)/2)/COUNT($E$2:$E$800)</f>
        <v/>
      </c>
      <c r="I620">
        <f>(SUMPRODUCT(--ISNUMBER($G$2:$G$800),--($G$2:$G$800&lt;G620))+(SUMPRODUCT(--ISNUMBER($G$2:$G$800),--($G$2:$G$800=G620))+1)/2)/COUNT($G$2:$G$800)</f>
        <v/>
      </c>
      <c r="J620" t="n">
        <v>36.96865719734969</v>
      </c>
      <c r="K620" t="n">
        <v>7.573149741824434</v>
      </c>
      <c r="L620" t="n">
        <v>0.1721170395869174</v>
      </c>
      <c r="M620">
        <f>IF(OR(B620="NW",COUNT(Risk_Rank_Keys!B620)=0),0.5,(SUMPRODUCT(--ISNUMBER(Risk_Rank_Keys!$B$2:$B$800),--(Risk_Rank_Keys!$B$2:$B$800&lt;Risk_Rank_Keys!B620))+(SUMPRODUCT(--ISNUMBER(Risk_Rank_Keys!$B$2:$B$800),--(Risk_Rank_Keys!$B$2:$B$800=Risk_Rank_Keys!B620))+1)/2)/COUNT(Risk_Rank_Keys!$B$2:$B$800))</f>
        <v/>
      </c>
      <c r="N620">
        <f>IF(OR(B620="NW",COUNT(Risk_Rank_Keys!C620)=0),0.5,(SUMPRODUCT(--ISNUMBER(Risk_Rank_Keys!$C$2:$C$800),--(Risk_Rank_Keys!$C$2:$C$800&lt;Risk_Rank_Keys!C620))+(SUMPRODUCT(--ISNUMBER(Risk_Rank_Keys!$C$2:$C$800),--(Risk_Rank_Keys!$C$2:$C$800=Risk_Rank_Keys!C620))+1)/2)/COUNT(Risk_Rank_Keys!$C$2:$C$800))</f>
        <v/>
      </c>
      <c r="O620">
        <f>IF(OR(B620="NW",COUNT(Risk_Rank_Keys!D620)=0),0.5,(SUMPRODUCT(--ISNUMBER(Risk_Rank_Keys!$D$2:$D$800),--(Risk_Rank_Keys!$D$2:$D$800&lt;Risk_Rank_Keys!D620))+(SUMPRODUCT(--ISNUMBER(Risk_Rank_Keys!$D$2:$D$800),--(Risk_Rank_Keys!$D$2:$D$800=Risk_Rank_Keys!D620))+1)/2)/COUNT(Risk_Rank_Keys!$D$2:$D$800))</f>
        <v/>
      </c>
      <c r="P620">
        <f>AVERAGE(M620:O620)</f>
        <v/>
      </c>
      <c r="Q620">
        <f>0.4*H620+0.4*I620+0.2*P620</f>
        <v/>
      </c>
      <c r="R620">
        <f>PERCENTILE($Q$2:$Q$800,0.75)</f>
        <v/>
      </c>
      <c r="S620">
        <f>OR(Q620&gt;=R620,AND(B620="CW",COUNT(J620:L620)&lt;3))</f>
        <v/>
      </c>
      <c r="T620" t="n">
        <v>0.2317109607633042</v>
      </c>
      <c r="U620" t="n">
        <v>4.783996690372458</v>
      </c>
      <c r="V620" t="n">
        <v>0.2465530774462965</v>
      </c>
      <c r="W620">
        <f>Q620-V620</f>
        <v/>
      </c>
    </row>
    <row r="621">
      <c r="A621" t="inlineStr">
        <is>
          <t>2025-01-28</t>
        </is>
      </c>
      <c r="B621" t="inlineStr">
        <is>
          <t>CW</t>
        </is>
      </c>
      <c r="C621" t="n">
        <v>-34.15651890569639</v>
      </c>
      <c r="D621">
        <f>SUMPRODUCT(Risk_Inputs!B621:AJ621,Risk_Coefs!$B$2:$AJ$2)</f>
        <v/>
      </c>
      <c r="E621">
        <f>1/(1+EXP(-MAX(-25,MIN(25,D621))))</f>
        <v/>
      </c>
      <c r="F621">
        <f>SUMPRODUCT(Risk_Inputs!B621:AJ621,Risk_Coefs!$B$3:$AJ$3)</f>
        <v/>
      </c>
      <c r="G621">
        <f>MAX(0,F621)</f>
        <v/>
      </c>
      <c r="H621">
        <f>(SUMPRODUCT(--ISNUMBER($E$2:$E$800),--($E$2:$E$800&lt;E621))+(SUMPRODUCT(--ISNUMBER($E$2:$E$800),--($E$2:$E$800=E621))+1)/2)/COUNT($E$2:$E$800)</f>
        <v/>
      </c>
      <c r="I621">
        <f>(SUMPRODUCT(--ISNUMBER($G$2:$G$800),--($G$2:$G$800&lt;G621))+(SUMPRODUCT(--ISNUMBER($G$2:$G$800),--($G$2:$G$800=G621))+1)/2)/COUNT($G$2:$G$800)</f>
        <v/>
      </c>
      <c r="J621" t="n">
        <v>15.85363989526958</v>
      </c>
      <c r="K621" t="n">
        <v>2.0676979629346</v>
      </c>
      <c r="L621" t="n">
        <v>0.2144279368969179</v>
      </c>
      <c r="M621">
        <f>IF(OR(B621="NW",COUNT(Risk_Rank_Keys!B621)=0),0.5,(SUMPRODUCT(--ISNUMBER(Risk_Rank_Keys!$B$2:$B$800),--(Risk_Rank_Keys!$B$2:$B$800&lt;Risk_Rank_Keys!B621))+(SUMPRODUCT(--ISNUMBER(Risk_Rank_Keys!$B$2:$B$800),--(Risk_Rank_Keys!$B$2:$B$800=Risk_Rank_Keys!B621))+1)/2)/COUNT(Risk_Rank_Keys!$B$2:$B$800))</f>
        <v/>
      </c>
      <c r="N621">
        <f>IF(OR(B621="NW",COUNT(Risk_Rank_Keys!C621)=0),0.5,(SUMPRODUCT(--ISNUMBER(Risk_Rank_Keys!$C$2:$C$800),--(Risk_Rank_Keys!$C$2:$C$800&lt;Risk_Rank_Keys!C621))+(SUMPRODUCT(--ISNUMBER(Risk_Rank_Keys!$C$2:$C$800),--(Risk_Rank_Keys!$C$2:$C$800=Risk_Rank_Keys!C621))+1)/2)/COUNT(Risk_Rank_Keys!$C$2:$C$800))</f>
        <v/>
      </c>
      <c r="O621">
        <f>IF(OR(B621="NW",COUNT(Risk_Rank_Keys!D621)=0),0.5,(SUMPRODUCT(--ISNUMBER(Risk_Rank_Keys!$D$2:$D$800),--(Risk_Rank_Keys!$D$2:$D$800&lt;Risk_Rank_Keys!D621))+(SUMPRODUCT(--ISNUMBER(Risk_Rank_Keys!$D$2:$D$800),--(Risk_Rank_Keys!$D$2:$D$800=Risk_Rank_Keys!D621))+1)/2)/COUNT(Risk_Rank_Keys!$D$2:$D$800))</f>
        <v/>
      </c>
      <c r="P621">
        <f>AVERAGE(M621:O621)</f>
        <v/>
      </c>
      <c r="Q621">
        <f>0.4*H621+0.4*I621+0.2*P621</f>
        <v/>
      </c>
      <c r="R621">
        <f>PERCENTILE($Q$2:$Q$800,0.75)</f>
        <v/>
      </c>
      <c r="S621">
        <f>OR(Q621&gt;=R621,AND(B621="CW",COUNT(J621:L621)&lt;3))</f>
        <v/>
      </c>
      <c r="T621" t="n">
        <v>0.3432295394310048</v>
      </c>
      <c r="U621" t="n">
        <v>11.53454479706761</v>
      </c>
      <c r="V621" t="n">
        <v>0.7750613417864848</v>
      </c>
      <c r="W621">
        <f>Q621-V621</f>
        <v/>
      </c>
    </row>
    <row r="622">
      <c r="A622" t="inlineStr">
        <is>
          <t>2025-01-29</t>
        </is>
      </c>
      <c r="B622" t="inlineStr">
        <is>
          <t>CW</t>
        </is>
      </c>
      <c r="C622" t="n">
        <v>-37.11765696709674</v>
      </c>
      <c r="D622">
        <f>SUMPRODUCT(Risk_Inputs!B622:AJ622,Risk_Coefs!$B$2:$AJ$2)</f>
        <v/>
      </c>
      <c r="E622">
        <f>1/(1+EXP(-MAX(-25,MIN(25,D622))))</f>
        <v/>
      </c>
      <c r="F622">
        <f>SUMPRODUCT(Risk_Inputs!B622:AJ622,Risk_Coefs!$B$3:$AJ$3)</f>
        <v/>
      </c>
      <c r="G622">
        <f>MAX(0,F622)</f>
        <v/>
      </c>
      <c r="H622">
        <f>(SUMPRODUCT(--ISNUMBER($E$2:$E$800),--($E$2:$E$800&lt;E622))+(SUMPRODUCT(--ISNUMBER($E$2:$E$800),--($E$2:$E$800=E622))+1)/2)/COUNT($E$2:$E$800)</f>
        <v/>
      </c>
      <c r="I622">
        <f>(SUMPRODUCT(--ISNUMBER($G$2:$G$800),--($G$2:$G$800&lt;G622))+(SUMPRODUCT(--ISNUMBER($G$2:$G$800),--($G$2:$G$800=G622))+1)/2)/COUNT($G$2:$G$800)</f>
        <v/>
      </c>
      <c r="J622" t="n">
        <v>6.334839665641325</v>
      </c>
      <c r="K622" t="n">
        <v>2.796296296296301</v>
      </c>
      <c r="L622" t="n">
        <v>0.2222222222222201</v>
      </c>
      <c r="M622">
        <f>IF(OR(B622="NW",COUNT(Risk_Rank_Keys!B622)=0),0.5,(SUMPRODUCT(--ISNUMBER(Risk_Rank_Keys!$B$2:$B$800),--(Risk_Rank_Keys!$B$2:$B$800&lt;Risk_Rank_Keys!B622))+(SUMPRODUCT(--ISNUMBER(Risk_Rank_Keys!$B$2:$B$800),--(Risk_Rank_Keys!$B$2:$B$800=Risk_Rank_Keys!B622))+1)/2)/COUNT(Risk_Rank_Keys!$B$2:$B$800))</f>
        <v/>
      </c>
      <c r="N622">
        <f>IF(OR(B622="NW",COUNT(Risk_Rank_Keys!C622)=0),0.5,(SUMPRODUCT(--ISNUMBER(Risk_Rank_Keys!$C$2:$C$800),--(Risk_Rank_Keys!$C$2:$C$800&lt;Risk_Rank_Keys!C622))+(SUMPRODUCT(--ISNUMBER(Risk_Rank_Keys!$C$2:$C$800),--(Risk_Rank_Keys!$C$2:$C$800=Risk_Rank_Keys!C622))+1)/2)/COUNT(Risk_Rank_Keys!$C$2:$C$800))</f>
        <v/>
      </c>
      <c r="O622">
        <f>IF(OR(B622="NW",COUNT(Risk_Rank_Keys!D622)=0),0.5,(SUMPRODUCT(--ISNUMBER(Risk_Rank_Keys!$D$2:$D$800),--(Risk_Rank_Keys!$D$2:$D$800&lt;Risk_Rank_Keys!D622))+(SUMPRODUCT(--ISNUMBER(Risk_Rank_Keys!$D$2:$D$800),--(Risk_Rank_Keys!$D$2:$D$800=Risk_Rank_Keys!D622))+1)/2)/COUNT(Risk_Rank_Keys!$D$2:$D$800))</f>
        <v/>
      </c>
      <c r="P622">
        <f>AVERAGE(M622:O622)</f>
        <v/>
      </c>
      <c r="Q622">
        <f>0.4*H622+0.4*I622+0.2*P622</f>
        <v/>
      </c>
      <c r="R622">
        <f>PERCENTILE($Q$2:$Q$800,0.75)</f>
        <v/>
      </c>
      <c r="S622">
        <f>OR(Q622&gt;=R622,AND(B622="CW",COUNT(J622:L622)&lt;3))</f>
        <v/>
      </c>
      <c r="T622" t="n">
        <v>0.3900722462561449</v>
      </c>
      <c r="U622" t="n">
        <v>13.32737622908984</v>
      </c>
      <c r="V622" t="n">
        <v>0.8309298757337886</v>
      </c>
      <c r="W622">
        <f>Q622-V622</f>
        <v/>
      </c>
    </row>
    <row r="623">
      <c r="A623" t="inlineStr">
        <is>
          <t>2025-01-30</t>
        </is>
      </c>
      <c r="B623" t="inlineStr">
        <is>
          <t>CW</t>
        </is>
      </c>
      <c r="C623" t="n">
        <v>105.5397892500237</v>
      </c>
      <c r="D623">
        <f>SUMPRODUCT(Risk_Inputs!B623:AJ623,Risk_Coefs!$B$2:$AJ$2)</f>
        <v/>
      </c>
      <c r="E623">
        <f>1/(1+EXP(-MAX(-25,MIN(25,D623))))</f>
        <v/>
      </c>
      <c r="F623">
        <f>SUMPRODUCT(Risk_Inputs!B623:AJ623,Risk_Coefs!$B$3:$AJ$3)</f>
        <v/>
      </c>
      <c r="G623">
        <f>MAX(0,F623)</f>
        <v/>
      </c>
      <c r="H623">
        <f>(SUMPRODUCT(--ISNUMBER($E$2:$E$800),--($E$2:$E$800&lt;E623))+(SUMPRODUCT(--ISNUMBER($E$2:$E$800),--($E$2:$E$800=E623))+1)/2)/COUNT($E$2:$E$800)</f>
        <v/>
      </c>
      <c r="I623">
        <f>(SUMPRODUCT(--ISNUMBER($G$2:$G$800),--($G$2:$G$800&lt;G623))+(SUMPRODUCT(--ISNUMBER($G$2:$G$800),--($G$2:$G$800=G623))+1)/2)/COUNT($G$2:$G$800)</f>
        <v/>
      </c>
      <c r="J623" t="n">
        <v>14.28821557264154</v>
      </c>
      <c r="K623" t="n">
        <v>17.3503229184849</v>
      </c>
      <c r="L623" t="n">
        <v>0.331646011520341</v>
      </c>
      <c r="M623">
        <f>IF(OR(B623="NW",COUNT(Risk_Rank_Keys!B623)=0),0.5,(SUMPRODUCT(--ISNUMBER(Risk_Rank_Keys!$B$2:$B$800),--(Risk_Rank_Keys!$B$2:$B$800&lt;Risk_Rank_Keys!B623))+(SUMPRODUCT(--ISNUMBER(Risk_Rank_Keys!$B$2:$B$800),--(Risk_Rank_Keys!$B$2:$B$800=Risk_Rank_Keys!B623))+1)/2)/COUNT(Risk_Rank_Keys!$B$2:$B$800))</f>
        <v/>
      </c>
      <c r="N623">
        <f>IF(OR(B623="NW",COUNT(Risk_Rank_Keys!C623)=0),0.5,(SUMPRODUCT(--ISNUMBER(Risk_Rank_Keys!$C$2:$C$800),--(Risk_Rank_Keys!$C$2:$C$800&lt;Risk_Rank_Keys!C623))+(SUMPRODUCT(--ISNUMBER(Risk_Rank_Keys!$C$2:$C$800),--(Risk_Rank_Keys!$C$2:$C$800=Risk_Rank_Keys!C623))+1)/2)/COUNT(Risk_Rank_Keys!$C$2:$C$800))</f>
        <v/>
      </c>
      <c r="O623">
        <f>IF(OR(B623="NW",COUNT(Risk_Rank_Keys!D623)=0),0.5,(SUMPRODUCT(--ISNUMBER(Risk_Rank_Keys!$D$2:$D$800),--(Risk_Rank_Keys!$D$2:$D$800&lt;Risk_Rank_Keys!D623))+(SUMPRODUCT(--ISNUMBER(Risk_Rank_Keys!$D$2:$D$800),--(Risk_Rank_Keys!$D$2:$D$800=Risk_Rank_Keys!D623))+1)/2)/COUNT(Risk_Rank_Keys!$D$2:$D$800))</f>
        <v/>
      </c>
      <c r="P623">
        <f>AVERAGE(M623:O623)</f>
        <v/>
      </c>
      <c r="Q623">
        <f>0.4*H623+0.4*I623+0.2*P623</f>
        <v/>
      </c>
      <c r="R623">
        <f>PERCENTILE($Q$2:$Q$800,0.75)</f>
        <v/>
      </c>
      <c r="S623">
        <f>OR(Q623&gt;=R623,AND(B623="CW",COUNT(J623:L623)&lt;3))</f>
        <v/>
      </c>
      <c r="T623" t="n">
        <v>0.3198541462206004</v>
      </c>
      <c r="U623" t="n">
        <v>14.17140037034939</v>
      </c>
      <c r="V623" t="n">
        <v>0.819478788280795</v>
      </c>
      <c r="W623">
        <f>Q623-V623</f>
        <v/>
      </c>
    </row>
    <row r="624">
      <c r="A624" t="inlineStr">
        <is>
          <t>2025-01-31</t>
        </is>
      </c>
      <c r="B624" t="inlineStr">
        <is>
          <t>CW</t>
        </is>
      </c>
      <c r="C624" t="n">
        <v>52.24081991808941</v>
      </c>
      <c r="D624">
        <f>SUMPRODUCT(Risk_Inputs!B624:AJ624,Risk_Coefs!$B$2:$AJ$2)</f>
        <v/>
      </c>
      <c r="E624">
        <f>1/(1+EXP(-MAX(-25,MIN(25,D624))))</f>
        <v/>
      </c>
      <c r="F624">
        <f>SUMPRODUCT(Risk_Inputs!B624:AJ624,Risk_Coefs!$B$3:$AJ$3)</f>
        <v/>
      </c>
      <c r="G624">
        <f>MAX(0,F624)</f>
        <v/>
      </c>
      <c r="H624">
        <f>(SUMPRODUCT(--ISNUMBER($E$2:$E$800),--($E$2:$E$800&lt;E624))+(SUMPRODUCT(--ISNUMBER($E$2:$E$800),--($E$2:$E$800=E624))+1)/2)/COUNT($E$2:$E$800)</f>
        <v/>
      </c>
      <c r="I624">
        <f>(SUMPRODUCT(--ISNUMBER($G$2:$G$800),--($G$2:$G$800&lt;G624))+(SUMPRODUCT(--ISNUMBER($G$2:$G$800),--($G$2:$G$800=G624))+1)/2)/COUNT($G$2:$G$800)</f>
        <v/>
      </c>
      <c r="J624" t="n">
        <v>27.01006505120315</v>
      </c>
      <c r="K624" t="n">
        <v>2.933965994464226</v>
      </c>
      <c r="L624" t="n">
        <v>0.2530644523527032</v>
      </c>
      <c r="M624">
        <f>IF(OR(B624="NW",COUNT(Risk_Rank_Keys!B624)=0),0.5,(SUMPRODUCT(--ISNUMBER(Risk_Rank_Keys!$B$2:$B$800),--(Risk_Rank_Keys!$B$2:$B$800&lt;Risk_Rank_Keys!B624))+(SUMPRODUCT(--ISNUMBER(Risk_Rank_Keys!$B$2:$B$800),--(Risk_Rank_Keys!$B$2:$B$800=Risk_Rank_Keys!B624))+1)/2)/COUNT(Risk_Rank_Keys!$B$2:$B$800))</f>
        <v/>
      </c>
      <c r="N624">
        <f>IF(OR(B624="NW",COUNT(Risk_Rank_Keys!C624)=0),0.5,(SUMPRODUCT(--ISNUMBER(Risk_Rank_Keys!$C$2:$C$800),--(Risk_Rank_Keys!$C$2:$C$800&lt;Risk_Rank_Keys!C624))+(SUMPRODUCT(--ISNUMBER(Risk_Rank_Keys!$C$2:$C$800),--(Risk_Rank_Keys!$C$2:$C$800=Risk_Rank_Keys!C624))+1)/2)/COUNT(Risk_Rank_Keys!$C$2:$C$800))</f>
        <v/>
      </c>
      <c r="O624">
        <f>IF(OR(B624="NW",COUNT(Risk_Rank_Keys!D624)=0),0.5,(SUMPRODUCT(--ISNUMBER(Risk_Rank_Keys!$D$2:$D$800),--(Risk_Rank_Keys!$D$2:$D$800&lt;Risk_Rank_Keys!D624))+(SUMPRODUCT(--ISNUMBER(Risk_Rank_Keys!$D$2:$D$800),--(Risk_Rank_Keys!$D$2:$D$800=Risk_Rank_Keys!D624))+1)/2)/COUNT(Risk_Rank_Keys!$D$2:$D$800))</f>
        <v/>
      </c>
      <c r="P624">
        <f>AVERAGE(M624:O624)</f>
        <v/>
      </c>
      <c r="Q624">
        <f>0.4*H624+0.4*I624+0.2*P624</f>
        <v/>
      </c>
      <c r="R624">
        <f>PERCENTILE($Q$2:$Q$800,0.75)</f>
        <v/>
      </c>
      <c r="S624">
        <f>OR(Q624&gt;=R624,AND(B624="CW",COUNT(J624:L624)&lt;3))</f>
        <v/>
      </c>
      <c r="T624" t="n">
        <v>0.3262473193571688</v>
      </c>
      <c r="U624" t="n">
        <v>13.32016937376898</v>
      </c>
      <c r="V624" t="n">
        <v>0.7991367638185575</v>
      </c>
      <c r="W624">
        <f>Q624-V624</f>
        <v/>
      </c>
    </row>
    <row r="625">
      <c r="A625" t="inlineStr">
        <is>
          <t>2025-02-01</t>
        </is>
      </c>
      <c r="B625" t="inlineStr">
        <is>
          <t>CW</t>
        </is>
      </c>
      <c r="C625" t="n">
        <v>-13.88229407224387</v>
      </c>
      <c r="D625">
        <f>SUMPRODUCT(Risk_Inputs!B625:AJ625,Risk_Coefs!$B$2:$AJ$2)</f>
        <v/>
      </c>
      <c r="E625">
        <f>1/(1+EXP(-MAX(-25,MIN(25,D625))))</f>
        <v/>
      </c>
      <c r="F625">
        <f>SUMPRODUCT(Risk_Inputs!B625:AJ625,Risk_Coefs!$B$3:$AJ$3)</f>
        <v/>
      </c>
      <c r="G625">
        <f>MAX(0,F625)</f>
        <v/>
      </c>
      <c r="H625">
        <f>(SUMPRODUCT(--ISNUMBER($E$2:$E$800),--($E$2:$E$800&lt;E625))+(SUMPRODUCT(--ISNUMBER($E$2:$E$800),--($E$2:$E$800=E625))+1)/2)/COUNT($E$2:$E$800)</f>
        <v/>
      </c>
      <c r="I625">
        <f>(SUMPRODUCT(--ISNUMBER($G$2:$G$800),--($G$2:$G$800&lt;G625))+(SUMPRODUCT(--ISNUMBER($G$2:$G$800),--($G$2:$G$800=G625))+1)/2)/COUNT($G$2:$G$800)</f>
        <v/>
      </c>
      <c r="J625" t="n">
        <v>14.59965700369074</v>
      </c>
      <c r="K625" t="n">
        <v>3.1309192200557</v>
      </c>
      <c r="L625" t="n">
        <v>0.2228412256267409</v>
      </c>
      <c r="M625">
        <f>IF(OR(B625="NW",COUNT(Risk_Rank_Keys!B625)=0),0.5,(SUMPRODUCT(--ISNUMBER(Risk_Rank_Keys!$B$2:$B$800),--(Risk_Rank_Keys!$B$2:$B$800&lt;Risk_Rank_Keys!B625))+(SUMPRODUCT(--ISNUMBER(Risk_Rank_Keys!$B$2:$B$800),--(Risk_Rank_Keys!$B$2:$B$800=Risk_Rank_Keys!B625))+1)/2)/COUNT(Risk_Rank_Keys!$B$2:$B$800))</f>
        <v/>
      </c>
      <c r="N625">
        <f>IF(OR(B625="NW",COUNT(Risk_Rank_Keys!C625)=0),0.5,(SUMPRODUCT(--ISNUMBER(Risk_Rank_Keys!$C$2:$C$800),--(Risk_Rank_Keys!$C$2:$C$800&lt;Risk_Rank_Keys!C625))+(SUMPRODUCT(--ISNUMBER(Risk_Rank_Keys!$C$2:$C$800),--(Risk_Rank_Keys!$C$2:$C$800=Risk_Rank_Keys!C625))+1)/2)/COUNT(Risk_Rank_Keys!$C$2:$C$800))</f>
        <v/>
      </c>
      <c r="O625">
        <f>IF(OR(B625="NW",COUNT(Risk_Rank_Keys!D625)=0),0.5,(SUMPRODUCT(--ISNUMBER(Risk_Rank_Keys!$D$2:$D$800),--(Risk_Rank_Keys!$D$2:$D$800&lt;Risk_Rank_Keys!D625))+(SUMPRODUCT(--ISNUMBER(Risk_Rank_Keys!$D$2:$D$800),--(Risk_Rank_Keys!$D$2:$D$800=Risk_Rank_Keys!D625))+1)/2)/COUNT(Risk_Rank_Keys!$D$2:$D$800))</f>
        <v/>
      </c>
      <c r="P625">
        <f>AVERAGE(M625:O625)</f>
        <v/>
      </c>
      <c r="Q625">
        <f>0.4*H625+0.4*I625+0.2*P625</f>
        <v/>
      </c>
      <c r="R625">
        <f>PERCENTILE($Q$2:$Q$800,0.75)</f>
        <v/>
      </c>
      <c r="S625">
        <f>OR(Q625&gt;=R625,AND(B625="CW",COUNT(J625:L625)&lt;3))</f>
        <v/>
      </c>
      <c r="T625" t="n">
        <v>0.3230284993927585</v>
      </c>
      <c r="U625" t="n">
        <v>5.947819046903076</v>
      </c>
      <c r="V625" t="n">
        <v>0.489004793881706</v>
      </c>
      <c r="W625">
        <f>Q625-V625</f>
        <v/>
      </c>
    </row>
    <row r="626">
      <c r="A626" t="inlineStr">
        <is>
          <t>2025-02-04</t>
        </is>
      </c>
      <c r="B626" t="inlineStr">
        <is>
          <t>CW</t>
        </is>
      </c>
      <c r="C626" t="n">
        <v>60.51698846947413</v>
      </c>
      <c r="D626">
        <f>SUMPRODUCT(Risk_Inputs!B626:AJ626,Risk_Coefs!$B$2:$AJ$2)</f>
        <v/>
      </c>
      <c r="E626">
        <f>1/(1+EXP(-MAX(-25,MIN(25,D626))))</f>
        <v/>
      </c>
      <c r="F626">
        <f>SUMPRODUCT(Risk_Inputs!B626:AJ626,Risk_Coefs!$B$3:$AJ$3)</f>
        <v/>
      </c>
      <c r="G626">
        <f>MAX(0,F626)</f>
        <v/>
      </c>
      <c r="H626">
        <f>(SUMPRODUCT(--ISNUMBER($E$2:$E$800),--($E$2:$E$800&lt;E626))+(SUMPRODUCT(--ISNUMBER($E$2:$E$800),--($E$2:$E$800=E626))+1)/2)/COUNT($E$2:$E$800)</f>
        <v/>
      </c>
      <c r="I626">
        <f>(SUMPRODUCT(--ISNUMBER($G$2:$G$800),--($G$2:$G$800&lt;G626))+(SUMPRODUCT(--ISNUMBER($G$2:$G$800),--($G$2:$G$800=G626))+1)/2)/COUNT($G$2:$G$800)</f>
        <v/>
      </c>
      <c r="J626" t="n">
        <v>11.41051896572982</v>
      </c>
      <c r="K626" t="n">
        <v>2.56198347107438</v>
      </c>
      <c r="L626" t="n">
        <v>0.1652892561983471</v>
      </c>
      <c r="M626">
        <f>IF(OR(B626="NW",COUNT(Risk_Rank_Keys!B626)=0),0.5,(SUMPRODUCT(--ISNUMBER(Risk_Rank_Keys!$B$2:$B$800),--(Risk_Rank_Keys!$B$2:$B$800&lt;Risk_Rank_Keys!B626))+(SUMPRODUCT(--ISNUMBER(Risk_Rank_Keys!$B$2:$B$800),--(Risk_Rank_Keys!$B$2:$B$800=Risk_Rank_Keys!B626))+1)/2)/COUNT(Risk_Rank_Keys!$B$2:$B$800))</f>
        <v/>
      </c>
      <c r="N626">
        <f>IF(OR(B626="NW",COUNT(Risk_Rank_Keys!C626)=0),0.5,(SUMPRODUCT(--ISNUMBER(Risk_Rank_Keys!$C$2:$C$800),--(Risk_Rank_Keys!$C$2:$C$800&lt;Risk_Rank_Keys!C626))+(SUMPRODUCT(--ISNUMBER(Risk_Rank_Keys!$C$2:$C$800),--(Risk_Rank_Keys!$C$2:$C$800=Risk_Rank_Keys!C626))+1)/2)/COUNT(Risk_Rank_Keys!$C$2:$C$800))</f>
        <v/>
      </c>
      <c r="O626">
        <f>IF(OR(B626="NW",COUNT(Risk_Rank_Keys!D626)=0),0.5,(SUMPRODUCT(--ISNUMBER(Risk_Rank_Keys!$D$2:$D$800),--(Risk_Rank_Keys!$D$2:$D$800&lt;Risk_Rank_Keys!D626))+(SUMPRODUCT(--ISNUMBER(Risk_Rank_Keys!$D$2:$D$800),--(Risk_Rank_Keys!$D$2:$D$800=Risk_Rank_Keys!D626))+1)/2)/COUNT(Risk_Rank_Keys!$D$2:$D$800))</f>
        <v/>
      </c>
      <c r="P626">
        <f>AVERAGE(M626:O626)</f>
        <v/>
      </c>
      <c r="Q626">
        <f>0.4*H626+0.4*I626+0.2*P626</f>
        <v/>
      </c>
      <c r="R626">
        <f>PERCENTILE($Q$2:$Q$800,0.75)</f>
        <v/>
      </c>
      <c r="S626">
        <f>OR(Q626&gt;=R626,AND(B626="CW",COUNT(J626:L626)&lt;3))</f>
        <v/>
      </c>
      <c r="T626" t="n">
        <v>0.3712474826875963</v>
      </c>
      <c r="U626" t="n">
        <v>12.23774523098785</v>
      </c>
      <c r="V626" t="n">
        <v>0.7979742227761457</v>
      </c>
      <c r="W626">
        <f>Q626-V626</f>
        <v/>
      </c>
    </row>
    <row r="627">
      <c r="A627" t="inlineStr">
        <is>
          <t>2025-02-05</t>
        </is>
      </c>
      <c r="B627" t="inlineStr">
        <is>
          <t>CW</t>
        </is>
      </c>
      <c r="C627" t="n">
        <v>8.547035889811141</v>
      </c>
      <c r="D627">
        <f>SUMPRODUCT(Risk_Inputs!B627:AJ627,Risk_Coefs!$B$2:$AJ$2)</f>
        <v/>
      </c>
      <c r="E627">
        <f>1/(1+EXP(-MAX(-25,MIN(25,D627))))</f>
        <v/>
      </c>
      <c r="F627">
        <f>SUMPRODUCT(Risk_Inputs!B627:AJ627,Risk_Coefs!$B$3:$AJ$3)</f>
        <v/>
      </c>
      <c r="G627">
        <f>MAX(0,F627)</f>
        <v/>
      </c>
      <c r="H627">
        <f>(SUMPRODUCT(--ISNUMBER($E$2:$E$800),--($E$2:$E$800&lt;E627))+(SUMPRODUCT(--ISNUMBER($E$2:$E$800),--($E$2:$E$800=E627))+1)/2)/COUNT($E$2:$E$800)</f>
        <v/>
      </c>
      <c r="I627">
        <f>(SUMPRODUCT(--ISNUMBER($G$2:$G$800),--($G$2:$G$800&lt;G627))+(SUMPRODUCT(--ISNUMBER($G$2:$G$800),--($G$2:$G$800=G627))+1)/2)/COUNT($G$2:$G$800)</f>
        <v/>
      </c>
      <c r="J627" t="n">
        <v>3.11656369371821</v>
      </c>
      <c r="K627" t="n">
        <v>2.617801047120419</v>
      </c>
      <c r="L627" t="n">
        <v>0.2326934264107071</v>
      </c>
      <c r="M627">
        <f>IF(OR(B627="NW",COUNT(Risk_Rank_Keys!B627)=0),0.5,(SUMPRODUCT(--ISNUMBER(Risk_Rank_Keys!$B$2:$B$800),--(Risk_Rank_Keys!$B$2:$B$800&lt;Risk_Rank_Keys!B627))+(SUMPRODUCT(--ISNUMBER(Risk_Rank_Keys!$B$2:$B$800),--(Risk_Rank_Keys!$B$2:$B$800=Risk_Rank_Keys!B627))+1)/2)/COUNT(Risk_Rank_Keys!$B$2:$B$800))</f>
        <v/>
      </c>
      <c r="N627">
        <f>IF(OR(B627="NW",COUNT(Risk_Rank_Keys!C627)=0),0.5,(SUMPRODUCT(--ISNUMBER(Risk_Rank_Keys!$C$2:$C$800),--(Risk_Rank_Keys!$C$2:$C$800&lt;Risk_Rank_Keys!C627))+(SUMPRODUCT(--ISNUMBER(Risk_Rank_Keys!$C$2:$C$800),--(Risk_Rank_Keys!$C$2:$C$800=Risk_Rank_Keys!C627))+1)/2)/COUNT(Risk_Rank_Keys!$C$2:$C$800))</f>
        <v/>
      </c>
      <c r="O627">
        <f>IF(OR(B627="NW",COUNT(Risk_Rank_Keys!D627)=0),0.5,(SUMPRODUCT(--ISNUMBER(Risk_Rank_Keys!$D$2:$D$800),--(Risk_Rank_Keys!$D$2:$D$800&lt;Risk_Rank_Keys!D627))+(SUMPRODUCT(--ISNUMBER(Risk_Rank_Keys!$D$2:$D$800),--(Risk_Rank_Keys!$D$2:$D$800=Risk_Rank_Keys!D627))+1)/2)/COUNT(Risk_Rank_Keys!$D$2:$D$800))</f>
        <v/>
      </c>
      <c r="P627">
        <f>AVERAGE(M627:O627)</f>
        <v/>
      </c>
      <c r="Q627">
        <f>0.4*H627+0.4*I627+0.2*P627</f>
        <v/>
      </c>
      <c r="R627">
        <f>PERCENTILE($Q$2:$Q$800,0.75)</f>
        <v/>
      </c>
      <c r="S627">
        <f>OR(Q627&gt;=R627,AND(B627="CW",COUNT(J627:L627)&lt;3))</f>
        <v/>
      </c>
      <c r="T627" t="n">
        <v>0.3013515760845799</v>
      </c>
      <c r="U627" t="n">
        <v>6.839767502693688</v>
      </c>
      <c r="V627" t="n">
        <v>0.4547265322936795</v>
      </c>
      <c r="W627">
        <f>Q627-V627</f>
        <v/>
      </c>
    </row>
    <row r="628">
      <c r="A628" t="inlineStr">
        <is>
          <t>2025-02-06</t>
        </is>
      </c>
      <c r="B628" t="inlineStr">
        <is>
          <t>CW</t>
        </is>
      </c>
      <c r="C628" t="n">
        <v>37.06636637109121</v>
      </c>
      <c r="D628">
        <f>SUMPRODUCT(Risk_Inputs!B628:AJ628,Risk_Coefs!$B$2:$AJ$2)</f>
        <v/>
      </c>
      <c r="E628">
        <f>1/(1+EXP(-MAX(-25,MIN(25,D628))))</f>
        <v/>
      </c>
      <c r="F628">
        <f>SUMPRODUCT(Risk_Inputs!B628:AJ628,Risk_Coefs!$B$3:$AJ$3)</f>
        <v/>
      </c>
      <c r="G628">
        <f>MAX(0,F628)</f>
        <v/>
      </c>
      <c r="H628">
        <f>(SUMPRODUCT(--ISNUMBER($E$2:$E$800),--($E$2:$E$800&lt;E628))+(SUMPRODUCT(--ISNUMBER($E$2:$E$800),--($E$2:$E$800=E628))+1)/2)/COUNT($E$2:$E$800)</f>
        <v/>
      </c>
      <c r="I628">
        <f>(SUMPRODUCT(--ISNUMBER($G$2:$G$800),--($G$2:$G$800&lt;G628))+(SUMPRODUCT(--ISNUMBER($G$2:$G$800),--($G$2:$G$800=G628))+1)/2)/COUNT($G$2:$G$800)</f>
        <v/>
      </c>
      <c r="J628" t="n">
        <v>4.580977753758109</v>
      </c>
      <c r="K628" t="n">
        <v>9.25226586102719</v>
      </c>
      <c r="L628" t="n">
        <v>0.2643504531722118</v>
      </c>
      <c r="M628">
        <f>IF(OR(B628="NW",COUNT(Risk_Rank_Keys!B628)=0),0.5,(SUMPRODUCT(--ISNUMBER(Risk_Rank_Keys!$B$2:$B$800),--(Risk_Rank_Keys!$B$2:$B$800&lt;Risk_Rank_Keys!B628))+(SUMPRODUCT(--ISNUMBER(Risk_Rank_Keys!$B$2:$B$800),--(Risk_Rank_Keys!$B$2:$B$800=Risk_Rank_Keys!B628))+1)/2)/COUNT(Risk_Rank_Keys!$B$2:$B$800))</f>
        <v/>
      </c>
      <c r="N628">
        <f>IF(OR(B628="NW",COUNT(Risk_Rank_Keys!C628)=0),0.5,(SUMPRODUCT(--ISNUMBER(Risk_Rank_Keys!$C$2:$C$800),--(Risk_Rank_Keys!$C$2:$C$800&lt;Risk_Rank_Keys!C628))+(SUMPRODUCT(--ISNUMBER(Risk_Rank_Keys!$C$2:$C$800),--(Risk_Rank_Keys!$C$2:$C$800=Risk_Rank_Keys!C628))+1)/2)/COUNT(Risk_Rank_Keys!$C$2:$C$800))</f>
        <v/>
      </c>
      <c r="O628">
        <f>IF(OR(B628="NW",COUNT(Risk_Rank_Keys!D628)=0),0.5,(SUMPRODUCT(--ISNUMBER(Risk_Rank_Keys!$D$2:$D$800),--(Risk_Rank_Keys!$D$2:$D$800&lt;Risk_Rank_Keys!D628))+(SUMPRODUCT(--ISNUMBER(Risk_Rank_Keys!$D$2:$D$800),--(Risk_Rank_Keys!$D$2:$D$800=Risk_Rank_Keys!D628))+1)/2)/COUNT(Risk_Rank_Keys!$D$2:$D$800))</f>
        <v/>
      </c>
      <c r="P628">
        <f>AVERAGE(M628:O628)</f>
        <v/>
      </c>
      <c r="Q628">
        <f>0.4*H628+0.4*I628+0.2*P628</f>
        <v/>
      </c>
      <c r="R628">
        <f>PERCENTILE($Q$2:$Q$800,0.75)</f>
        <v/>
      </c>
      <c r="S628">
        <f>OR(Q628&gt;=R628,AND(B628="CW",COUNT(J628:L628)&lt;3))</f>
        <v/>
      </c>
      <c r="T628" t="n">
        <v>0.3406971995934377</v>
      </c>
      <c r="U628" t="n">
        <v>12.13507820993417</v>
      </c>
      <c r="V628" t="n">
        <v>0.7927593708779396</v>
      </c>
      <c r="W628">
        <f>Q628-V628</f>
        <v/>
      </c>
    </row>
    <row r="629">
      <c r="A629" t="inlineStr">
        <is>
          <t>2025-02-07</t>
        </is>
      </c>
      <c r="B629" t="inlineStr">
        <is>
          <t>CW</t>
        </is>
      </c>
      <c r="C629" t="n">
        <v>36.23319035371788</v>
      </c>
      <c r="D629">
        <f>SUMPRODUCT(Risk_Inputs!B629:AJ629,Risk_Coefs!$B$2:$AJ$2)</f>
        <v/>
      </c>
      <c r="E629">
        <f>1/(1+EXP(-MAX(-25,MIN(25,D629))))</f>
        <v/>
      </c>
      <c r="F629">
        <f>SUMPRODUCT(Risk_Inputs!B629:AJ629,Risk_Coefs!$B$3:$AJ$3)</f>
        <v/>
      </c>
      <c r="G629">
        <f>MAX(0,F629)</f>
        <v/>
      </c>
      <c r="H629">
        <f>(SUMPRODUCT(--ISNUMBER($E$2:$E$800),--($E$2:$E$800&lt;E629))+(SUMPRODUCT(--ISNUMBER($E$2:$E$800),--($E$2:$E$800=E629))+1)/2)/COUNT($E$2:$E$800)</f>
        <v/>
      </c>
      <c r="I629">
        <f>(SUMPRODUCT(--ISNUMBER($G$2:$G$800),--($G$2:$G$800&lt;G629))+(SUMPRODUCT(--ISNUMBER($G$2:$G$800),--($G$2:$G$800=G629))+1)/2)/COUNT($G$2:$G$800)</f>
        <v/>
      </c>
      <c r="J629" t="n">
        <v>13.99171910038834</v>
      </c>
      <c r="K629" t="n">
        <v>5.219097449313273</v>
      </c>
      <c r="L629" t="n">
        <v>0.2354480052321719</v>
      </c>
      <c r="M629">
        <f>IF(OR(B629="NW",COUNT(Risk_Rank_Keys!B629)=0),0.5,(SUMPRODUCT(--ISNUMBER(Risk_Rank_Keys!$B$2:$B$800),--(Risk_Rank_Keys!$B$2:$B$800&lt;Risk_Rank_Keys!B629))+(SUMPRODUCT(--ISNUMBER(Risk_Rank_Keys!$B$2:$B$800),--(Risk_Rank_Keys!$B$2:$B$800=Risk_Rank_Keys!B629))+1)/2)/COUNT(Risk_Rank_Keys!$B$2:$B$800))</f>
        <v/>
      </c>
      <c r="N629">
        <f>IF(OR(B629="NW",COUNT(Risk_Rank_Keys!C629)=0),0.5,(SUMPRODUCT(--ISNUMBER(Risk_Rank_Keys!$C$2:$C$800),--(Risk_Rank_Keys!$C$2:$C$800&lt;Risk_Rank_Keys!C629))+(SUMPRODUCT(--ISNUMBER(Risk_Rank_Keys!$C$2:$C$800),--(Risk_Rank_Keys!$C$2:$C$800=Risk_Rank_Keys!C629))+1)/2)/COUNT(Risk_Rank_Keys!$C$2:$C$800))</f>
        <v/>
      </c>
      <c r="O629">
        <f>IF(OR(B629="NW",COUNT(Risk_Rank_Keys!D629)=0),0.5,(SUMPRODUCT(--ISNUMBER(Risk_Rank_Keys!$D$2:$D$800),--(Risk_Rank_Keys!$D$2:$D$800&lt;Risk_Rank_Keys!D629))+(SUMPRODUCT(--ISNUMBER(Risk_Rank_Keys!$D$2:$D$800),--(Risk_Rank_Keys!$D$2:$D$800=Risk_Rank_Keys!D629))+1)/2)/COUNT(Risk_Rank_Keys!$D$2:$D$800))</f>
        <v/>
      </c>
      <c r="P629">
        <f>AVERAGE(M629:O629)</f>
        <v/>
      </c>
      <c r="Q629">
        <f>0.4*H629+0.4*I629+0.2*P629</f>
        <v/>
      </c>
      <c r="R629">
        <f>PERCENTILE($Q$2:$Q$800,0.75)</f>
        <v/>
      </c>
      <c r="S629">
        <f>OR(Q629&gt;=R629,AND(B629="CW",COUNT(J629:L629)&lt;3))</f>
        <v/>
      </c>
      <c r="T629" t="n">
        <v>0.2619735296110005</v>
      </c>
      <c r="U629" t="n">
        <v>8.611867781215279</v>
      </c>
      <c r="V629" t="n">
        <v>0.5153103396912342</v>
      </c>
      <c r="W629">
        <f>Q629-V629</f>
        <v/>
      </c>
    </row>
    <row r="630">
      <c r="A630" t="inlineStr">
        <is>
          <t>2025-02-11</t>
        </is>
      </c>
      <c r="B630" t="inlineStr">
        <is>
          <t>CW</t>
        </is>
      </c>
      <c r="C630" t="n">
        <v>54.80337260988514</v>
      </c>
      <c r="D630">
        <f>SUMPRODUCT(Risk_Inputs!B630:AJ630,Risk_Coefs!$B$2:$AJ$2)</f>
        <v/>
      </c>
      <c r="E630">
        <f>1/(1+EXP(-MAX(-25,MIN(25,D630))))</f>
        <v/>
      </c>
      <c r="F630">
        <f>SUMPRODUCT(Risk_Inputs!B630:AJ630,Risk_Coefs!$B$3:$AJ$3)</f>
        <v/>
      </c>
      <c r="G630">
        <f>MAX(0,F630)</f>
        <v/>
      </c>
      <c r="H630">
        <f>(SUMPRODUCT(--ISNUMBER($E$2:$E$800),--($E$2:$E$800&lt;E630))+(SUMPRODUCT(--ISNUMBER($E$2:$E$800),--($E$2:$E$800=E630))+1)/2)/COUNT($E$2:$E$800)</f>
        <v/>
      </c>
      <c r="I630">
        <f>(SUMPRODUCT(--ISNUMBER($G$2:$G$800),--($G$2:$G$800&lt;G630))+(SUMPRODUCT(--ISNUMBER($G$2:$G$800),--($G$2:$G$800=G630))+1)/2)/COUNT($G$2:$G$800)</f>
        <v/>
      </c>
      <c r="J630" t="n">
        <v>4.557719342918718</v>
      </c>
      <c r="K630" t="n">
        <v>1.626158419304066</v>
      </c>
      <c r="L630" t="n">
        <v>0.2447980416156631</v>
      </c>
      <c r="M630">
        <f>IF(OR(B630="NW",COUNT(Risk_Rank_Keys!B630)=0),0.5,(SUMPRODUCT(--ISNUMBER(Risk_Rank_Keys!$B$2:$B$800),--(Risk_Rank_Keys!$B$2:$B$800&lt;Risk_Rank_Keys!B630))+(SUMPRODUCT(--ISNUMBER(Risk_Rank_Keys!$B$2:$B$800),--(Risk_Rank_Keys!$B$2:$B$800=Risk_Rank_Keys!B630))+1)/2)/COUNT(Risk_Rank_Keys!$B$2:$B$800))</f>
        <v/>
      </c>
      <c r="N630">
        <f>IF(OR(B630="NW",COUNT(Risk_Rank_Keys!C630)=0),0.5,(SUMPRODUCT(--ISNUMBER(Risk_Rank_Keys!$C$2:$C$800),--(Risk_Rank_Keys!$C$2:$C$800&lt;Risk_Rank_Keys!C630))+(SUMPRODUCT(--ISNUMBER(Risk_Rank_Keys!$C$2:$C$800),--(Risk_Rank_Keys!$C$2:$C$800=Risk_Rank_Keys!C630))+1)/2)/COUNT(Risk_Rank_Keys!$C$2:$C$800))</f>
        <v/>
      </c>
      <c r="O630">
        <f>IF(OR(B630="NW",COUNT(Risk_Rank_Keys!D630)=0),0.5,(SUMPRODUCT(--ISNUMBER(Risk_Rank_Keys!$D$2:$D$800),--(Risk_Rank_Keys!$D$2:$D$800&lt;Risk_Rank_Keys!D630))+(SUMPRODUCT(--ISNUMBER(Risk_Rank_Keys!$D$2:$D$800),--(Risk_Rank_Keys!$D$2:$D$800=Risk_Rank_Keys!D630))+1)/2)/COUNT(Risk_Rank_Keys!$D$2:$D$800))</f>
        <v/>
      </c>
      <c r="P630">
        <f>AVERAGE(M630:O630)</f>
        <v/>
      </c>
      <c r="Q630">
        <f>0.4*H630+0.4*I630+0.2*P630</f>
        <v/>
      </c>
      <c r="R630">
        <f>PERCENTILE($Q$2:$Q$800,0.75)</f>
        <v/>
      </c>
      <c r="S630">
        <f>OR(Q630&gt;=R630,AND(B630="CW",COUNT(J630:L630)&lt;3))</f>
        <v/>
      </c>
      <c r="T630" t="n">
        <v>0.3091224960902934</v>
      </c>
      <c r="U630" t="n">
        <v>8.156240481532468</v>
      </c>
      <c r="V630" t="n">
        <v>0.5239660919710774</v>
      </c>
      <c r="W630">
        <f>Q630-V630</f>
        <v/>
      </c>
    </row>
    <row r="631">
      <c r="A631" t="inlineStr">
        <is>
          <t>2025-02-12</t>
        </is>
      </c>
      <c r="B631" t="inlineStr">
        <is>
          <t>CW</t>
        </is>
      </c>
      <c r="C631" t="n">
        <v>-37.86588068331053</v>
      </c>
      <c r="D631">
        <f>SUMPRODUCT(Risk_Inputs!B631:AJ631,Risk_Coefs!$B$2:$AJ$2)</f>
        <v/>
      </c>
      <c r="E631">
        <f>1/(1+EXP(-MAX(-25,MIN(25,D631))))</f>
        <v/>
      </c>
      <c r="F631">
        <f>SUMPRODUCT(Risk_Inputs!B631:AJ631,Risk_Coefs!$B$3:$AJ$3)</f>
        <v/>
      </c>
      <c r="G631">
        <f>MAX(0,F631)</f>
        <v/>
      </c>
      <c r="H631">
        <f>(SUMPRODUCT(--ISNUMBER($E$2:$E$800),--($E$2:$E$800&lt;E631))+(SUMPRODUCT(--ISNUMBER($E$2:$E$800),--($E$2:$E$800=E631))+1)/2)/COUNT($E$2:$E$800)</f>
        <v/>
      </c>
      <c r="I631">
        <f>(SUMPRODUCT(--ISNUMBER($G$2:$G$800),--($G$2:$G$800&lt;G631))+(SUMPRODUCT(--ISNUMBER($G$2:$G$800),--($G$2:$G$800=G631))+1)/2)/COUNT($G$2:$G$800)</f>
        <v/>
      </c>
      <c r="J631" t="n">
        <v>7.083840611420876</v>
      </c>
      <c r="K631" t="n">
        <v>2.039891205802357</v>
      </c>
      <c r="L631" t="n">
        <v>0.2039891205802305</v>
      </c>
      <c r="M631">
        <f>IF(OR(B631="NW",COUNT(Risk_Rank_Keys!B631)=0),0.5,(SUMPRODUCT(--ISNUMBER(Risk_Rank_Keys!$B$2:$B$800),--(Risk_Rank_Keys!$B$2:$B$800&lt;Risk_Rank_Keys!B631))+(SUMPRODUCT(--ISNUMBER(Risk_Rank_Keys!$B$2:$B$800),--(Risk_Rank_Keys!$B$2:$B$800=Risk_Rank_Keys!B631))+1)/2)/COUNT(Risk_Rank_Keys!$B$2:$B$800))</f>
        <v/>
      </c>
      <c r="N631">
        <f>IF(OR(B631="NW",COUNT(Risk_Rank_Keys!C631)=0),0.5,(SUMPRODUCT(--ISNUMBER(Risk_Rank_Keys!$C$2:$C$800),--(Risk_Rank_Keys!$C$2:$C$800&lt;Risk_Rank_Keys!C631))+(SUMPRODUCT(--ISNUMBER(Risk_Rank_Keys!$C$2:$C$800),--(Risk_Rank_Keys!$C$2:$C$800=Risk_Rank_Keys!C631))+1)/2)/COUNT(Risk_Rank_Keys!$C$2:$C$800))</f>
        <v/>
      </c>
      <c r="O631">
        <f>IF(OR(B631="NW",COUNT(Risk_Rank_Keys!D631)=0),0.5,(SUMPRODUCT(--ISNUMBER(Risk_Rank_Keys!$D$2:$D$800),--(Risk_Rank_Keys!$D$2:$D$800&lt;Risk_Rank_Keys!D631))+(SUMPRODUCT(--ISNUMBER(Risk_Rank_Keys!$D$2:$D$800),--(Risk_Rank_Keys!$D$2:$D$800=Risk_Rank_Keys!D631))+1)/2)/COUNT(Risk_Rank_Keys!$D$2:$D$800))</f>
        <v/>
      </c>
      <c r="P631">
        <f>AVERAGE(M631:O631)</f>
        <v/>
      </c>
      <c r="Q631">
        <f>0.4*H631+0.4*I631+0.2*P631</f>
        <v/>
      </c>
      <c r="R631">
        <f>PERCENTILE($Q$2:$Q$800,0.75)</f>
        <v/>
      </c>
      <c r="S631">
        <f>OR(Q631&gt;=R631,AND(B631="CW",COUNT(J631:L631)&lt;3))</f>
        <v/>
      </c>
      <c r="T631" t="n">
        <v>0.3010849976994333</v>
      </c>
      <c r="U631" t="n">
        <v>8.953867079831081</v>
      </c>
      <c r="V631" t="n">
        <v>0.5624790169487779</v>
      </c>
      <c r="W631">
        <f>Q631-V631</f>
        <v/>
      </c>
    </row>
    <row r="632">
      <c r="A632" t="inlineStr">
        <is>
          <t>2025-02-13</t>
        </is>
      </c>
      <c r="B632" t="inlineStr">
        <is>
          <t>CW</t>
        </is>
      </c>
      <c r="C632" t="n">
        <v>35.79600815018006</v>
      </c>
      <c r="D632">
        <f>SUMPRODUCT(Risk_Inputs!B632:AJ632,Risk_Coefs!$B$2:$AJ$2)</f>
        <v/>
      </c>
      <c r="E632">
        <f>1/(1+EXP(-MAX(-25,MIN(25,D632))))</f>
        <v/>
      </c>
      <c r="F632">
        <f>SUMPRODUCT(Risk_Inputs!B632:AJ632,Risk_Coefs!$B$3:$AJ$3)</f>
        <v/>
      </c>
      <c r="G632">
        <f>MAX(0,F632)</f>
        <v/>
      </c>
      <c r="H632">
        <f>(SUMPRODUCT(--ISNUMBER($E$2:$E$800),--($E$2:$E$800&lt;E632))+(SUMPRODUCT(--ISNUMBER($E$2:$E$800),--($E$2:$E$800=E632))+1)/2)/COUNT($E$2:$E$800)</f>
        <v/>
      </c>
      <c r="I632">
        <f>(SUMPRODUCT(--ISNUMBER($G$2:$G$800),--($G$2:$G$800&lt;G632))+(SUMPRODUCT(--ISNUMBER($G$2:$G$800),--($G$2:$G$800=G632))+1)/2)/COUNT($G$2:$G$800)</f>
        <v/>
      </c>
      <c r="J632" t="n">
        <v>12.97609711926343</v>
      </c>
      <c r="K632" t="n">
        <v>8.49176172370089</v>
      </c>
      <c r="L632" t="n">
        <v>0.2851711026615987</v>
      </c>
      <c r="M632">
        <f>IF(OR(B632="NW",COUNT(Risk_Rank_Keys!B632)=0),0.5,(SUMPRODUCT(--ISNUMBER(Risk_Rank_Keys!$B$2:$B$800),--(Risk_Rank_Keys!$B$2:$B$800&lt;Risk_Rank_Keys!B632))+(SUMPRODUCT(--ISNUMBER(Risk_Rank_Keys!$B$2:$B$800),--(Risk_Rank_Keys!$B$2:$B$800=Risk_Rank_Keys!B632))+1)/2)/COUNT(Risk_Rank_Keys!$B$2:$B$800))</f>
        <v/>
      </c>
      <c r="N632">
        <f>IF(OR(B632="NW",COUNT(Risk_Rank_Keys!C632)=0),0.5,(SUMPRODUCT(--ISNUMBER(Risk_Rank_Keys!$C$2:$C$800),--(Risk_Rank_Keys!$C$2:$C$800&lt;Risk_Rank_Keys!C632))+(SUMPRODUCT(--ISNUMBER(Risk_Rank_Keys!$C$2:$C$800),--(Risk_Rank_Keys!$C$2:$C$800=Risk_Rank_Keys!C632))+1)/2)/COUNT(Risk_Rank_Keys!$C$2:$C$800))</f>
        <v/>
      </c>
      <c r="O632">
        <f>IF(OR(B632="NW",COUNT(Risk_Rank_Keys!D632)=0),0.5,(SUMPRODUCT(--ISNUMBER(Risk_Rank_Keys!$D$2:$D$800),--(Risk_Rank_Keys!$D$2:$D$800&lt;Risk_Rank_Keys!D632))+(SUMPRODUCT(--ISNUMBER(Risk_Rank_Keys!$D$2:$D$800),--(Risk_Rank_Keys!$D$2:$D$800=Risk_Rank_Keys!D632))+1)/2)/COUNT(Risk_Rank_Keys!$D$2:$D$800))</f>
        <v/>
      </c>
      <c r="P632">
        <f>AVERAGE(M632:O632)</f>
        <v/>
      </c>
      <c r="Q632">
        <f>0.4*H632+0.4*I632+0.2*P632</f>
        <v/>
      </c>
      <c r="R632">
        <f>PERCENTILE($Q$2:$Q$800,0.75)</f>
        <v/>
      </c>
      <c r="S632">
        <f>OR(Q632&gt;=R632,AND(B632="CW",COUNT(J632:L632)&lt;3))</f>
        <v/>
      </c>
      <c r="T632" t="n">
        <v>0.2671854876242633</v>
      </c>
      <c r="U632" t="n">
        <v>9.853669234437886</v>
      </c>
      <c r="V632" t="n">
        <v>0.6086498173856326</v>
      </c>
      <c r="W632">
        <f>Q632-V632</f>
        <v/>
      </c>
    </row>
    <row r="633">
      <c r="A633" t="inlineStr">
        <is>
          <t>2025-02-14</t>
        </is>
      </c>
      <c r="B633" t="inlineStr">
        <is>
          <t>CW</t>
        </is>
      </c>
      <c r="C633" t="n">
        <v>-38.5857755033494</v>
      </c>
      <c r="D633">
        <f>SUMPRODUCT(Risk_Inputs!B633:AJ633,Risk_Coefs!$B$2:$AJ$2)</f>
        <v/>
      </c>
      <c r="E633">
        <f>1/(1+EXP(-MAX(-25,MIN(25,D633))))</f>
        <v/>
      </c>
      <c r="F633">
        <f>SUMPRODUCT(Risk_Inputs!B633:AJ633,Risk_Coefs!$B$3:$AJ$3)</f>
        <v/>
      </c>
      <c r="G633">
        <f>MAX(0,F633)</f>
        <v/>
      </c>
      <c r="H633">
        <f>(SUMPRODUCT(--ISNUMBER($E$2:$E$800),--($E$2:$E$800&lt;E633))+(SUMPRODUCT(--ISNUMBER($E$2:$E$800),--($E$2:$E$800=E633))+1)/2)/COUNT($E$2:$E$800)</f>
        <v/>
      </c>
      <c r="I633">
        <f>(SUMPRODUCT(--ISNUMBER($G$2:$G$800),--($G$2:$G$800&lt;G633))+(SUMPRODUCT(--ISNUMBER($G$2:$G$800),--($G$2:$G$800=G633))+1)/2)/COUNT($G$2:$G$800)</f>
        <v/>
      </c>
      <c r="J633" t="n">
        <v>7.607356659678219</v>
      </c>
      <c r="K633" t="n">
        <v>1.413529496610407</v>
      </c>
      <c r="L633" t="n">
        <v>0.216356555603643</v>
      </c>
      <c r="M633">
        <f>IF(OR(B633="NW",COUNT(Risk_Rank_Keys!B633)=0),0.5,(SUMPRODUCT(--ISNUMBER(Risk_Rank_Keys!$B$2:$B$800),--(Risk_Rank_Keys!$B$2:$B$800&lt;Risk_Rank_Keys!B633))+(SUMPRODUCT(--ISNUMBER(Risk_Rank_Keys!$B$2:$B$800),--(Risk_Rank_Keys!$B$2:$B$800=Risk_Rank_Keys!B633))+1)/2)/COUNT(Risk_Rank_Keys!$B$2:$B$800))</f>
        <v/>
      </c>
      <c r="N633">
        <f>IF(OR(B633="NW",COUNT(Risk_Rank_Keys!C633)=0),0.5,(SUMPRODUCT(--ISNUMBER(Risk_Rank_Keys!$C$2:$C$800),--(Risk_Rank_Keys!$C$2:$C$800&lt;Risk_Rank_Keys!C633))+(SUMPRODUCT(--ISNUMBER(Risk_Rank_Keys!$C$2:$C$800),--(Risk_Rank_Keys!$C$2:$C$800=Risk_Rank_Keys!C633))+1)/2)/COUNT(Risk_Rank_Keys!$C$2:$C$800))</f>
        <v/>
      </c>
      <c r="O633">
        <f>IF(OR(B633="NW",COUNT(Risk_Rank_Keys!D633)=0),0.5,(SUMPRODUCT(--ISNUMBER(Risk_Rank_Keys!$D$2:$D$800),--(Risk_Rank_Keys!$D$2:$D$800&lt;Risk_Rank_Keys!D633))+(SUMPRODUCT(--ISNUMBER(Risk_Rank_Keys!$D$2:$D$800),--(Risk_Rank_Keys!$D$2:$D$800=Risk_Rank_Keys!D633))+1)/2)/COUNT(Risk_Rank_Keys!$D$2:$D$800))</f>
        <v/>
      </c>
      <c r="P633">
        <f>AVERAGE(M633:O633)</f>
        <v/>
      </c>
      <c r="Q633">
        <f>0.4*H633+0.4*I633+0.2*P633</f>
        <v/>
      </c>
      <c r="R633">
        <f>PERCENTILE($Q$2:$Q$800,0.75)</f>
        <v/>
      </c>
      <c r="S633">
        <f>OR(Q633&gt;=R633,AND(B633="CW",COUNT(J633:L633)&lt;3))</f>
        <v/>
      </c>
      <c r="T633" t="n">
        <v>0.2493789070624284</v>
      </c>
      <c r="U633" t="n">
        <v>8.554427114853704</v>
      </c>
      <c r="V633" t="n">
        <v>0.4090369819550123</v>
      </c>
      <c r="W633">
        <f>Q633-V633</f>
        <v/>
      </c>
    </row>
    <row r="634">
      <c r="A634" t="inlineStr">
        <is>
          <t>2025-02-17</t>
        </is>
      </c>
      <c r="B634" t="inlineStr">
        <is>
          <t>CW</t>
        </is>
      </c>
      <c r="C634" t="n">
        <v>-5.423118858374827</v>
      </c>
      <c r="D634">
        <f>SUMPRODUCT(Risk_Inputs!B634:AJ634,Risk_Coefs!$B$2:$AJ$2)</f>
        <v/>
      </c>
      <c r="E634">
        <f>1/(1+EXP(-MAX(-25,MIN(25,D634))))</f>
        <v/>
      </c>
      <c r="F634">
        <f>SUMPRODUCT(Risk_Inputs!B634:AJ634,Risk_Coefs!$B$3:$AJ$3)</f>
        <v/>
      </c>
      <c r="G634">
        <f>MAX(0,F634)</f>
        <v/>
      </c>
      <c r="H634">
        <f>(SUMPRODUCT(--ISNUMBER($E$2:$E$800),--($E$2:$E$800&lt;E634))+(SUMPRODUCT(--ISNUMBER($E$2:$E$800),--($E$2:$E$800=E634))+1)/2)/COUNT($E$2:$E$800)</f>
        <v/>
      </c>
      <c r="I634">
        <f>(SUMPRODUCT(--ISNUMBER($G$2:$G$800),--($G$2:$G$800&lt;G634))+(SUMPRODUCT(--ISNUMBER($G$2:$G$800),--($G$2:$G$800=G634))+1)/2)/COUNT($G$2:$G$800)</f>
        <v/>
      </c>
      <c r="J634" t="n">
        <v>27.06767573797775</v>
      </c>
      <c r="K634" t="n">
        <v>3.25978647686834</v>
      </c>
      <c r="L634" t="n">
        <v>0.0996441281138692</v>
      </c>
      <c r="M634">
        <f>IF(OR(B634="NW",COUNT(Risk_Rank_Keys!B634)=0),0.5,(SUMPRODUCT(--ISNUMBER(Risk_Rank_Keys!$B$2:$B$800),--(Risk_Rank_Keys!$B$2:$B$800&lt;Risk_Rank_Keys!B634))+(SUMPRODUCT(--ISNUMBER(Risk_Rank_Keys!$B$2:$B$800),--(Risk_Rank_Keys!$B$2:$B$800=Risk_Rank_Keys!B634))+1)/2)/COUNT(Risk_Rank_Keys!$B$2:$B$800))</f>
        <v/>
      </c>
      <c r="N634">
        <f>IF(OR(B634="NW",COUNT(Risk_Rank_Keys!C634)=0),0.5,(SUMPRODUCT(--ISNUMBER(Risk_Rank_Keys!$C$2:$C$800),--(Risk_Rank_Keys!$C$2:$C$800&lt;Risk_Rank_Keys!C634))+(SUMPRODUCT(--ISNUMBER(Risk_Rank_Keys!$C$2:$C$800),--(Risk_Rank_Keys!$C$2:$C$800=Risk_Rank_Keys!C634))+1)/2)/COUNT(Risk_Rank_Keys!$C$2:$C$800))</f>
        <v/>
      </c>
      <c r="O634">
        <f>IF(OR(B634="NW",COUNT(Risk_Rank_Keys!D634)=0),0.5,(SUMPRODUCT(--ISNUMBER(Risk_Rank_Keys!$D$2:$D$800),--(Risk_Rank_Keys!$D$2:$D$800&lt;Risk_Rank_Keys!D634))+(SUMPRODUCT(--ISNUMBER(Risk_Rank_Keys!$D$2:$D$800),--(Risk_Rank_Keys!$D$2:$D$800=Risk_Rank_Keys!D634))+1)/2)/COUNT(Risk_Rank_Keys!$D$2:$D$800))</f>
        <v/>
      </c>
      <c r="P634">
        <f>AVERAGE(M634:O634)</f>
        <v/>
      </c>
      <c r="Q634">
        <f>0.4*H634+0.4*I634+0.2*P634</f>
        <v/>
      </c>
      <c r="R634">
        <f>PERCENTILE($Q$2:$Q$800,0.75)</f>
        <v/>
      </c>
      <c r="S634">
        <f>OR(Q634&gt;=R634,AND(B634="CW",COUNT(J634:L634)&lt;3))</f>
        <v/>
      </c>
      <c r="T634" t="n">
        <v>0.327519855579232</v>
      </c>
      <c r="U634" t="n">
        <v>9.108572317285802</v>
      </c>
      <c r="V634" t="n">
        <v>0.6571138143972388</v>
      </c>
      <c r="W634">
        <f>Q634-V634</f>
        <v/>
      </c>
    </row>
    <row r="635">
      <c r="A635" t="inlineStr">
        <is>
          <t>2025-02-18</t>
        </is>
      </c>
      <c r="B635" t="inlineStr">
        <is>
          <t>CW</t>
        </is>
      </c>
      <c r="C635" t="n">
        <v>44.88229297436269</v>
      </c>
      <c r="D635">
        <f>SUMPRODUCT(Risk_Inputs!B635:AJ635,Risk_Coefs!$B$2:$AJ$2)</f>
        <v/>
      </c>
      <c r="E635">
        <f>1/(1+EXP(-MAX(-25,MIN(25,D635))))</f>
        <v/>
      </c>
      <c r="F635">
        <f>SUMPRODUCT(Risk_Inputs!B635:AJ635,Risk_Coefs!$B$3:$AJ$3)</f>
        <v/>
      </c>
      <c r="G635">
        <f>MAX(0,F635)</f>
        <v/>
      </c>
      <c r="H635">
        <f>(SUMPRODUCT(--ISNUMBER($E$2:$E$800),--($E$2:$E$800&lt;E635))+(SUMPRODUCT(--ISNUMBER($E$2:$E$800),--($E$2:$E$800=E635))+1)/2)/COUNT($E$2:$E$800)</f>
        <v/>
      </c>
      <c r="I635">
        <f>(SUMPRODUCT(--ISNUMBER($G$2:$G$800),--($G$2:$G$800&lt;G635))+(SUMPRODUCT(--ISNUMBER($G$2:$G$800),--($G$2:$G$800=G635))+1)/2)/COUNT($G$2:$G$800)</f>
        <v/>
      </c>
      <c r="J635" t="n">
        <v>15.69066111871553</v>
      </c>
      <c r="K635" t="n">
        <v>6.755863891641886</v>
      </c>
      <c r="L635" t="n">
        <v>0.2477700693756194</v>
      </c>
      <c r="M635">
        <f>IF(OR(B635="NW",COUNT(Risk_Rank_Keys!B635)=0),0.5,(SUMPRODUCT(--ISNUMBER(Risk_Rank_Keys!$B$2:$B$800),--(Risk_Rank_Keys!$B$2:$B$800&lt;Risk_Rank_Keys!B635))+(SUMPRODUCT(--ISNUMBER(Risk_Rank_Keys!$B$2:$B$800),--(Risk_Rank_Keys!$B$2:$B$800=Risk_Rank_Keys!B635))+1)/2)/COUNT(Risk_Rank_Keys!$B$2:$B$800))</f>
        <v/>
      </c>
      <c r="N635">
        <f>IF(OR(B635="NW",COUNT(Risk_Rank_Keys!C635)=0),0.5,(SUMPRODUCT(--ISNUMBER(Risk_Rank_Keys!$C$2:$C$800),--(Risk_Rank_Keys!$C$2:$C$800&lt;Risk_Rank_Keys!C635))+(SUMPRODUCT(--ISNUMBER(Risk_Rank_Keys!$C$2:$C$800),--(Risk_Rank_Keys!$C$2:$C$800=Risk_Rank_Keys!C635))+1)/2)/COUNT(Risk_Rank_Keys!$C$2:$C$800))</f>
        <v/>
      </c>
      <c r="O635">
        <f>IF(OR(B635="NW",COUNT(Risk_Rank_Keys!D635)=0),0.5,(SUMPRODUCT(--ISNUMBER(Risk_Rank_Keys!$D$2:$D$800),--(Risk_Rank_Keys!$D$2:$D$800&lt;Risk_Rank_Keys!D635))+(SUMPRODUCT(--ISNUMBER(Risk_Rank_Keys!$D$2:$D$800),--(Risk_Rank_Keys!$D$2:$D$800=Risk_Rank_Keys!D635))+1)/2)/COUNT(Risk_Rank_Keys!$D$2:$D$800))</f>
        <v/>
      </c>
      <c r="P635">
        <f>AVERAGE(M635:O635)</f>
        <v/>
      </c>
      <c r="Q635">
        <f>0.4*H635+0.4*I635+0.2*P635</f>
        <v/>
      </c>
      <c r="R635">
        <f>PERCENTILE($Q$2:$Q$800,0.75)</f>
        <v/>
      </c>
      <c r="S635">
        <f>OR(Q635&gt;=R635,AND(B635="CW",COUNT(J635:L635)&lt;3))</f>
        <v/>
      </c>
      <c r="T635" t="n">
        <v>0.2389569122129538</v>
      </c>
      <c r="U635" t="n">
        <v>6.194069283822144</v>
      </c>
      <c r="V635" t="n">
        <v>0.3440184703217469</v>
      </c>
      <c r="W635">
        <f>Q635-V635</f>
        <v/>
      </c>
    </row>
    <row r="636">
      <c r="A636" t="inlineStr">
        <is>
          <t>2025-02-19</t>
        </is>
      </c>
      <c r="B636" t="inlineStr">
        <is>
          <t>CW</t>
        </is>
      </c>
      <c r="C636" t="n">
        <v>4.880561556394214</v>
      </c>
      <c r="D636">
        <f>SUMPRODUCT(Risk_Inputs!B636:AJ636,Risk_Coefs!$B$2:$AJ$2)</f>
        <v/>
      </c>
      <c r="E636">
        <f>1/(1+EXP(-MAX(-25,MIN(25,D636))))</f>
        <v/>
      </c>
      <c r="F636">
        <f>SUMPRODUCT(Risk_Inputs!B636:AJ636,Risk_Coefs!$B$3:$AJ$3)</f>
        <v/>
      </c>
      <c r="G636">
        <f>MAX(0,F636)</f>
        <v/>
      </c>
      <c r="H636">
        <f>(SUMPRODUCT(--ISNUMBER($E$2:$E$800),--($E$2:$E$800&lt;E636))+(SUMPRODUCT(--ISNUMBER($E$2:$E$800),--($E$2:$E$800=E636))+1)/2)/COUNT($E$2:$E$800)</f>
        <v/>
      </c>
      <c r="I636">
        <f>(SUMPRODUCT(--ISNUMBER($G$2:$G$800),--($G$2:$G$800&lt;G636))+(SUMPRODUCT(--ISNUMBER($G$2:$G$800),--($G$2:$G$800=G636))+1)/2)/COUNT($G$2:$G$800)</f>
        <v/>
      </c>
      <c r="J636" t="n">
        <v>11.5264824762465</v>
      </c>
      <c r="K636" t="n">
        <v>7.623126338329782</v>
      </c>
      <c r="L636" t="n">
        <v>0.1713062098501034</v>
      </c>
      <c r="M636">
        <f>IF(OR(B636="NW",COUNT(Risk_Rank_Keys!B636)=0),0.5,(SUMPRODUCT(--ISNUMBER(Risk_Rank_Keys!$B$2:$B$800),--(Risk_Rank_Keys!$B$2:$B$800&lt;Risk_Rank_Keys!B636))+(SUMPRODUCT(--ISNUMBER(Risk_Rank_Keys!$B$2:$B$800),--(Risk_Rank_Keys!$B$2:$B$800=Risk_Rank_Keys!B636))+1)/2)/COUNT(Risk_Rank_Keys!$B$2:$B$800))</f>
        <v/>
      </c>
      <c r="N636">
        <f>IF(OR(B636="NW",COUNT(Risk_Rank_Keys!C636)=0),0.5,(SUMPRODUCT(--ISNUMBER(Risk_Rank_Keys!$C$2:$C$800),--(Risk_Rank_Keys!$C$2:$C$800&lt;Risk_Rank_Keys!C636))+(SUMPRODUCT(--ISNUMBER(Risk_Rank_Keys!$C$2:$C$800),--(Risk_Rank_Keys!$C$2:$C$800=Risk_Rank_Keys!C636))+1)/2)/COUNT(Risk_Rank_Keys!$C$2:$C$800))</f>
        <v/>
      </c>
      <c r="O636">
        <f>IF(OR(B636="NW",COUNT(Risk_Rank_Keys!D636)=0),0.5,(SUMPRODUCT(--ISNUMBER(Risk_Rank_Keys!$D$2:$D$800),--(Risk_Rank_Keys!$D$2:$D$800&lt;Risk_Rank_Keys!D636))+(SUMPRODUCT(--ISNUMBER(Risk_Rank_Keys!$D$2:$D$800),--(Risk_Rank_Keys!$D$2:$D$800=Risk_Rank_Keys!D636))+1)/2)/COUNT(Risk_Rank_Keys!$D$2:$D$800))</f>
        <v/>
      </c>
      <c r="P636">
        <f>AVERAGE(M636:O636)</f>
        <v/>
      </c>
      <c r="Q636">
        <f>0.4*H636+0.4*I636+0.2*P636</f>
        <v/>
      </c>
      <c r="R636">
        <f>PERCENTILE($Q$2:$Q$800,0.75)</f>
        <v/>
      </c>
      <c r="S636">
        <f>OR(Q636&gt;=R636,AND(B636="CW",COUNT(J636:L636)&lt;3))</f>
        <v/>
      </c>
      <c r="T636" t="n">
        <v>0.3535656528362909</v>
      </c>
      <c r="U636" t="n">
        <v>10.21555263484873</v>
      </c>
      <c r="V636" t="n">
        <v>0.7608656566873166</v>
      </c>
      <c r="W636">
        <f>Q636-V636</f>
        <v/>
      </c>
    </row>
    <row r="637">
      <c r="A637" t="inlineStr">
        <is>
          <t>2025-02-20</t>
        </is>
      </c>
      <c r="B637" t="inlineStr">
        <is>
          <t>CW</t>
        </is>
      </c>
      <c r="C637" t="n">
        <v>58.85018588449995</v>
      </c>
      <c r="D637">
        <f>SUMPRODUCT(Risk_Inputs!B637:AJ637,Risk_Coefs!$B$2:$AJ$2)</f>
        <v/>
      </c>
      <c r="E637">
        <f>1/(1+EXP(-MAX(-25,MIN(25,D637))))</f>
        <v/>
      </c>
      <c r="F637">
        <f>SUMPRODUCT(Risk_Inputs!B637:AJ637,Risk_Coefs!$B$3:$AJ$3)</f>
        <v/>
      </c>
      <c r="G637">
        <f>MAX(0,F637)</f>
        <v/>
      </c>
      <c r="H637">
        <f>(SUMPRODUCT(--ISNUMBER($E$2:$E$800),--($E$2:$E$800&lt;E637))+(SUMPRODUCT(--ISNUMBER($E$2:$E$800),--($E$2:$E$800=E637))+1)/2)/COUNT($E$2:$E$800)</f>
        <v/>
      </c>
      <c r="I637">
        <f>(SUMPRODUCT(--ISNUMBER($G$2:$G$800),--($G$2:$G$800&lt;G637))+(SUMPRODUCT(--ISNUMBER($G$2:$G$800),--($G$2:$G$800=G637))+1)/2)/COUNT($G$2:$G$800)</f>
        <v/>
      </c>
      <c r="J637" t="n">
        <v>15.38902089540525</v>
      </c>
      <c r="K637" t="n">
        <v>8.978328173374612</v>
      </c>
      <c r="L637" t="n">
        <v>0.2786377708978257</v>
      </c>
      <c r="M637">
        <f>IF(OR(B637="NW",COUNT(Risk_Rank_Keys!B637)=0),0.5,(SUMPRODUCT(--ISNUMBER(Risk_Rank_Keys!$B$2:$B$800),--(Risk_Rank_Keys!$B$2:$B$800&lt;Risk_Rank_Keys!B637))+(SUMPRODUCT(--ISNUMBER(Risk_Rank_Keys!$B$2:$B$800),--(Risk_Rank_Keys!$B$2:$B$800=Risk_Rank_Keys!B637))+1)/2)/COUNT(Risk_Rank_Keys!$B$2:$B$800))</f>
        <v/>
      </c>
      <c r="N637">
        <f>IF(OR(B637="NW",COUNT(Risk_Rank_Keys!C637)=0),0.5,(SUMPRODUCT(--ISNUMBER(Risk_Rank_Keys!$C$2:$C$800),--(Risk_Rank_Keys!$C$2:$C$800&lt;Risk_Rank_Keys!C637))+(SUMPRODUCT(--ISNUMBER(Risk_Rank_Keys!$C$2:$C$800),--(Risk_Rank_Keys!$C$2:$C$800=Risk_Rank_Keys!C637))+1)/2)/COUNT(Risk_Rank_Keys!$C$2:$C$800))</f>
        <v/>
      </c>
      <c r="O637">
        <f>IF(OR(B637="NW",COUNT(Risk_Rank_Keys!D637)=0),0.5,(SUMPRODUCT(--ISNUMBER(Risk_Rank_Keys!$D$2:$D$800),--(Risk_Rank_Keys!$D$2:$D$800&lt;Risk_Rank_Keys!D637))+(SUMPRODUCT(--ISNUMBER(Risk_Rank_Keys!$D$2:$D$800),--(Risk_Rank_Keys!$D$2:$D$800=Risk_Rank_Keys!D637))+1)/2)/COUNT(Risk_Rank_Keys!$D$2:$D$800))</f>
        <v/>
      </c>
      <c r="P637">
        <f>AVERAGE(M637:O637)</f>
        <v/>
      </c>
      <c r="Q637">
        <f>0.4*H637+0.4*I637+0.2*P637</f>
        <v/>
      </c>
      <c r="R637">
        <f>PERCENTILE($Q$2:$Q$800,0.75)</f>
        <v/>
      </c>
      <c r="S637">
        <f>OR(Q637&gt;=R637,AND(B637="CW",COUNT(J637:L637)&lt;3))</f>
        <v/>
      </c>
      <c r="T637" t="n">
        <v>0.3487507845596931</v>
      </c>
      <c r="U637" t="n">
        <v>11.58293229337148</v>
      </c>
      <c r="V637" t="n">
        <v>0.8373002282606862</v>
      </c>
      <c r="W637">
        <f>Q637-V637</f>
        <v/>
      </c>
    </row>
    <row r="638">
      <c r="A638" t="inlineStr">
        <is>
          <t>2025-02-24</t>
        </is>
      </c>
      <c r="B638" t="inlineStr">
        <is>
          <t>CW</t>
        </is>
      </c>
      <c r="C638" t="n">
        <v>41.82097268272242</v>
      </c>
      <c r="D638">
        <f>SUMPRODUCT(Risk_Inputs!B638:AJ638,Risk_Coefs!$B$2:$AJ$2)</f>
        <v/>
      </c>
      <c r="E638">
        <f>1/(1+EXP(-MAX(-25,MIN(25,D638))))</f>
        <v/>
      </c>
      <c r="F638">
        <f>SUMPRODUCT(Risk_Inputs!B638:AJ638,Risk_Coefs!$B$3:$AJ$3)</f>
        <v/>
      </c>
      <c r="G638">
        <f>MAX(0,F638)</f>
        <v/>
      </c>
      <c r="H638">
        <f>(SUMPRODUCT(--ISNUMBER($E$2:$E$800),--($E$2:$E$800&lt;E638))+(SUMPRODUCT(--ISNUMBER($E$2:$E$800),--($E$2:$E$800=E638))+1)/2)/COUNT($E$2:$E$800)</f>
        <v/>
      </c>
      <c r="I638">
        <f>(SUMPRODUCT(--ISNUMBER($G$2:$G$800),--($G$2:$G$800&lt;G638))+(SUMPRODUCT(--ISNUMBER($G$2:$G$800),--($G$2:$G$800=G638))+1)/2)/COUNT($G$2:$G$800)</f>
        <v/>
      </c>
      <c r="J638" t="n">
        <v>17.37853221975366</v>
      </c>
      <c r="K638" t="n">
        <v>1.868327402135231</v>
      </c>
      <c r="L638" t="n">
        <v>0.2135231316725857</v>
      </c>
      <c r="M638">
        <f>IF(OR(B638="NW",COUNT(Risk_Rank_Keys!B638)=0),0.5,(SUMPRODUCT(--ISNUMBER(Risk_Rank_Keys!$B$2:$B$800),--(Risk_Rank_Keys!$B$2:$B$800&lt;Risk_Rank_Keys!B638))+(SUMPRODUCT(--ISNUMBER(Risk_Rank_Keys!$B$2:$B$800),--(Risk_Rank_Keys!$B$2:$B$800=Risk_Rank_Keys!B638))+1)/2)/COUNT(Risk_Rank_Keys!$B$2:$B$800))</f>
        <v/>
      </c>
      <c r="N638">
        <f>IF(OR(B638="NW",COUNT(Risk_Rank_Keys!C638)=0),0.5,(SUMPRODUCT(--ISNUMBER(Risk_Rank_Keys!$C$2:$C$800),--(Risk_Rank_Keys!$C$2:$C$800&lt;Risk_Rank_Keys!C638))+(SUMPRODUCT(--ISNUMBER(Risk_Rank_Keys!$C$2:$C$800),--(Risk_Rank_Keys!$C$2:$C$800=Risk_Rank_Keys!C638))+1)/2)/COUNT(Risk_Rank_Keys!$C$2:$C$800))</f>
        <v/>
      </c>
      <c r="O638">
        <f>IF(OR(B638="NW",COUNT(Risk_Rank_Keys!D638)=0),0.5,(SUMPRODUCT(--ISNUMBER(Risk_Rank_Keys!$D$2:$D$800),--(Risk_Rank_Keys!$D$2:$D$800&lt;Risk_Rank_Keys!D638))+(SUMPRODUCT(--ISNUMBER(Risk_Rank_Keys!$D$2:$D$800),--(Risk_Rank_Keys!$D$2:$D$800=Risk_Rank_Keys!D638))+1)/2)/COUNT(Risk_Rank_Keys!$D$2:$D$800))</f>
        <v/>
      </c>
      <c r="P638">
        <f>AVERAGE(M638:O638)</f>
        <v/>
      </c>
      <c r="Q638">
        <f>0.4*H638+0.4*I638+0.2*P638</f>
        <v/>
      </c>
      <c r="R638">
        <f>PERCENTILE($Q$2:$Q$800,0.75)</f>
        <v/>
      </c>
      <c r="S638">
        <f>OR(Q638&gt;=R638,AND(B638="CW",COUNT(J638:L638)&lt;3))</f>
        <v/>
      </c>
      <c r="T638" t="n">
        <v>0.2988621412352735</v>
      </c>
      <c r="U638" t="n">
        <v>7.592902309345542</v>
      </c>
      <c r="V638" t="n">
        <v>0.5164164410534089</v>
      </c>
      <c r="W638">
        <f>Q638-V638</f>
        <v/>
      </c>
    </row>
    <row r="639">
      <c r="A639" t="inlineStr">
        <is>
          <t>2025-02-28</t>
        </is>
      </c>
      <c r="B639" t="inlineStr">
        <is>
          <t>CW</t>
        </is>
      </c>
      <c r="C639" t="n">
        <v>35.68860699729272</v>
      </c>
      <c r="D639">
        <f>SUMPRODUCT(Risk_Inputs!B639:AJ639,Risk_Coefs!$B$2:$AJ$2)</f>
        <v/>
      </c>
      <c r="E639">
        <f>1/(1+EXP(-MAX(-25,MIN(25,D639))))</f>
        <v/>
      </c>
      <c r="F639">
        <f>SUMPRODUCT(Risk_Inputs!B639:AJ639,Risk_Coefs!$B$3:$AJ$3)</f>
        <v/>
      </c>
      <c r="G639">
        <f>MAX(0,F639)</f>
        <v/>
      </c>
      <c r="H639">
        <f>(SUMPRODUCT(--ISNUMBER($E$2:$E$800),--($E$2:$E$800&lt;E639))+(SUMPRODUCT(--ISNUMBER($E$2:$E$800),--($E$2:$E$800=E639))+1)/2)/COUNT($E$2:$E$800)</f>
        <v/>
      </c>
      <c r="I639">
        <f>(SUMPRODUCT(--ISNUMBER($G$2:$G$800),--($G$2:$G$800&lt;G639))+(SUMPRODUCT(--ISNUMBER($G$2:$G$800),--($G$2:$G$800=G639))+1)/2)/COUNT($G$2:$G$800)</f>
        <v/>
      </c>
      <c r="J639" t="n">
        <v>54.09830945571523</v>
      </c>
      <c r="K639" t="n">
        <v>2.97638304755744</v>
      </c>
      <c r="L639" t="n">
        <v>0.2102879327078541</v>
      </c>
      <c r="M639">
        <f>IF(OR(B639="NW",COUNT(Risk_Rank_Keys!B639)=0),0.5,(SUMPRODUCT(--ISNUMBER(Risk_Rank_Keys!$B$2:$B$800),--(Risk_Rank_Keys!$B$2:$B$800&lt;Risk_Rank_Keys!B639))+(SUMPRODUCT(--ISNUMBER(Risk_Rank_Keys!$B$2:$B$800),--(Risk_Rank_Keys!$B$2:$B$800=Risk_Rank_Keys!B639))+1)/2)/COUNT(Risk_Rank_Keys!$B$2:$B$800))</f>
        <v/>
      </c>
      <c r="N639">
        <f>IF(OR(B639="NW",COUNT(Risk_Rank_Keys!C639)=0),0.5,(SUMPRODUCT(--ISNUMBER(Risk_Rank_Keys!$C$2:$C$800),--(Risk_Rank_Keys!$C$2:$C$800&lt;Risk_Rank_Keys!C639))+(SUMPRODUCT(--ISNUMBER(Risk_Rank_Keys!$C$2:$C$800),--(Risk_Rank_Keys!$C$2:$C$800=Risk_Rank_Keys!C639))+1)/2)/COUNT(Risk_Rank_Keys!$C$2:$C$800))</f>
        <v/>
      </c>
      <c r="O639">
        <f>IF(OR(B639="NW",COUNT(Risk_Rank_Keys!D639)=0),0.5,(SUMPRODUCT(--ISNUMBER(Risk_Rank_Keys!$D$2:$D$800),--(Risk_Rank_Keys!$D$2:$D$800&lt;Risk_Rank_Keys!D639))+(SUMPRODUCT(--ISNUMBER(Risk_Rank_Keys!$D$2:$D$800),--(Risk_Rank_Keys!$D$2:$D$800=Risk_Rank_Keys!D639))+1)/2)/COUNT(Risk_Rank_Keys!$D$2:$D$800))</f>
        <v/>
      </c>
      <c r="P639">
        <f>AVERAGE(M639:O639)</f>
        <v/>
      </c>
      <c r="Q639">
        <f>0.4*H639+0.4*I639+0.2*P639</f>
        <v/>
      </c>
      <c r="R639">
        <f>PERCENTILE($Q$2:$Q$800,0.75)</f>
        <v/>
      </c>
      <c r="S639">
        <f>OR(Q639&gt;=R639,AND(B639="CW",COUNT(J639:L639)&lt;3))</f>
        <v/>
      </c>
      <c r="T639" t="n">
        <v>0.2175007689821538</v>
      </c>
      <c r="U639" t="n">
        <v>5.770819160890437</v>
      </c>
      <c r="V639" t="n">
        <v>0.271176255302857</v>
      </c>
      <c r="W639">
        <f>Q639-V639</f>
        <v/>
      </c>
    </row>
    <row r="640">
      <c r="A640" t="inlineStr">
        <is>
          <t>2025-03-06</t>
        </is>
      </c>
      <c r="B640" t="inlineStr">
        <is>
          <t>NW</t>
        </is>
      </c>
      <c r="C640" t="n">
        <v>-41.74081551800563</v>
      </c>
      <c r="D640">
        <f>SUMPRODUCT(Risk_Inputs!B640:AJ640,Risk_Coefs!$B$2:$AJ$2)</f>
        <v/>
      </c>
      <c r="E640">
        <f>1/(1+EXP(-MAX(-25,MIN(25,D640))))</f>
        <v/>
      </c>
      <c r="F640">
        <f>SUMPRODUCT(Risk_Inputs!B640:AJ640,Risk_Coefs!$B$3:$AJ$3)</f>
        <v/>
      </c>
      <c r="G640">
        <f>MAX(0,F640)</f>
        <v/>
      </c>
      <c r="H640">
        <f>(SUMPRODUCT(--ISNUMBER($E$2:$E$800),--($E$2:$E$800&lt;E640))+(SUMPRODUCT(--ISNUMBER($E$2:$E$800),--($E$2:$E$800=E640))+1)/2)/COUNT($E$2:$E$800)</f>
        <v/>
      </c>
      <c r="I640">
        <f>(SUMPRODUCT(--ISNUMBER($G$2:$G$800),--($G$2:$G$800&lt;G640))+(SUMPRODUCT(--ISNUMBER($G$2:$G$800),--($G$2:$G$800=G640))+1)/2)/COUNT($G$2:$G$800)</f>
        <v/>
      </c>
      <c r="M640">
        <f>IF(OR(B640="NW",COUNT(Risk_Rank_Keys!B640)=0),0.5,(SUMPRODUCT(--ISNUMBER(Risk_Rank_Keys!$B$2:$B$800),--(Risk_Rank_Keys!$B$2:$B$800&lt;Risk_Rank_Keys!B640))+(SUMPRODUCT(--ISNUMBER(Risk_Rank_Keys!$B$2:$B$800),--(Risk_Rank_Keys!$B$2:$B$800=Risk_Rank_Keys!B640))+1)/2)/COUNT(Risk_Rank_Keys!$B$2:$B$800))</f>
        <v/>
      </c>
      <c r="N640">
        <f>IF(OR(B640="NW",COUNT(Risk_Rank_Keys!C640)=0),0.5,(SUMPRODUCT(--ISNUMBER(Risk_Rank_Keys!$C$2:$C$800),--(Risk_Rank_Keys!$C$2:$C$800&lt;Risk_Rank_Keys!C640))+(SUMPRODUCT(--ISNUMBER(Risk_Rank_Keys!$C$2:$C$800),--(Risk_Rank_Keys!$C$2:$C$800=Risk_Rank_Keys!C640))+1)/2)/COUNT(Risk_Rank_Keys!$C$2:$C$800))</f>
        <v/>
      </c>
      <c r="O640">
        <f>IF(OR(B640="NW",COUNT(Risk_Rank_Keys!D640)=0),0.5,(SUMPRODUCT(--ISNUMBER(Risk_Rank_Keys!$D$2:$D$800),--(Risk_Rank_Keys!$D$2:$D$800&lt;Risk_Rank_Keys!D640))+(SUMPRODUCT(--ISNUMBER(Risk_Rank_Keys!$D$2:$D$800),--(Risk_Rank_Keys!$D$2:$D$800=Risk_Rank_Keys!D640))+1)/2)/COUNT(Risk_Rank_Keys!$D$2:$D$800))</f>
        <v/>
      </c>
      <c r="P640">
        <f>AVERAGE(M640:O640)</f>
        <v/>
      </c>
      <c r="Q640">
        <f>0.4*H640+0.4*I640+0.2*P640</f>
        <v/>
      </c>
      <c r="R640">
        <f>PERCENTILE($Q$2:$Q$800,0.75)</f>
        <v/>
      </c>
      <c r="S640">
        <f>OR(Q640&gt;=R640,AND(B640="CW",COUNT(J640:L640)&lt;3))</f>
        <v/>
      </c>
      <c r="T640" t="n">
        <v>0.3820666846166582</v>
      </c>
      <c r="U640" t="n">
        <v>11.23636387683968</v>
      </c>
      <c r="V640" t="n">
        <v>0.8204005006257823</v>
      </c>
      <c r="W640">
        <f>Q640-V640</f>
        <v/>
      </c>
    </row>
    <row r="641">
      <c r="A641" t="inlineStr">
        <is>
          <t>2025-03-07</t>
        </is>
      </c>
      <c r="B641" t="inlineStr">
        <is>
          <t>CW</t>
        </is>
      </c>
      <c r="C641" t="n">
        <v>13.51692103509272</v>
      </c>
      <c r="D641">
        <f>SUMPRODUCT(Risk_Inputs!B641:AJ641,Risk_Coefs!$B$2:$AJ$2)</f>
        <v/>
      </c>
      <c r="E641">
        <f>1/(1+EXP(-MAX(-25,MIN(25,D641))))</f>
        <v/>
      </c>
      <c r="F641">
        <f>SUMPRODUCT(Risk_Inputs!B641:AJ641,Risk_Coefs!$B$3:$AJ$3)</f>
        <v/>
      </c>
      <c r="G641">
        <f>MAX(0,F641)</f>
        <v/>
      </c>
      <c r="H641">
        <f>(SUMPRODUCT(--ISNUMBER($E$2:$E$800),--($E$2:$E$800&lt;E641))+(SUMPRODUCT(--ISNUMBER($E$2:$E$800),--($E$2:$E$800=E641))+1)/2)/COUNT($E$2:$E$800)</f>
        <v/>
      </c>
      <c r="I641">
        <f>(SUMPRODUCT(--ISNUMBER($G$2:$G$800),--($G$2:$G$800&lt;G641))+(SUMPRODUCT(--ISNUMBER($G$2:$G$800),--($G$2:$G$800=G641))+1)/2)/COUNT($G$2:$G$800)</f>
        <v/>
      </c>
      <c r="J641" t="n">
        <v>16.86639249556141</v>
      </c>
      <c r="K641" t="n">
        <v>3.483932548520536</v>
      </c>
      <c r="L641" t="n">
        <v>0.190900413617561</v>
      </c>
      <c r="M641">
        <f>IF(OR(B641="NW",COUNT(Risk_Rank_Keys!B641)=0),0.5,(SUMPRODUCT(--ISNUMBER(Risk_Rank_Keys!$B$2:$B$800),--(Risk_Rank_Keys!$B$2:$B$800&lt;Risk_Rank_Keys!B641))+(SUMPRODUCT(--ISNUMBER(Risk_Rank_Keys!$B$2:$B$800),--(Risk_Rank_Keys!$B$2:$B$800=Risk_Rank_Keys!B641))+1)/2)/COUNT(Risk_Rank_Keys!$B$2:$B$800))</f>
        <v/>
      </c>
      <c r="N641">
        <f>IF(OR(B641="NW",COUNT(Risk_Rank_Keys!C641)=0),0.5,(SUMPRODUCT(--ISNUMBER(Risk_Rank_Keys!$C$2:$C$800),--(Risk_Rank_Keys!$C$2:$C$800&lt;Risk_Rank_Keys!C641))+(SUMPRODUCT(--ISNUMBER(Risk_Rank_Keys!$C$2:$C$800),--(Risk_Rank_Keys!$C$2:$C$800=Risk_Rank_Keys!C641))+1)/2)/COUNT(Risk_Rank_Keys!$C$2:$C$800))</f>
        <v/>
      </c>
      <c r="O641">
        <f>IF(OR(B641="NW",COUNT(Risk_Rank_Keys!D641)=0),0.5,(SUMPRODUCT(--ISNUMBER(Risk_Rank_Keys!$D$2:$D$800),--(Risk_Rank_Keys!$D$2:$D$800&lt;Risk_Rank_Keys!D641))+(SUMPRODUCT(--ISNUMBER(Risk_Rank_Keys!$D$2:$D$800),--(Risk_Rank_Keys!$D$2:$D$800=Risk_Rank_Keys!D641))+1)/2)/COUNT(Risk_Rank_Keys!$D$2:$D$800))</f>
        <v/>
      </c>
      <c r="P641">
        <f>AVERAGE(M641:O641)</f>
        <v/>
      </c>
      <c r="Q641">
        <f>0.4*H641+0.4*I641+0.2*P641</f>
        <v/>
      </c>
      <c r="R641">
        <f>PERCENTILE($Q$2:$Q$800,0.75)</f>
        <v/>
      </c>
      <c r="S641">
        <f>OR(Q641&gt;=R641,AND(B641="CW",COUNT(J641:L641)&lt;3))</f>
        <v/>
      </c>
      <c r="T641" t="n">
        <v>0.2405820612487291</v>
      </c>
      <c r="U641" t="n">
        <v>5.496216217942541</v>
      </c>
      <c r="V641" t="n">
        <v>0.2729341476939154</v>
      </c>
      <c r="W641">
        <f>Q641-V641</f>
        <v/>
      </c>
    </row>
    <row r="642">
      <c r="A642" t="inlineStr">
        <is>
          <t>2025-03-11</t>
        </is>
      </c>
      <c r="B642" t="inlineStr">
        <is>
          <t>CW</t>
        </is>
      </c>
      <c r="C642" t="n">
        <v>-14.57079480149486</v>
      </c>
      <c r="D642">
        <f>SUMPRODUCT(Risk_Inputs!B642:AJ642,Risk_Coefs!$B$2:$AJ$2)</f>
        <v/>
      </c>
      <c r="E642">
        <f>1/(1+EXP(-MAX(-25,MIN(25,D642))))</f>
        <v/>
      </c>
      <c r="F642">
        <f>SUMPRODUCT(Risk_Inputs!B642:AJ642,Risk_Coefs!$B$3:$AJ$3)</f>
        <v/>
      </c>
      <c r="G642">
        <f>MAX(0,F642)</f>
        <v/>
      </c>
      <c r="H642">
        <f>(SUMPRODUCT(--ISNUMBER($E$2:$E$800),--($E$2:$E$800&lt;E642))+(SUMPRODUCT(--ISNUMBER($E$2:$E$800),--($E$2:$E$800=E642))+1)/2)/COUNT($E$2:$E$800)</f>
        <v/>
      </c>
      <c r="I642">
        <f>(SUMPRODUCT(--ISNUMBER($G$2:$G$800),--($G$2:$G$800&lt;G642))+(SUMPRODUCT(--ISNUMBER($G$2:$G$800),--($G$2:$G$800=G642))+1)/2)/COUNT($G$2:$G$800)</f>
        <v/>
      </c>
      <c r="J642" t="n">
        <v>10.86532817771644</v>
      </c>
      <c r="K642" t="n">
        <v>2.57764631312064</v>
      </c>
      <c r="L642" t="n">
        <v>0.190154236213813</v>
      </c>
      <c r="M642">
        <f>IF(OR(B642="NW",COUNT(Risk_Rank_Keys!B642)=0),0.5,(SUMPRODUCT(--ISNUMBER(Risk_Rank_Keys!$B$2:$B$800),--(Risk_Rank_Keys!$B$2:$B$800&lt;Risk_Rank_Keys!B642))+(SUMPRODUCT(--ISNUMBER(Risk_Rank_Keys!$B$2:$B$800),--(Risk_Rank_Keys!$B$2:$B$800=Risk_Rank_Keys!B642))+1)/2)/COUNT(Risk_Rank_Keys!$B$2:$B$800))</f>
        <v/>
      </c>
      <c r="N642">
        <f>IF(OR(B642="NW",COUNT(Risk_Rank_Keys!C642)=0),0.5,(SUMPRODUCT(--ISNUMBER(Risk_Rank_Keys!$C$2:$C$800),--(Risk_Rank_Keys!$C$2:$C$800&lt;Risk_Rank_Keys!C642))+(SUMPRODUCT(--ISNUMBER(Risk_Rank_Keys!$C$2:$C$800),--(Risk_Rank_Keys!$C$2:$C$800=Risk_Rank_Keys!C642))+1)/2)/COUNT(Risk_Rank_Keys!$C$2:$C$800))</f>
        <v/>
      </c>
      <c r="O642">
        <f>IF(OR(B642="NW",COUNT(Risk_Rank_Keys!D642)=0),0.5,(SUMPRODUCT(--ISNUMBER(Risk_Rank_Keys!$D$2:$D$800),--(Risk_Rank_Keys!$D$2:$D$800&lt;Risk_Rank_Keys!D642))+(SUMPRODUCT(--ISNUMBER(Risk_Rank_Keys!$D$2:$D$800),--(Risk_Rank_Keys!$D$2:$D$800=Risk_Rank_Keys!D642))+1)/2)/COUNT(Risk_Rank_Keys!$D$2:$D$800))</f>
        <v/>
      </c>
      <c r="P642">
        <f>AVERAGE(M642:O642)</f>
        <v/>
      </c>
      <c r="Q642">
        <f>0.4*H642+0.4*I642+0.2*P642</f>
        <v/>
      </c>
      <c r="R642">
        <f>PERCENTILE($Q$2:$Q$800,0.75)</f>
        <v/>
      </c>
      <c r="S642">
        <f>OR(Q642&gt;=R642,AND(B642="CW",COUNT(J642:L642)&lt;3))</f>
        <v/>
      </c>
      <c r="T642" t="n">
        <v>0.2535239822815654</v>
      </c>
      <c r="U642" t="n">
        <v>5.001214053008733</v>
      </c>
      <c r="V642" t="n">
        <v>0.2507691797452534</v>
      </c>
      <c r="W642">
        <f>Q642-V642</f>
        <v/>
      </c>
    </row>
    <row r="643">
      <c r="A643" t="inlineStr">
        <is>
          <t>2025-03-12</t>
        </is>
      </c>
      <c r="B643" t="inlineStr">
        <is>
          <t>NW</t>
        </is>
      </c>
      <c r="C643" t="n">
        <v>27.68360178632907</v>
      </c>
      <c r="D643">
        <f>SUMPRODUCT(Risk_Inputs!B643:AJ643,Risk_Coefs!$B$2:$AJ$2)</f>
        <v/>
      </c>
      <c r="E643">
        <f>1/(1+EXP(-MAX(-25,MIN(25,D643))))</f>
        <v/>
      </c>
      <c r="F643">
        <f>SUMPRODUCT(Risk_Inputs!B643:AJ643,Risk_Coefs!$B$3:$AJ$3)</f>
        <v/>
      </c>
      <c r="G643">
        <f>MAX(0,F643)</f>
        <v/>
      </c>
      <c r="H643">
        <f>(SUMPRODUCT(--ISNUMBER($E$2:$E$800),--($E$2:$E$800&lt;E643))+(SUMPRODUCT(--ISNUMBER($E$2:$E$800),--($E$2:$E$800=E643))+1)/2)/COUNT($E$2:$E$800)</f>
        <v/>
      </c>
      <c r="I643">
        <f>(SUMPRODUCT(--ISNUMBER($G$2:$G$800),--($G$2:$G$800&lt;G643))+(SUMPRODUCT(--ISNUMBER($G$2:$G$800),--($G$2:$G$800=G643))+1)/2)/COUNT($G$2:$G$800)</f>
        <v/>
      </c>
      <c r="M643">
        <f>IF(OR(B643="NW",COUNT(Risk_Rank_Keys!B643)=0),0.5,(SUMPRODUCT(--ISNUMBER(Risk_Rank_Keys!$B$2:$B$800),--(Risk_Rank_Keys!$B$2:$B$800&lt;Risk_Rank_Keys!B643))+(SUMPRODUCT(--ISNUMBER(Risk_Rank_Keys!$B$2:$B$800),--(Risk_Rank_Keys!$B$2:$B$800=Risk_Rank_Keys!B643))+1)/2)/COUNT(Risk_Rank_Keys!$B$2:$B$800))</f>
        <v/>
      </c>
      <c r="N643">
        <f>IF(OR(B643="NW",COUNT(Risk_Rank_Keys!C643)=0),0.5,(SUMPRODUCT(--ISNUMBER(Risk_Rank_Keys!$C$2:$C$800),--(Risk_Rank_Keys!$C$2:$C$800&lt;Risk_Rank_Keys!C643))+(SUMPRODUCT(--ISNUMBER(Risk_Rank_Keys!$C$2:$C$800),--(Risk_Rank_Keys!$C$2:$C$800=Risk_Rank_Keys!C643))+1)/2)/COUNT(Risk_Rank_Keys!$C$2:$C$800))</f>
        <v/>
      </c>
      <c r="O643">
        <f>IF(OR(B643="NW",COUNT(Risk_Rank_Keys!D643)=0),0.5,(SUMPRODUCT(--ISNUMBER(Risk_Rank_Keys!$D$2:$D$800),--(Risk_Rank_Keys!$D$2:$D$800&lt;Risk_Rank_Keys!D643))+(SUMPRODUCT(--ISNUMBER(Risk_Rank_Keys!$D$2:$D$800),--(Risk_Rank_Keys!$D$2:$D$800=Risk_Rank_Keys!D643))+1)/2)/COUNT(Risk_Rank_Keys!$D$2:$D$800))</f>
        <v/>
      </c>
      <c r="P643">
        <f>AVERAGE(M643:O643)</f>
        <v/>
      </c>
      <c r="Q643">
        <f>0.4*H643+0.4*I643+0.2*P643</f>
        <v/>
      </c>
      <c r="R643">
        <f>PERCENTILE($Q$2:$Q$800,0.75)</f>
        <v/>
      </c>
      <c r="S643">
        <f>OR(Q643&gt;=R643,AND(B643="CW",COUNT(J643:L643)&lt;3))</f>
        <v/>
      </c>
      <c r="T643" t="n">
        <v>0.330250430574183</v>
      </c>
      <c r="U643" t="n">
        <v>9.763552874946251</v>
      </c>
      <c r="V643" t="n">
        <v>0.6987484355444306</v>
      </c>
      <c r="W643">
        <f>Q643-V643</f>
        <v/>
      </c>
    </row>
    <row r="644">
      <c r="A644" t="inlineStr">
        <is>
          <t>2025-03-13</t>
        </is>
      </c>
      <c r="B644" t="inlineStr">
        <is>
          <t>NW</t>
        </is>
      </c>
      <c r="C644" t="n">
        <v>25.86469071054281</v>
      </c>
      <c r="D644">
        <f>SUMPRODUCT(Risk_Inputs!B644:AJ644,Risk_Coefs!$B$2:$AJ$2)</f>
        <v/>
      </c>
      <c r="E644">
        <f>1/(1+EXP(-MAX(-25,MIN(25,D644))))</f>
        <v/>
      </c>
      <c r="F644">
        <f>SUMPRODUCT(Risk_Inputs!B644:AJ644,Risk_Coefs!$B$3:$AJ$3)</f>
        <v/>
      </c>
      <c r="G644">
        <f>MAX(0,F644)</f>
        <v/>
      </c>
      <c r="H644">
        <f>(SUMPRODUCT(--ISNUMBER($E$2:$E$800),--($E$2:$E$800&lt;E644))+(SUMPRODUCT(--ISNUMBER($E$2:$E$800),--($E$2:$E$800=E644))+1)/2)/COUNT($E$2:$E$800)</f>
        <v/>
      </c>
      <c r="I644">
        <f>(SUMPRODUCT(--ISNUMBER($G$2:$G$800),--($G$2:$G$800&lt;G644))+(SUMPRODUCT(--ISNUMBER($G$2:$G$800),--($G$2:$G$800=G644))+1)/2)/COUNT($G$2:$G$800)</f>
        <v/>
      </c>
      <c r="M644">
        <f>IF(OR(B644="NW",COUNT(Risk_Rank_Keys!B644)=0),0.5,(SUMPRODUCT(--ISNUMBER(Risk_Rank_Keys!$B$2:$B$800),--(Risk_Rank_Keys!$B$2:$B$800&lt;Risk_Rank_Keys!B644))+(SUMPRODUCT(--ISNUMBER(Risk_Rank_Keys!$B$2:$B$800),--(Risk_Rank_Keys!$B$2:$B$800=Risk_Rank_Keys!B644))+1)/2)/COUNT(Risk_Rank_Keys!$B$2:$B$800))</f>
        <v/>
      </c>
      <c r="N644">
        <f>IF(OR(B644="NW",COUNT(Risk_Rank_Keys!C644)=0),0.5,(SUMPRODUCT(--ISNUMBER(Risk_Rank_Keys!$C$2:$C$800),--(Risk_Rank_Keys!$C$2:$C$800&lt;Risk_Rank_Keys!C644))+(SUMPRODUCT(--ISNUMBER(Risk_Rank_Keys!$C$2:$C$800),--(Risk_Rank_Keys!$C$2:$C$800=Risk_Rank_Keys!C644))+1)/2)/COUNT(Risk_Rank_Keys!$C$2:$C$800))</f>
        <v/>
      </c>
      <c r="O644">
        <f>IF(OR(B644="NW",COUNT(Risk_Rank_Keys!D644)=0),0.5,(SUMPRODUCT(--ISNUMBER(Risk_Rank_Keys!$D$2:$D$800),--(Risk_Rank_Keys!$D$2:$D$800&lt;Risk_Rank_Keys!D644))+(SUMPRODUCT(--ISNUMBER(Risk_Rank_Keys!$D$2:$D$800),--(Risk_Rank_Keys!$D$2:$D$800=Risk_Rank_Keys!D644))+1)/2)/COUNT(Risk_Rank_Keys!$D$2:$D$800))</f>
        <v/>
      </c>
      <c r="P644">
        <f>AVERAGE(M644:O644)</f>
        <v/>
      </c>
      <c r="Q644">
        <f>0.4*H644+0.4*I644+0.2*P644</f>
        <v/>
      </c>
      <c r="R644">
        <f>PERCENTILE($Q$2:$Q$800,0.75)</f>
        <v/>
      </c>
      <c r="S644">
        <f>OR(Q644&gt;=R644,AND(B644="CW",COUNT(J644:L644)&lt;3))</f>
        <v/>
      </c>
      <c r="T644" t="n">
        <v>0.3237567724085774</v>
      </c>
      <c r="U644" t="n">
        <v>9.48125448463402</v>
      </c>
      <c r="V644" t="n">
        <v>0.6692115143929912</v>
      </c>
      <c r="W644">
        <f>Q644-V644</f>
        <v/>
      </c>
    </row>
    <row r="645">
      <c r="A645" t="inlineStr">
        <is>
          <t>2025-03-18</t>
        </is>
      </c>
      <c r="B645" t="inlineStr">
        <is>
          <t>CW</t>
        </is>
      </c>
      <c r="C645" t="n">
        <v>-34.24445549907828</v>
      </c>
      <c r="D645">
        <f>SUMPRODUCT(Risk_Inputs!B645:AJ645,Risk_Coefs!$B$2:$AJ$2)</f>
        <v/>
      </c>
      <c r="E645">
        <f>1/(1+EXP(-MAX(-25,MIN(25,D645))))</f>
        <v/>
      </c>
      <c r="F645">
        <f>SUMPRODUCT(Risk_Inputs!B645:AJ645,Risk_Coefs!$B$3:$AJ$3)</f>
        <v/>
      </c>
      <c r="G645">
        <f>MAX(0,F645)</f>
        <v/>
      </c>
      <c r="H645">
        <f>(SUMPRODUCT(--ISNUMBER($E$2:$E$800),--($E$2:$E$800&lt;E645))+(SUMPRODUCT(--ISNUMBER($E$2:$E$800),--($E$2:$E$800=E645))+1)/2)/COUNT($E$2:$E$800)</f>
        <v/>
      </c>
      <c r="I645">
        <f>(SUMPRODUCT(--ISNUMBER($G$2:$G$800),--($G$2:$G$800&lt;G645))+(SUMPRODUCT(--ISNUMBER($G$2:$G$800),--($G$2:$G$800=G645))+1)/2)/COUNT($G$2:$G$800)</f>
        <v/>
      </c>
      <c r="J645" t="n">
        <v>14.30618322953159</v>
      </c>
      <c r="K645" t="n">
        <v>4.028060647205253</v>
      </c>
      <c r="L645" t="n">
        <v>0.181036433582261</v>
      </c>
      <c r="M645">
        <f>IF(OR(B645="NW",COUNT(Risk_Rank_Keys!B645)=0),0.5,(SUMPRODUCT(--ISNUMBER(Risk_Rank_Keys!$B$2:$B$800),--(Risk_Rank_Keys!$B$2:$B$800&lt;Risk_Rank_Keys!B645))+(SUMPRODUCT(--ISNUMBER(Risk_Rank_Keys!$B$2:$B$800),--(Risk_Rank_Keys!$B$2:$B$800=Risk_Rank_Keys!B645))+1)/2)/COUNT(Risk_Rank_Keys!$B$2:$B$800))</f>
        <v/>
      </c>
      <c r="N645">
        <f>IF(OR(B645="NW",COUNT(Risk_Rank_Keys!C645)=0),0.5,(SUMPRODUCT(--ISNUMBER(Risk_Rank_Keys!$C$2:$C$800),--(Risk_Rank_Keys!$C$2:$C$800&lt;Risk_Rank_Keys!C645))+(SUMPRODUCT(--ISNUMBER(Risk_Rank_Keys!$C$2:$C$800),--(Risk_Rank_Keys!$C$2:$C$800=Risk_Rank_Keys!C645))+1)/2)/COUNT(Risk_Rank_Keys!$C$2:$C$800))</f>
        <v/>
      </c>
      <c r="O645">
        <f>IF(OR(B645="NW",COUNT(Risk_Rank_Keys!D645)=0),0.5,(SUMPRODUCT(--ISNUMBER(Risk_Rank_Keys!$D$2:$D$800),--(Risk_Rank_Keys!$D$2:$D$800&lt;Risk_Rank_Keys!D645))+(SUMPRODUCT(--ISNUMBER(Risk_Rank_Keys!$D$2:$D$800),--(Risk_Rank_Keys!$D$2:$D$800=Risk_Rank_Keys!D645))+1)/2)/COUNT(Risk_Rank_Keys!$D$2:$D$800))</f>
        <v/>
      </c>
      <c r="P645">
        <f>AVERAGE(M645:O645)</f>
        <v/>
      </c>
      <c r="Q645">
        <f>0.4*H645+0.4*I645+0.2*P645</f>
        <v/>
      </c>
      <c r="R645">
        <f>PERCENTILE($Q$2:$Q$800,0.75)</f>
        <v/>
      </c>
      <c r="S645">
        <f>OR(Q645&gt;=R645,AND(B645="CW",COUNT(J645:L645)&lt;3))</f>
        <v/>
      </c>
      <c r="T645" t="n">
        <v>0.235051923210364</v>
      </c>
      <c r="U645" t="n">
        <v>6.63903965605423</v>
      </c>
      <c r="V645" t="n">
        <v>0.3279242009275891</v>
      </c>
      <c r="W645">
        <f>Q645-V645</f>
        <v/>
      </c>
    </row>
    <row r="646">
      <c r="A646" t="inlineStr">
        <is>
          <t>2025-03-19</t>
        </is>
      </c>
      <c r="B646" t="inlineStr">
        <is>
          <t>CW</t>
        </is>
      </c>
      <c r="C646" t="n">
        <v>-21.1195681509174</v>
      </c>
      <c r="D646">
        <f>SUMPRODUCT(Risk_Inputs!B646:AJ646,Risk_Coefs!$B$2:$AJ$2)</f>
        <v/>
      </c>
      <c r="E646">
        <f>1/(1+EXP(-MAX(-25,MIN(25,D646))))</f>
        <v/>
      </c>
      <c r="F646">
        <f>SUMPRODUCT(Risk_Inputs!B646:AJ646,Risk_Coefs!$B$3:$AJ$3)</f>
        <v/>
      </c>
      <c r="G646">
        <f>MAX(0,F646)</f>
        <v/>
      </c>
      <c r="H646">
        <f>(SUMPRODUCT(--ISNUMBER($E$2:$E$800),--($E$2:$E$800&lt;E646))+(SUMPRODUCT(--ISNUMBER($E$2:$E$800),--($E$2:$E$800=E646))+1)/2)/COUNT($E$2:$E$800)</f>
        <v/>
      </c>
      <c r="I646">
        <f>(SUMPRODUCT(--ISNUMBER($G$2:$G$800),--($G$2:$G$800&lt;G646))+(SUMPRODUCT(--ISNUMBER($G$2:$G$800),--($G$2:$G$800=G646))+1)/2)/COUNT($G$2:$G$800)</f>
        <v/>
      </c>
      <c r="J646" t="n">
        <v>11.16020241243637</v>
      </c>
      <c r="K646" t="n">
        <v>2.278553118769581</v>
      </c>
      <c r="L646" t="n">
        <v>0.2563372258615713</v>
      </c>
      <c r="M646">
        <f>IF(OR(B646="NW",COUNT(Risk_Rank_Keys!B646)=0),0.5,(SUMPRODUCT(--ISNUMBER(Risk_Rank_Keys!$B$2:$B$800),--(Risk_Rank_Keys!$B$2:$B$800&lt;Risk_Rank_Keys!B646))+(SUMPRODUCT(--ISNUMBER(Risk_Rank_Keys!$B$2:$B$800),--(Risk_Rank_Keys!$B$2:$B$800=Risk_Rank_Keys!B646))+1)/2)/COUNT(Risk_Rank_Keys!$B$2:$B$800))</f>
        <v/>
      </c>
      <c r="N646">
        <f>IF(OR(B646="NW",COUNT(Risk_Rank_Keys!C646)=0),0.5,(SUMPRODUCT(--ISNUMBER(Risk_Rank_Keys!$C$2:$C$800),--(Risk_Rank_Keys!$C$2:$C$800&lt;Risk_Rank_Keys!C646))+(SUMPRODUCT(--ISNUMBER(Risk_Rank_Keys!$C$2:$C$800),--(Risk_Rank_Keys!$C$2:$C$800=Risk_Rank_Keys!C646))+1)/2)/COUNT(Risk_Rank_Keys!$C$2:$C$800))</f>
        <v/>
      </c>
      <c r="O646">
        <f>IF(OR(B646="NW",COUNT(Risk_Rank_Keys!D646)=0),0.5,(SUMPRODUCT(--ISNUMBER(Risk_Rank_Keys!$D$2:$D$800),--(Risk_Rank_Keys!$D$2:$D$800&lt;Risk_Rank_Keys!D646))+(SUMPRODUCT(--ISNUMBER(Risk_Rank_Keys!$D$2:$D$800),--(Risk_Rank_Keys!$D$2:$D$800=Risk_Rank_Keys!D646))+1)/2)/COUNT(Risk_Rank_Keys!$D$2:$D$800))</f>
        <v/>
      </c>
      <c r="P646">
        <f>AVERAGE(M646:O646)</f>
        <v/>
      </c>
      <c r="Q646">
        <f>0.4*H646+0.4*I646+0.2*P646</f>
        <v/>
      </c>
      <c r="R646">
        <f>PERCENTILE($Q$2:$Q$800,0.75)</f>
        <v/>
      </c>
      <c r="S646">
        <f>OR(Q646&gt;=R646,AND(B646="CW",COUNT(J646:L646)&lt;3))</f>
        <v/>
      </c>
      <c r="T646" t="n">
        <v>0.2673621124354241</v>
      </c>
      <c r="U646" t="n">
        <v>7.634367614375218</v>
      </c>
      <c r="V646" t="n">
        <v>0.4525227664287473</v>
      </c>
      <c r="W646">
        <f>Q646-V646</f>
        <v/>
      </c>
    </row>
    <row r="647">
      <c r="A647" t="inlineStr">
        <is>
          <t>2025-03-20</t>
        </is>
      </c>
      <c r="B647" t="inlineStr">
        <is>
          <t>NW</t>
        </is>
      </c>
      <c r="C647" t="n">
        <v>3.033723387263484</v>
      </c>
      <c r="D647">
        <f>SUMPRODUCT(Risk_Inputs!B647:AJ647,Risk_Coefs!$B$2:$AJ$2)</f>
        <v/>
      </c>
      <c r="E647">
        <f>1/(1+EXP(-MAX(-25,MIN(25,D647))))</f>
        <v/>
      </c>
      <c r="F647">
        <f>SUMPRODUCT(Risk_Inputs!B647:AJ647,Risk_Coefs!$B$3:$AJ$3)</f>
        <v/>
      </c>
      <c r="G647">
        <f>MAX(0,F647)</f>
        <v/>
      </c>
      <c r="H647">
        <f>(SUMPRODUCT(--ISNUMBER($E$2:$E$800),--($E$2:$E$800&lt;E647))+(SUMPRODUCT(--ISNUMBER($E$2:$E$800),--($E$2:$E$800=E647))+1)/2)/COUNT($E$2:$E$800)</f>
        <v/>
      </c>
      <c r="I647">
        <f>(SUMPRODUCT(--ISNUMBER($G$2:$G$800),--($G$2:$G$800&lt;G647))+(SUMPRODUCT(--ISNUMBER($G$2:$G$800),--($G$2:$G$800=G647))+1)/2)/COUNT($G$2:$G$800)</f>
        <v/>
      </c>
      <c r="M647">
        <f>IF(OR(B647="NW",COUNT(Risk_Rank_Keys!B647)=0),0.5,(SUMPRODUCT(--ISNUMBER(Risk_Rank_Keys!$B$2:$B$800),--(Risk_Rank_Keys!$B$2:$B$800&lt;Risk_Rank_Keys!B647))+(SUMPRODUCT(--ISNUMBER(Risk_Rank_Keys!$B$2:$B$800),--(Risk_Rank_Keys!$B$2:$B$800=Risk_Rank_Keys!B647))+1)/2)/COUNT(Risk_Rank_Keys!$B$2:$B$800))</f>
        <v/>
      </c>
      <c r="N647">
        <f>IF(OR(B647="NW",COUNT(Risk_Rank_Keys!C647)=0),0.5,(SUMPRODUCT(--ISNUMBER(Risk_Rank_Keys!$C$2:$C$800),--(Risk_Rank_Keys!$C$2:$C$800&lt;Risk_Rank_Keys!C647))+(SUMPRODUCT(--ISNUMBER(Risk_Rank_Keys!$C$2:$C$800),--(Risk_Rank_Keys!$C$2:$C$800=Risk_Rank_Keys!C647))+1)/2)/COUNT(Risk_Rank_Keys!$C$2:$C$800))</f>
        <v/>
      </c>
      <c r="O647">
        <f>IF(OR(B647="NW",COUNT(Risk_Rank_Keys!D647)=0),0.5,(SUMPRODUCT(--ISNUMBER(Risk_Rank_Keys!$D$2:$D$800),--(Risk_Rank_Keys!$D$2:$D$800&lt;Risk_Rank_Keys!D647))+(SUMPRODUCT(--ISNUMBER(Risk_Rank_Keys!$D$2:$D$800),--(Risk_Rank_Keys!$D$2:$D$800=Risk_Rank_Keys!D647))+1)/2)/COUNT(Risk_Rank_Keys!$D$2:$D$800))</f>
        <v/>
      </c>
      <c r="P647">
        <f>AVERAGE(M647:O647)</f>
        <v/>
      </c>
      <c r="Q647">
        <f>0.4*H647+0.4*I647+0.2*P647</f>
        <v/>
      </c>
      <c r="R647">
        <f>PERCENTILE($Q$2:$Q$800,0.75)</f>
        <v/>
      </c>
      <c r="S647">
        <f>OR(Q647&gt;=R647,AND(B647="CW",COUNT(J647:L647)&lt;3))</f>
        <v/>
      </c>
      <c r="T647" t="n">
        <v>0.3230600370772046</v>
      </c>
      <c r="U647" t="n">
        <v>8.961094386239802</v>
      </c>
      <c r="V647" t="n">
        <v>0.6476846057571964</v>
      </c>
      <c r="W647">
        <f>Q647-V647</f>
        <v/>
      </c>
    </row>
    <row r="648">
      <c r="A648" t="inlineStr">
        <is>
          <t>2025-03-24</t>
        </is>
      </c>
      <c r="B648" t="inlineStr">
        <is>
          <t>CW</t>
        </is>
      </c>
      <c r="C648" t="n">
        <v>-34.99804924836275</v>
      </c>
      <c r="D648">
        <f>SUMPRODUCT(Risk_Inputs!B648:AJ648,Risk_Coefs!$B$2:$AJ$2)</f>
        <v/>
      </c>
      <c r="E648">
        <f>1/(1+EXP(-MAX(-25,MIN(25,D648))))</f>
        <v/>
      </c>
      <c r="F648">
        <f>SUMPRODUCT(Risk_Inputs!B648:AJ648,Risk_Coefs!$B$3:$AJ$3)</f>
        <v/>
      </c>
      <c r="G648">
        <f>MAX(0,F648)</f>
        <v/>
      </c>
      <c r="H648">
        <f>(SUMPRODUCT(--ISNUMBER($E$2:$E$800),--($E$2:$E$800&lt;E648))+(SUMPRODUCT(--ISNUMBER($E$2:$E$800),--($E$2:$E$800=E648))+1)/2)/COUNT($E$2:$E$800)</f>
        <v/>
      </c>
      <c r="I648">
        <f>(SUMPRODUCT(--ISNUMBER($G$2:$G$800),--($G$2:$G$800&lt;G648))+(SUMPRODUCT(--ISNUMBER($G$2:$G$800),--($G$2:$G$800=G648))+1)/2)/COUNT($G$2:$G$800)</f>
        <v/>
      </c>
      <c r="J648" t="n">
        <v>11.18387480864062</v>
      </c>
      <c r="K648" t="n">
        <v>3.55125100887812</v>
      </c>
      <c r="L648" t="n">
        <v>0.2421307506053246</v>
      </c>
      <c r="M648">
        <f>IF(OR(B648="NW",COUNT(Risk_Rank_Keys!B648)=0),0.5,(SUMPRODUCT(--ISNUMBER(Risk_Rank_Keys!$B$2:$B$800),--(Risk_Rank_Keys!$B$2:$B$800&lt;Risk_Rank_Keys!B648))+(SUMPRODUCT(--ISNUMBER(Risk_Rank_Keys!$B$2:$B$800),--(Risk_Rank_Keys!$B$2:$B$800=Risk_Rank_Keys!B648))+1)/2)/COUNT(Risk_Rank_Keys!$B$2:$B$800))</f>
        <v/>
      </c>
      <c r="N648">
        <f>IF(OR(B648="NW",COUNT(Risk_Rank_Keys!C648)=0),0.5,(SUMPRODUCT(--ISNUMBER(Risk_Rank_Keys!$C$2:$C$800),--(Risk_Rank_Keys!$C$2:$C$800&lt;Risk_Rank_Keys!C648))+(SUMPRODUCT(--ISNUMBER(Risk_Rank_Keys!$C$2:$C$800),--(Risk_Rank_Keys!$C$2:$C$800=Risk_Rank_Keys!C648))+1)/2)/COUNT(Risk_Rank_Keys!$C$2:$C$800))</f>
        <v/>
      </c>
      <c r="O648">
        <f>IF(OR(B648="NW",COUNT(Risk_Rank_Keys!D648)=0),0.5,(SUMPRODUCT(--ISNUMBER(Risk_Rank_Keys!$D$2:$D$800),--(Risk_Rank_Keys!$D$2:$D$800&lt;Risk_Rank_Keys!D648))+(SUMPRODUCT(--ISNUMBER(Risk_Rank_Keys!$D$2:$D$800),--(Risk_Rank_Keys!$D$2:$D$800=Risk_Rank_Keys!D648))+1)/2)/COUNT(Risk_Rank_Keys!$D$2:$D$800))</f>
        <v/>
      </c>
      <c r="P648">
        <f>AVERAGE(M648:O648)</f>
        <v/>
      </c>
      <c r="Q648">
        <f>0.4*H648+0.4*I648+0.2*P648</f>
        <v/>
      </c>
      <c r="R648">
        <f>PERCENTILE($Q$2:$Q$800,0.75)</f>
        <v/>
      </c>
      <c r="S648">
        <f>OR(Q648&gt;=R648,AND(B648="CW",COUNT(J648:L648)&lt;3))</f>
        <v/>
      </c>
      <c r="T648" t="n">
        <v>0.2462660846436359</v>
      </c>
      <c r="U648" t="n">
        <v>6.726788563094736</v>
      </c>
      <c r="V648" t="n">
        <v>0.3611592593950248</v>
      </c>
      <c r="W648">
        <f>Q648-V648</f>
        <v/>
      </c>
    </row>
    <row r="649">
      <c r="A649" t="inlineStr">
        <is>
          <t>2025-03-25</t>
        </is>
      </c>
      <c r="B649" t="inlineStr">
        <is>
          <t>CW</t>
        </is>
      </c>
      <c r="C649" t="n">
        <v>52.42585463486174</v>
      </c>
      <c r="D649">
        <f>SUMPRODUCT(Risk_Inputs!B649:AJ649,Risk_Coefs!$B$2:$AJ$2)</f>
        <v/>
      </c>
      <c r="E649">
        <f>1/(1+EXP(-MAX(-25,MIN(25,D649))))</f>
        <v/>
      </c>
      <c r="F649">
        <f>SUMPRODUCT(Risk_Inputs!B649:AJ649,Risk_Coefs!$B$3:$AJ$3)</f>
        <v/>
      </c>
      <c r="G649">
        <f>MAX(0,F649)</f>
        <v/>
      </c>
      <c r="H649">
        <f>(SUMPRODUCT(--ISNUMBER($E$2:$E$800),--($E$2:$E$800&lt;E649))+(SUMPRODUCT(--ISNUMBER($E$2:$E$800),--($E$2:$E$800=E649))+1)/2)/COUNT($E$2:$E$800)</f>
        <v/>
      </c>
      <c r="I649">
        <f>(SUMPRODUCT(--ISNUMBER($G$2:$G$800),--($G$2:$G$800&lt;G649))+(SUMPRODUCT(--ISNUMBER($G$2:$G$800),--($G$2:$G$800=G649))+1)/2)/COUNT($G$2:$G$800)</f>
        <v/>
      </c>
      <c r="J649" t="n">
        <v>12.86470165893561</v>
      </c>
      <c r="K649" t="n">
        <v>4.273198641158587</v>
      </c>
      <c r="L649" t="n">
        <v>0.2324333988914735</v>
      </c>
      <c r="M649">
        <f>IF(OR(B649="NW",COUNT(Risk_Rank_Keys!B649)=0),0.5,(SUMPRODUCT(--ISNUMBER(Risk_Rank_Keys!$B$2:$B$800),--(Risk_Rank_Keys!$B$2:$B$800&lt;Risk_Rank_Keys!B649))+(SUMPRODUCT(--ISNUMBER(Risk_Rank_Keys!$B$2:$B$800),--(Risk_Rank_Keys!$B$2:$B$800=Risk_Rank_Keys!B649))+1)/2)/COUNT(Risk_Rank_Keys!$B$2:$B$800))</f>
        <v/>
      </c>
      <c r="N649">
        <f>IF(OR(B649="NW",COUNT(Risk_Rank_Keys!C649)=0),0.5,(SUMPRODUCT(--ISNUMBER(Risk_Rank_Keys!$C$2:$C$800),--(Risk_Rank_Keys!$C$2:$C$800&lt;Risk_Rank_Keys!C649))+(SUMPRODUCT(--ISNUMBER(Risk_Rank_Keys!$C$2:$C$800),--(Risk_Rank_Keys!$C$2:$C$800=Risk_Rank_Keys!C649))+1)/2)/COUNT(Risk_Rank_Keys!$C$2:$C$800))</f>
        <v/>
      </c>
      <c r="O649">
        <f>IF(OR(B649="NW",COUNT(Risk_Rank_Keys!D649)=0),0.5,(SUMPRODUCT(--ISNUMBER(Risk_Rank_Keys!$D$2:$D$800),--(Risk_Rank_Keys!$D$2:$D$800&lt;Risk_Rank_Keys!D649))+(SUMPRODUCT(--ISNUMBER(Risk_Rank_Keys!$D$2:$D$800),--(Risk_Rank_Keys!$D$2:$D$800=Risk_Rank_Keys!D649))+1)/2)/COUNT(Risk_Rank_Keys!$D$2:$D$800))</f>
        <v/>
      </c>
      <c r="P649">
        <f>AVERAGE(M649:O649)</f>
        <v/>
      </c>
      <c r="Q649">
        <f>0.4*H649+0.4*I649+0.2*P649</f>
        <v/>
      </c>
      <c r="R649">
        <f>PERCENTILE($Q$2:$Q$800,0.75)</f>
        <v/>
      </c>
      <c r="S649">
        <f>OR(Q649&gt;=R649,AND(B649="CW",COUNT(J649:L649)&lt;3))</f>
        <v/>
      </c>
      <c r="T649" t="n">
        <v>0.2212089379647719</v>
      </c>
      <c r="U649" t="n">
        <v>6.461233773573221</v>
      </c>
      <c r="V649" t="n">
        <v>0.3117338095213159</v>
      </c>
      <c r="W649">
        <f>Q649-V649</f>
        <v/>
      </c>
    </row>
    <row r="650">
      <c r="A650" t="inlineStr">
        <is>
          <t>2025-03-26</t>
        </is>
      </c>
      <c r="B650" t="inlineStr">
        <is>
          <t>CW</t>
        </is>
      </c>
      <c r="C650" t="n">
        <v>-4.731694601037999</v>
      </c>
      <c r="D650">
        <f>SUMPRODUCT(Risk_Inputs!B650:AJ650,Risk_Coefs!$B$2:$AJ$2)</f>
        <v/>
      </c>
      <c r="E650">
        <f>1/(1+EXP(-MAX(-25,MIN(25,D650))))</f>
        <v/>
      </c>
      <c r="F650">
        <f>SUMPRODUCT(Risk_Inputs!B650:AJ650,Risk_Coefs!$B$3:$AJ$3)</f>
        <v/>
      </c>
      <c r="G650">
        <f>MAX(0,F650)</f>
        <v/>
      </c>
      <c r="H650">
        <f>(SUMPRODUCT(--ISNUMBER($E$2:$E$800),--($E$2:$E$800&lt;E650))+(SUMPRODUCT(--ISNUMBER($E$2:$E$800),--($E$2:$E$800=E650))+1)/2)/COUNT($E$2:$E$800)</f>
        <v/>
      </c>
      <c r="I650">
        <f>(SUMPRODUCT(--ISNUMBER($G$2:$G$800),--($G$2:$G$800&lt;G650))+(SUMPRODUCT(--ISNUMBER($G$2:$G$800),--($G$2:$G$800=G650))+1)/2)/COUNT($G$2:$G$800)</f>
        <v/>
      </c>
      <c r="J650" t="n">
        <v>8.608394028136713</v>
      </c>
      <c r="K650" t="n">
        <v>1.898253606681853</v>
      </c>
      <c r="L650" t="n">
        <v>0.2531004808909136</v>
      </c>
      <c r="M650">
        <f>IF(OR(B650="NW",COUNT(Risk_Rank_Keys!B650)=0),0.5,(SUMPRODUCT(--ISNUMBER(Risk_Rank_Keys!$B$2:$B$800),--(Risk_Rank_Keys!$B$2:$B$800&lt;Risk_Rank_Keys!B650))+(SUMPRODUCT(--ISNUMBER(Risk_Rank_Keys!$B$2:$B$800),--(Risk_Rank_Keys!$B$2:$B$800=Risk_Rank_Keys!B650))+1)/2)/COUNT(Risk_Rank_Keys!$B$2:$B$800))</f>
        <v/>
      </c>
      <c r="N650">
        <f>IF(OR(B650="NW",COUNT(Risk_Rank_Keys!C650)=0),0.5,(SUMPRODUCT(--ISNUMBER(Risk_Rank_Keys!$C$2:$C$800),--(Risk_Rank_Keys!$C$2:$C$800&lt;Risk_Rank_Keys!C650))+(SUMPRODUCT(--ISNUMBER(Risk_Rank_Keys!$C$2:$C$800),--(Risk_Rank_Keys!$C$2:$C$800=Risk_Rank_Keys!C650))+1)/2)/COUNT(Risk_Rank_Keys!$C$2:$C$800))</f>
        <v/>
      </c>
      <c r="O650">
        <f>IF(OR(B650="NW",COUNT(Risk_Rank_Keys!D650)=0),0.5,(SUMPRODUCT(--ISNUMBER(Risk_Rank_Keys!$D$2:$D$800),--(Risk_Rank_Keys!$D$2:$D$800&lt;Risk_Rank_Keys!D650))+(SUMPRODUCT(--ISNUMBER(Risk_Rank_Keys!$D$2:$D$800),--(Risk_Rank_Keys!$D$2:$D$800=Risk_Rank_Keys!D650))+1)/2)/COUNT(Risk_Rank_Keys!$D$2:$D$800))</f>
        <v/>
      </c>
      <c r="P650">
        <f>AVERAGE(M650:O650)</f>
        <v/>
      </c>
      <c r="Q650">
        <f>0.4*H650+0.4*I650+0.2*P650</f>
        <v/>
      </c>
      <c r="R650">
        <f>PERCENTILE($Q$2:$Q$800,0.75)</f>
        <v/>
      </c>
      <c r="S650">
        <f>OR(Q650&gt;=R650,AND(B650="CW",COUNT(J650:L650)&lt;3))</f>
        <v/>
      </c>
      <c r="T650" t="n">
        <v>0.290262387720243</v>
      </c>
      <c r="U650" t="n">
        <v>5.792587210276039</v>
      </c>
      <c r="V650" t="n">
        <v>0.3906443956852155</v>
      </c>
      <c r="W650">
        <f>Q650-V650</f>
        <v/>
      </c>
    </row>
    <row r="651">
      <c r="A651" t="inlineStr">
        <is>
          <t>2025-03-27</t>
        </is>
      </c>
      <c r="B651" t="inlineStr">
        <is>
          <t>CW</t>
        </is>
      </c>
      <c r="C651" t="n">
        <v>-39.50384222820401</v>
      </c>
      <c r="D651">
        <f>SUMPRODUCT(Risk_Inputs!B651:AJ651,Risk_Coefs!$B$2:$AJ$2)</f>
        <v/>
      </c>
      <c r="E651">
        <f>1/(1+EXP(-MAX(-25,MIN(25,D651))))</f>
        <v/>
      </c>
      <c r="F651">
        <f>SUMPRODUCT(Risk_Inputs!B651:AJ651,Risk_Coefs!$B$3:$AJ$3)</f>
        <v/>
      </c>
      <c r="G651">
        <f>MAX(0,F651)</f>
        <v/>
      </c>
      <c r="H651">
        <f>(SUMPRODUCT(--ISNUMBER($E$2:$E$800),--($E$2:$E$800&lt;E651))+(SUMPRODUCT(--ISNUMBER($E$2:$E$800),--($E$2:$E$800=E651))+1)/2)/COUNT($E$2:$E$800)</f>
        <v/>
      </c>
      <c r="I651">
        <f>(SUMPRODUCT(--ISNUMBER($G$2:$G$800),--($G$2:$G$800&lt;G651))+(SUMPRODUCT(--ISNUMBER($G$2:$G$800),--($G$2:$G$800=G651))+1)/2)/COUNT($G$2:$G$800)</f>
        <v/>
      </c>
      <c r="J651" t="n">
        <v>6.223650725310457</v>
      </c>
      <c r="K651" t="n">
        <v>9.240407204385289</v>
      </c>
      <c r="L651" t="n">
        <v>0.2740798747063441</v>
      </c>
      <c r="M651">
        <f>IF(OR(B651="NW",COUNT(Risk_Rank_Keys!B651)=0),0.5,(SUMPRODUCT(--ISNUMBER(Risk_Rank_Keys!$B$2:$B$800),--(Risk_Rank_Keys!$B$2:$B$800&lt;Risk_Rank_Keys!B651))+(SUMPRODUCT(--ISNUMBER(Risk_Rank_Keys!$B$2:$B$800),--(Risk_Rank_Keys!$B$2:$B$800=Risk_Rank_Keys!B651))+1)/2)/COUNT(Risk_Rank_Keys!$B$2:$B$800))</f>
        <v/>
      </c>
      <c r="N651">
        <f>IF(OR(B651="NW",COUNT(Risk_Rank_Keys!C651)=0),0.5,(SUMPRODUCT(--ISNUMBER(Risk_Rank_Keys!$C$2:$C$800),--(Risk_Rank_Keys!$C$2:$C$800&lt;Risk_Rank_Keys!C651))+(SUMPRODUCT(--ISNUMBER(Risk_Rank_Keys!$C$2:$C$800),--(Risk_Rank_Keys!$C$2:$C$800=Risk_Rank_Keys!C651))+1)/2)/COUNT(Risk_Rank_Keys!$C$2:$C$800))</f>
        <v/>
      </c>
      <c r="O651">
        <f>IF(OR(B651="NW",COUNT(Risk_Rank_Keys!D651)=0),0.5,(SUMPRODUCT(--ISNUMBER(Risk_Rank_Keys!$D$2:$D$800),--(Risk_Rank_Keys!$D$2:$D$800&lt;Risk_Rank_Keys!D651))+(SUMPRODUCT(--ISNUMBER(Risk_Rank_Keys!$D$2:$D$800),--(Risk_Rank_Keys!$D$2:$D$800=Risk_Rank_Keys!D651))+1)/2)/COUNT(Risk_Rank_Keys!$D$2:$D$800))</f>
        <v/>
      </c>
      <c r="P651">
        <f>AVERAGE(M651:O651)</f>
        <v/>
      </c>
      <c r="Q651">
        <f>0.4*H651+0.4*I651+0.2*P651</f>
        <v/>
      </c>
      <c r="R651">
        <f>PERCENTILE($Q$2:$Q$800,0.75)</f>
        <v/>
      </c>
      <c r="S651">
        <f>OR(Q651&gt;=R651,AND(B651="CW",COUNT(J651:L651)&lt;3))</f>
        <v/>
      </c>
      <c r="T651" t="n">
        <v>0.2717869636139468</v>
      </c>
      <c r="U651" t="n">
        <v>7.94177018051669</v>
      </c>
      <c r="V651" t="n">
        <v>0.4913297595960548</v>
      </c>
      <c r="W651">
        <f>Q651-V651</f>
        <v/>
      </c>
    </row>
    <row r="652">
      <c r="A652" t="inlineStr">
        <is>
          <t>2025-03-28</t>
        </is>
      </c>
      <c r="B652" t="inlineStr">
        <is>
          <t>CW</t>
        </is>
      </c>
      <c r="C652" t="n">
        <v>27.26581933676644</v>
      </c>
      <c r="D652">
        <f>SUMPRODUCT(Risk_Inputs!B652:AJ652,Risk_Coefs!$B$2:$AJ$2)</f>
        <v/>
      </c>
      <c r="E652">
        <f>1/(1+EXP(-MAX(-25,MIN(25,D652))))</f>
        <v/>
      </c>
      <c r="F652">
        <f>SUMPRODUCT(Risk_Inputs!B652:AJ652,Risk_Coefs!$B$3:$AJ$3)</f>
        <v/>
      </c>
      <c r="G652">
        <f>MAX(0,F652)</f>
        <v/>
      </c>
      <c r="H652">
        <f>(SUMPRODUCT(--ISNUMBER($E$2:$E$800),--($E$2:$E$800&lt;E652))+(SUMPRODUCT(--ISNUMBER($E$2:$E$800),--($E$2:$E$800=E652))+1)/2)/COUNT($E$2:$E$800)</f>
        <v/>
      </c>
      <c r="I652">
        <f>(SUMPRODUCT(--ISNUMBER($G$2:$G$800),--($G$2:$G$800&lt;G652))+(SUMPRODUCT(--ISNUMBER($G$2:$G$800),--($G$2:$G$800=G652))+1)/2)/COUNT($G$2:$G$800)</f>
        <v/>
      </c>
      <c r="J652" t="n">
        <v>12.21362431905936</v>
      </c>
      <c r="K652" t="n">
        <v>5.797550767322893</v>
      </c>
      <c r="L652" t="n">
        <v>0.1705161990389034</v>
      </c>
      <c r="M652">
        <f>IF(OR(B652="NW",COUNT(Risk_Rank_Keys!B652)=0),0.5,(SUMPRODUCT(--ISNUMBER(Risk_Rank_Keys!$B$2:$B$800),--(Risk_Rank_Keys!$B$2:$B$800&lt;Risk_Rank_Keys!B652))+(SUMPRODUCT(--ISNUMBER(Risk_Rank_Keys!$B$2:$B$800),--(Risk_Rank_Keys!$B$2:$B$800=Risk_Rank_Keys!B652))+1)/2)/COUNT(Risk_Rank_Keys!$B$2:$B$800))</f>
        <v/>
      </c>
      <c r="N652">
        <f>IF(OR(B652="NW",COUNT(Risk_Rank_Keys!C652)=0),0.5,(SUMPRODUCT(--ISNUMBER(Risk_Rank_Keys!$C$2:$C$800),--(Risk_Rank_Keys!$C$2:$C$800&lt;Risk_Rank_Keys!C652))+(SUMPRODUCT(--ISNUMBER(Risk_Rank_Keys!$C$2:$C$800),--(Risk_Rank_Keys!$C$2:$C$800=Risk_Rank_Keys!C652))+1)/2)/COUNT(Risk_Rank_Keys!$C$2:$C$800))</f>
        <v/>
      </c>
      <c r="O652">
        <f>IF(OR(B652="NW",COUNT(Risk_Rank_Keys!D652)=0),0.5,(SUMPRODUCT(--ISNUMBER(Risk_Rank_Keys!$D$2:$D$800),--(Risk_Rank_Keys!$D$2:$D$800&lt;Risk_Rank_Keys!D652))+(SUMPRODUCT(--ISNUMBER(Risk_Rank_Keys!$D$2:$D$800),--(Risk_Rank_Keys!$D$2:$D$800=Risk_Rank_Keys!D652))+1)/2)/COUNT(Risk_Rank_Keys!$D$2:$D$800))</f>
        <v/>
      </c>
      <c r="P652">
        <f>AVERAGE(M652:O652)</f>
        <v/>
      </c>
      <c r="Q652">
        <f>0.4*H652+0.4*I652+0.2*P652</f>
        <v/>
      </c>
      <c r="R652">
        <f>PERCENTILE($Q$2:$Q$800,0.75)</f>
        <v/>
      </c>
      <c r="S652">
        <f>OR(Q652&gt;=R652,AND(B652="CW",COUNT(J652:L652)&lt;3))</f>
        <v/>
      </c>
      <c r="T652" t="n">
        <v>0.2182786866721568</v>
      </c>
      <c r="U652" t="n">
        <v>5.540243076042882</v>
      </c>
      <c r="V652" t="n">
        <v>0.240557903329883</v>
      </c>
      <c r="W652">
        <f>Q652-V652</f>
        <v/>
      </c>
    </row>
    <row r="653">
      <c r="A653" t="inlineStr">
        <is>
          <t>2025-04-02</t>
        </is>
      </c>
      <c r="B653" t="inlineStr">
        <is>
          <t>NW</t>
        </is>
      </c>
      <c r="C653" t="n">
        <v>1.499837576434855</v>
      </c>
      <c r="D653">
        <f>SUMPRODUCT(Risk_Inputs!B653:AJ653,Risk_Coefs!$B$2:$AJ$2)</f>
        <v/>
      </c>
      <c r="E653">
        <f>1/(1+EXP(-MAX(-25,MIN(25,D653))))</f>
        <v/>
      </c>
      <c r="F653">
        <f>SUMPRODUCT(Risk_Inputs!B653:AJ653,Risk_Coefs!$B$3:$AJ$3)</f>
        <v/>
      </c>
      <c r="G653">
        <f>MAX(0,F653)</f>
        <v/>
      </c>
      <c r="H653">
        <f>(SUMPRODUCT(--ISNUMBER($E$2:$E$800),--($E$2:$E$800&lt;E653))+(SUMPRODUCT(--ISNUMBER($E$2:$E$800),--($E$2:$E$800=E653))+1)/2)/COUNT($E$2:$E$800)</f>
        <v/>
      </c>
      <c r="I653">
        <f>(SUMPRODUCT(--ISNUMBER($G$2:$G$800),--($G$2:$G$800&lt;G653))+(SUMPRODUCT(--ISNUMBER($G$2:$G$800),--($G$2:$G$800=G653))+1)/2)/COUNT($G$2:$G$800)</f>
        <v/>
      </c>
      <c r="M653">
        <f>IF(OR(B653="NW",COUNT(Risk_Rank_Keys!B653)=0),0.5,(SUMPRODUCT(--ISNUMBER(Risk_Rank_Keys!$B$2:$B$800),--(Risk_Rank_Keys!$B$2:$B$800&lt;Risk_Rank_Keys!B653))+(SUMPRODUCT(--ISNUMBER(Risk_Rank_Keys!$B$2:$B$800),--(Risk_Rank_Keys!$B$2:$B$800=Risk_Rank_Keys!B653))+1)/2)/COUNT(Risk_Rank_Keys!$B$2:$B$800))</f>
        <v/>
      </c>
      <c r="N653">
        <f>IF(OR(B653="NW",COUNT(Risk_Rank_Keys!C653)=0),0.5,(SUMPRODUCT(--ISNUMBER(Risk_Rank_Keys!$C$2:$C$800),--(Risk_Rank_Keys!$C$2:$C$800&lt;Risk_Rank_Keys!C653))+(SUMPRODUCT(--ISNUMBER(Risk_Rank_Keys!$C$2:$C$800),--(Risk_Rank_Keys!$C$2:$C$800=Risk_Rank_Keys!C653))+1)/2)/COUNT(Risk_Rank_Keys!$C$2:$C$800))</f>
        <v/>
      </c>
      <c r="O653">
        <f>IF(OR(B653="NW",COUNT(Risk_Rank_Keys!D653)=0),0.5,(SUMPRODUCT(--ISNUMBER(Risk_Rank_Keys!$D$2:$D$800),--(Risk_Rank_Keys!$D$2:$D$800&lt;Risk_Rank_Keys!D653))+(SUMPRODUCT(--ISNUMBER(Risk_Rank_Keys!$D$2:$D$800),--(Risk_Rank_Keys!$D$2:$D$800=Risk_Rank_Keys!D653))+1)/2)/COUNT(Risk_Rank_Keys!$D$2:$D$800))</f>
        <v/>
      </c>
      <c r="P653">
        <f>AVERAGE(M653:O653)</f>
        <v/>
      </c>
      <c r="Q653">
        <f>0.4*H653+0.4*I653+0.2*P653</f>
        <v/>
      </c>
      <c r="R653">
        <f>PERCENTILE($Q$2:$Q$800,0.75)</f>
        <v/>
      </c>
      <c r="S653">
        <f>OR(Q653&gt;=R653,AND(B653="CW",COUNT(J653:L653)&lt;3))</f>
        <v/>
      </c>
      <c r="T653" t="n">
        <v>0.3295131354913199</v>
      </c>
      <c r="U653" t="n">
        <v>9.585414990289951</v>
      </c>
      <c r="V653" t="n">
        <v>0.6872340425531914</v>
      </c>
      <c r="W653">
        <f>Q653-V653</f>
        <v/>
      </c>
    </row>
    <row r="654">
      <c r="A654" t="inlineStr">
        <is>
          <t>2025-04-03</t>
        </is>
      </c>
      <c r="B654" t="inlineStr">
        <is>
          <t>CW</t>
        </is>
      </c>
      <c r="C654" t="n">
        <v>21.78836097285931</v>
      </c>
      <c r="D654">
        <f>SUMPRODUCT(Risk_Inputs!B654:AJ654,Risk_Coefs!$B$2:$AJ$2)</f>
        <v/>
      </c>
      <c r="E654">
        <f>1/(1+EXP(-MAX(-25,MIN(25,D654))))</f>
        <v/>
      </c>
      <c r="F654">
        <f>SUMPRODUCT(Risk_Inputs!B654:AJ654,Risk_Coefs!$B$3:$AJ$3)</f>
        <v/>
      </c>
      <c r="G654">
        <f>MAX(0,F654)</f>
        <v/>
      </c>
      <c r="H654">
        <f>(SUMPRODUCT(--ISNUMBER($E$2:$E$800),--($E$2:$E$800&lt;E654))+(SUMPRODUCT(--ISNUMBER($E$2:$E$800),--($E$2:$E$800=E654))+1)/2)/COUNT($E$2:$E$800)</f>
        <v/>
      </c>
      <c r="I654">
        <f>(SUMPRODUCT(--ISNUMBER($G$2:$G$800),--($G$2:$G$800&lt;G654))+(SUMPRODUCT(--ISNUMBER($G$2:$G$800),--($G$2:$G$800=G654))+1)/2)/COUNT($G$2:$G$800)</f>
        <v/>
      </c>
      <c r="J654" t="n">
        <v>13.37781095858646</v>
      </c>
      <c r="K654" t="n">
        <v>19.01070505721669</v>
      </c>
      <c r="L654" t="n">
        <v>0.2583979328165385</v>
      </c>
      <c r="M654">
        <f>IF(OR(B654="NW",COUNT(Risk_Rank_Keys!B654)=0),0.5,(SUMPRODUCT(--ISNUMBER(Risk_Rank_Keys!$B$2:$B$800),--(Risk_Rank_Keys!$B$2:$B$800&lt;Risk_Rank_Keys!B654))+(SUMPRODUCT(--ISNUMBER(Risk_Rank_Keys!$B$2:$B$800),--(Risk_Rank_Keys!$B$2:$B$800=Risk_Rank_Keys!B654))+1)/2)/COUNT(Risk_Rank_Keys!$B$2:$B$800))</f>
        <v/>
      </c>
      <c r="N654">
        <f>IF(OR(B654="NW",COUNT(Risk_Rank_Keys!C654)=0),0.5,(SUMPRODUCT(--ISNUMBER(Risk_Rank_Keys!$C$2:$C$800),--(Risk_Rank_Keys!$C$2:$C$800&lt;Risk_Rank_Keys!C654))+(SUMPRODUCT(--ISNUMBER(Risk_Rank_Keys!$C$2:$C$800),--(Risk_Rank_Keys!$C$2:$C$800=Risk_Rank_Keys!C654))+1)/2)/COUNT(Risk_Rank_Keys!$C$2:$C$800))</f>
        <v/>
      </c>
      <c r="O654">
        <f>IF(OR(B654="NW",COUNT(Risk_Rank_Keys!D654)=0),0.5,(SUMPRODUCT(--ISNUMBER(Risk_Rank_Keys!$D$2:$D$800),--(Risk_Rank_Keys!$D$2:$D$800&lt;Risk_Rank_Keys!D654))+(SUMPRODUCT(--ISNUMBER(Risk_Rank_Keys!$D$2:$D$800),--(Risk_Rank_Keys!$D$2:$D$800=Risk_Rank_Keys!D654))+1)/2)/COUNT(Risk_Rank_Keys!$D$2:$D$800))</f>
        <v/>
      </c>
      <c r="P654">
        <f>AVERAGE(M654:O654)</f>
        <v/>
      </c>
      <c r="Q654">
        <f>0.4*H654+0.4*I654+0.2*P654</f>
        <v/>
      </c>
      <c r="R654">
        <f>PERCENTILE($Q$2:$Q$800,0.75)</f>
        <v/>
      </c>
      <c r="S654">
        <f>OR(Q654&gt;=R654,AND(B654="CW",COUNT(J654:L654)&lt;3))</f>
        <v/>
      </c>
      <c r="T654" t="n">
        <v>0.2308937663127962</v>
      </c>
      <c r="U654" t="n">
        <v>5.413303487406838</v>
      </c>
      <c r="V654" t="n">
        <v>0.2950437232966127</v>
      </c>
      <c r="W654">
        <f>Q654-V654</f>
        <v/>
      </c>
    </row>
    <row r="655">
      <c r="A655" t="inlineStr">
        <is>
          <t>2025-04-04</t>
        </is>
      </c>
      <c r="B655" t="inlineStr">
        <is>
          <t>CW</t>
        </is>
      </c>
      <c r="C655" t="n">
        <v>26.91655492578092</v>
      </c>
      <c r="D655">
        <f>SUMPRODUCT(Risk_Inputs!B655:AJ655,Risk_Coefs!$B$2:$AJ$2)</f>
        <v/>
      </c>
      <c r="E655">
        <f>1/(1+EXP(-MAX(-25,MIN(25,D655))))</f>
        <v/>
      </c>
      <c r="F655">
        <f>SUMPRODUCT(Risk_Inputs!B655:AJ655,Risk_Coefs!$B$3:$AJ$3)</f>
        <v/>
      </c>
      <c r="G655">
        <f>MAX(0,F655)</f>
        <v/>
      </c>
      <c r="H655">
        <f>(SUMPRODUCT(--ISNUMBER($E$2:$E$800),--($E$2:$E$800&lt;E655))+(SUMPRODUCT(--ISNUMBER($E$2:$E$800),--($E$2:$E$800=E655))+1)/2)/COUNT($E$2:$E$800)</f>
        <v/>
      </c>
      <c r="I655">
        <f>(SUMPRODUCT(--ISNUMBER($G$2:$G$800),--($G$2:$G$800&lt;G655))+(SUMPRODUCT(--ISNUMBER($G$2:$G$800),--($G$2:$G$800=G655))+1)/2)/COUNT($G$2:$G$800)</f>
        <v/>
      </c>
      <c r="J655" t="n">
        <v>9.394468086948931</v>
      </c>
      <c r="K655" t="n">
        <v>2.912172573189519</v>
      </c>
      <c r="L655" t="n">
        <v>0.2157164869029241</v>
      </c>
      <c r="M655">
        <f>IF(OR(B655="NW",COUNT(Risk_Rank_Keys!B655)=0),0.5,(SUMPRODUCT(--ISNUMBER(Risk_Rank_Keys!$B$2:$B$800),--(Risk_Rank_Keys!$B$2:$B$800&lt;Risk_Rank_Keys!B655))+(SUMPRODUCT(--ISNUMBER(Risk_Rank_Keys!$B$2:$B$800),--(Risk_Rank_Keys!$B$2:$B$800=Risk_Rank_Keys!B655))+1)/2)/COUNT(Risk_Rank_Keys!$B$2:$B$800))</f>
        <v/>
      </c>
      <c r="N655">
        <f>IF(OR(B655="NW",COUNT(Risk_Rank_Keys!C655)=0),0.5,(SUMPRODUCT(--ISNUMBER(Risk_Rank_Keys!$C$2:$C$800),--(Risk_Rank_Keys!$C$2:$C$800&lt;Risk_Rank_Keys!C655))+(SUMPRODUCT(--ISNUMBER(Risk_Rank_Keys!$C$2:$C$800),--(Risk_Rank_Keys!$C$2:$C$800=Risk_Rank_Keys!C655))+1)/2)/COUNT(Risk_Rank_Keys!$C$2:$C$800))</f>
        <v/>
      </c>
      <c r="O655">
        <f>IF(OR(B655="NW",COUNT(Risk_Rank_Keys!D655)=0),0.5,(SUMPRODUCT(--ISNUMBER(Risk_Rank_Keys!$D$2:$D$800),--(Risk_Rank_Keys!$D$2:$D$800&lt;Risk_Rank_Keys!D655))+(SUMPRODUCT(--ISNUMBER(Risk_Rank_Keys!$D$2:$D$800),--(Risk_Rank_Keys!$D$2:$D$800=Risk_Rank_Keys!D655))+1)/2)/COUNT(Risk_Rank_Keys!$D$2:$D$800))</f>
        <v/>
      </c>
      <c r="P655">
        <f>AVERAGE(M655:O655)</f>
        <v/>
      </c>
      <c r="Q655">
        <f>0.4*H655+0.4*I655+0.2*P655</f>
        <v/>
      </c>
      <c r="R655">
        <f>PERCENTILE($Q$2:$Q$800,0.75)</f>
        <v/>
      </c>
      <c r="S655">
        <f>OR(Q655&gt;=R655,AND(B655="CW",COUNT(J655:L655)&lt;3))</f>
        <v/>
      </c>
      <c r="T655" t="n">
        <v>0.2179586984762491</v>
      </c>
      <c r="U655" t="n">
        <v>4.781341236111437</v>
      </c>
      <c r="V655" t="n">
        <v>0.1901655311817596</v>
      </c>
      <c r="W655">
        <f>Q655-V655</f>
        <v/>
      </c>
    </row>
    <row r="656">
      <c r="A656" t="inlineStr">
        <is>
          <t>2025-04-07</t>
        </is>
      </c>
      <c r="B656" t="inlineStr">
        <is>
          <t>CW</t>
        </is>
      </c>
      <c r="C656" t="n">
        <v>-2.115206967593431</v>
      </c>
      <c r="D656">
        <f>SUMPRODUCT(Risk_Inputs!B656:AJ656,Risk_Coefs!$B$2:$AJ$2)</f>
        <v/>
      </c>
      <c r="E656">
        <f>1/(1+EXP(-MAX(-25,MIN(25,D656))))</f>
        <v/>
      </c>
      <c r="F656">
        <f>SUMPRODUCT(Risk_Inputs!B656:AJ656,Risk_Coefs!$B$3:$AJ$3)</f>
        <v/>
      </c>
      <c r="G656">
        <f>MAX(0,F656)</f>
        <v/>
      </c>
      <c r="H656">
        <f>(SUMPRODUCT(--ISNUMBER($E$2:$E$800),--($E$2:$E$800&lt;E656))+(SUMPRODUCT(--ISNUMBER($E$2:$E$800),--($E$2:$E$800=E656))+1)/2)/COUNT($E$2:$E$800)</f>
        <v/>
      </c>
      <c r="I656">
        <f>(SUMPRODUCT(--ISNUMBER($G$2:$G$800),--($G$2:$G$800&lt;G656))+(SUMPRODUCT(--ISNUMBER($G$2:$G$800),--($G$2:$G$800=G656))+1)/2)/COUNT($G$2:$G$800)</f>
        <v/>
      </c>
      <c r="M656">
        <f>IF(OR(B656="NW",COUNT(Risk_Rank_Keys!B656)=0),0.5,(SUMPRODUCT(--ISNUMBER(Risk_Rank_Keys!$B$2:$B$800),--(Risk_Rank_Keys!$B$2:$B$800&lt;Risk_Rank_Keys!B656))+(SUMPRODUCT(--ISNUMBER(Risk_Rank_Keys!$B$2:$B$800),--(Risk_Rank_Keys!$B$2:$B$800=Risk_Rank_Keys!B656))+1)/2)/COUNT(Risk_Rank_Keys!$B$2:$B$800))</f>
        <v/>
      </c>
      <c r="N656">
        <f>IF(OR(B656="NW",COUNT(Risk_Rank_Keys!C656)=0),0.5,(SUMPRODUCT(--ISNUMBER(Risk_Rank_Keys!$C$2:$C$800),--(Risk_Rank_Keys!$C$2:$C$800&lt;Risk_Rank_Keys!C656))+(SUMPRODUCT(--ISNUMBER(Risk_Rank_Keys!$C$2:$C$800),--(Risk_Rank_Keys!$C$2:$C$800=Risk_Rank_Keys!C656))+1)/2)/COUNT(Risk_Rank_Keys!$C$2:$C$800))</f>
        <v/>
      </c>
      <c r="O656">
        <f>IF(OR(B656="NW",COUNT(Risk_Rank_Keys!D656)=0),0.5,(SUMPRODUCT(--ISNUMBER(Risk_Rank_Keys!$D$2:$D$800),--(Risk_Rank_Keys!$D$2:$D$800&lt;Risk_Rank_Keys!D656))+(SUMPRODUCT(--ISNUMBER(Risk_Rank_Keys!$D$2:$D$800),--(Risk_Rank_Keys!$D$2:$D$800=Risk_Rank_Keys!D656))+1)/2)/COUNT(Risk_Rank_Keys!$D$2:$D$800))</f>
        <v/>
      </c>
      <c r="P656">
        <f>AVERAGE(M656:O656)</f>
        <v/>
      </c>
      <c r="Q656">
        <f>0.4*H656+0.4*I656+0.2*P656</f>
        <v/>
      </c>
      <c r="R656">
        <f>PERCENTILE($Q$2:$Q$800,0.75)</f>
        <v/>
      </c>
      <c r="S656">
        <f>OR(Q656&gt;=R656,AND(B656="CW",COUNT(J656:L656)&lt;3))</f>
        <v/>
      </c>
      <c r="T656" t="n">
        <v>0.5043756345126411</v>
      </c>
      <c r="U656" t="n">
        <v>10.48283172843563</v>
      </c>
      <c r="V656" t="n">
        <v>0.8344180225281602</v>
      </c>
      <c r="W656">
        <f>Q656-V656</f>
        <v/>
      </c>
    </row>
    <row r="657">
      <c r="A657" t="inlineStr">
        <is>
          <t>2025-04-08</t>
        </is>
      </c>
      <c r="B657" t="inlineStr">
        <is>
          <t>NW</t>
        </is>
      </c>
      <c r="C657" t="n">
        <v>-39.20149046457416</v>
      </c>
      <c r="D657">
        <f>SUMPRODUCT(Risk_Inputs!B657:AJ657,Risk_Coefs!$B$2:$AJ$2)</f>
        <v/>
      </c>
      <c r="E657">
        <f>1/(1+EXP(-MAX(-25,MIN(25,D657))))</f>
        <v/>
      </c>
      <c r="F657">
        <f>SUMPRODUCT(Risk_Inputs!B657:AJ657,Risk_Coefs!$B$3:$AJ$3)</f>
        <v/>
      </c>
      <c r="G657">
        <f>MAX(0,F657)</f>
        <v/>
      </c>
      <c r="H657">
        <f>(SUMPRODUCT(--ISNUMBER($E$2:$E$800),--($E$2:$E$800&lt;E657))+(SUMPRODUCT(--ISNUMBER($E$2:$E$800),--($E$2:$E$800=E657))+1)/2)/COUNT($E$2:$E$800)</f>
        <v/>
      </c>
      <c r="I657">
        <f>(SUMPRODUCT(--ISNUMBER($G$2:$G$800),--($G$2:$G$800&lt;G657))+(SUMPRODUCT(--ISNUMBER($G$2:$G$800),--($G$2:$G$800=G657))+1)/2)/COUNT($G$2:$G$800)</f>
        <v/>
      </c>
      <c r="M657">
        <f>IF(OR(B657="NW",COUNT(Risk_Rank_Keys!B657)=0),0.5,(SUMPRODUCT(--ISNUMBER(Risk_Rank_Keys!$B$2:$B$800),--(Risk_Rank_Keys!$B$2:$B$800&lt;Risk_Rank_Keys!B657))+(SUMPRODUCT(--ISNUMBER(Risk_Rank_Keys!$B$2:$B$800),--(Risk_Rank_Keys!$B$2:$B$800=Risk_Rank_Keys!B657))+1)/2)/COUNT(Risk_Rank_Keys!$B$2:$B$800))</f>
        <v/>
      </c>
      <c r="N657">
        <f>IF(OR(B657="NW",COUNT(Risk_Rank_Keys!C657)=0),0.5,(SUMPRODUCT(--ISNUMBER(Risk_Rank_Keys!$C$2:$C$800),--(Risk_Rank_Keys!$C$2:$C$800&lt;Risk_Rank_Keys!C657))+(SUMPRODUCT(--ISNUMBER(Risk_Rank_Keys!$C$2:$C$800),--(Risk_Rank_Keys!$C$2:$C$800=Risk_Rank_Keys!C657))+1)/2)/COUNT(Risk_Rank_Keys!$C$2:$C$800))</f>
        <v/>
      </c>
      <c r="O657">
        <f>IF(OR(B657="NW",COUNT(Risk_Rank_Keys!D657)=0),0.5,(SUMPRODUCT(--ISNUMBER(Risk_Rank_Keys!$D$2:$D$800),--(Risk_Rank_Keys!$D$2:$D$800&lt;Risk_Rank_Keys!D657))+(SUMPRODUCT(--ISNUMBER(Risk_Rank_Keys!$D$2:$D$800),--(Risk_Rank_Keys!$D$2:$D$800=Risk_Rank_Keys!D657))+1)/2)/COUNT(Risk_Rank_Keys!$D$2:$D$800))</f>
        <v/>
      </c>
      <c r="P657">
        <f>AVERAGE(M657:O657)</f>
        <v/>
      </c>
      <c r="Q657">
        <f>0.4*H657+0.4*I657+0.2*P657</f>
        <v/>
      </c>
      <c r="R657">
        <f>PERCENTILE($Q$2:$Q$800,0.75)</f>
        <v/>
      </c>
      <c r="S657">
        <f>OR(Q657&gt;=R657,AND(B657="CW",COUNT(J657:L657)&lt;3))</f>
        <v/>
      </c>
      <c r="T657" t="n">
        <v>0.4242797412788296</v>
      </c>
      <c r="U657" t="n">
        <v>14.82335446885213</v>
      </c>
      <c r="V657" t="n">
        <v>0.8799749687108886</v>
      </c>
      <c r="W657">
        <f>Q657-V657</f>
        <v/>
      </c>
    </row>
    <row r="658">
      <c r="A658" t="inlineStr">
        <is>
          <t>2025-04-09</t>
        </is>
      </c>
      <c r="B658" t="inlineStr">
        <is>
          <t>CW</t>
        </is>
      </c>
      <c r="C658" t="n">
        <v>118.5265876230167</v>
      </c>
      <c r="D658">
        <f>SUMPRODUCT(Risk_Inputs!B658:AJ658,Risk_Coefs!$B$2:$AJ$2)</f>
        <v/>
      </c>
      <c r="E658">
        <f>1/(1+EXP(-MAX(-25,MIN(25,D658))))</f>
        <v/>
      </c>
      <c r="F658">
        <f>SUMPRODUCT(Risk_Inputs!B658:AJ658,Risk_Coefs!$B$3:$AJ$3)</f>
        <v/>
      </c>
      <c r="G658">
        <f>MAX(0,F658)</f>
        <v/>
      </c>
      <c r="H658">
        <f>(SUMPRODUCT(--ISNUMBER($E$2:$E$800),--($E$2:$E$800&lt;E658))+(SUMPRODUCT(--ISNUMBER($E$2:$E$800),--($E$2:$E$800=E658))+1)/2)/COUNT($E$2:$E$800)</f>
        <v/>
      </c>
      <c r="I658">
        <f>(SUMPRODUCT(--ISNUMBER($G$2:$G$800),--($G$2:$G$800&lt;G658))+(SUMPRODUCT(--ISNUMBER($G$2:$G$800),--($G$2:$G$800=G658))+1)/2)/COUNT($G$2:$G$800)</f>
        <v/>
      </c>
      <c r="J658" t="n">
        <v>51.66839341216852</v>
      </c>
      <c r="K658" t="n">
        <v>16.52289316522894</v>
      </c>
      <c r="L658" t="n">
        <v>0.33178500331785</v>
      </c>
      <c r="M658">
        <f>IF(OR(B658="NW",COUNT(Risk_Rank_Keys!B658)=0),0.5,(SUMPRODUCT(--ISNUMBER(Risk_Rank_Keys!$B$2:$B$800),--(Risk_Rank_Keys!$B$2:$B$800&lt;Risk_Rank_Keys!B658))+(SUMPRODUCT(--ISNUMBER(Risk_Rank_Keys!$B$2:$B$800),--(Risk_Rank_Keys!$B$2:$B$800=Risk_Rank_Keys!B658))+1)/2)/COUNT(Risk_Rank_Keys!$B$2:$B$800))</f>
        <v/>
      </c>
      <c r="N658">
        <f>IF(OR(B658="NW",COUNT(Risk_Rank_Keys!C658)=0),0.5,(SUMPRODUCT(--ISNUMBER(Risk_Rank_Keys!$C$2:$C$800),--(Risk_Rank_Keys!$C$2:$C$800&lt;Risk_Rank_Keys!C658))+(SUMPRODUCT(--ISNUMBER(Risk_Rank_Keys!$C$2:$C$800),--(Risk_Rank_Keys!$C$2:$C$800=Risk_Rank_Keys!C658))+1)/2)/COUNT(Risk_Rank_Keys!$C$2:$C$800))</f>
        <v/>
      </c>
      <c r="O658">
        <f>IF(OR(B658="NW",COUNT(Risk_Rank_Keys!D658)=0),0.5,(SUMPRODUCT(--ISNUMBER(Risk_Rank_Keys!$D$2:$D$800),--(Risk_Rank_Keys!$D$2:$D$800&lt;Risk_Rank_Keys!D658))+(SUMPRODUCT(--ISNUMBER(Risk_Rank_Keys!$D$2:$D$800),--(Risk_Rank_Keys!$D$2:$D$800=Risk_Rank_Keys!D658))+1)/2)/COUNT(Risk_Rank_Keys!$D$2:$D$800))</f>
        <v/>
      </c>
      <c r="P658">
        <f>AVERAGE(M658:O658)</f>
        <v/>
      </c>
      <c r="Q658">
        <f>0.4*H658+0.4*I658+0.2*P658</f>
        <v/>
      </c>
      <c r="R658">
        <f>PERCENTILE($Q$2:$Q$800,0.75)</f>
        <v/>
      </c>
      <c r="S658">
        <f>OR(Q658&gt;=R658,AND(B658="CW",COUNT(J658:L658)&lt;3))</f>
        <v/>
      </c>
      <c r="T658" t="n">
        <v>0.2129372746613116</v>
      </c>
      <c r="U658" t="n">
        <v>7.969653337591451</v>
      </c>
      <c r="V658" t="n">
        <v>0.4486451858407389</v>
      </c>
      <c r="W658">
        <f>Q658-V658</f>
        <v/>
      </c>
    </row>
    <row r="659">
      <c r="A659" t="inlineStr">
        <is>
          <t>2025-04-16</t>
        </is>
      </c>
      <c r="B659" t="inlineStr">
        <is>
          <t>NW</t>
        </is>
      </c>
      <c r="C659" t="n">
        <v>-38.34955035714795</v>
      </c>
      <c r="D659">
        <f>SUMPRODUCT(Risk_Inputs!B659:AJ659,Risk_Coefs!$B$2:$AJ$2)</f>
        <v/>
      </c>
      <c r="E659">
        <f>1/(1+EXP(-MAX(-25,MIN(25,D659))))</f>
        <v/>
      </c>
      <c r="F659">
        <f>SUMPRODUCT(Risk_Inputs!B659:AJ659,Risk_Coefs!$B$3:$AJ$3)</f>
        <v/>
      </c>
      <c r="G659">
        <f>MAX(0,F659)</f>
        <v/>
      </c>
      <c r="H659">
        <f>(SUMPRODUCT(--ISNUMBER($E$2:$E$800),--($E$2:$E$800&lt;E659))+(SUMPRODUCT(--ISNUMBER($E$2:$E$800),--($E$2:$E$800=E659))+1)/2)/COUNT($E$2:$E$800)</f>
        <v/>
      </c>
      <c r="I659">
        <f>(SUMPRODUCT(--ISNUMBER($G$2:$G$800),--($G$2:$G$800&lt;G659))+(SUMPRODUCT(--ISNUMBER($G$2:$G$800),--($G$2:$G$800=G659))+1)/2)/COUNT($G$2:$G$800)</f>
        <v/>
      </c>
      <c r="M659">
        <f>IF(OR(B659="NW",COUNT(Risk_Rank_Keys!B659)=0),0.5,(SUMPRODUCT(--ISNUMBER(Risk_Rank_Keys!$B$2:$B$800),--(Risk_Rank_Keys!$B$2:$B$800&lt;Risk_Rank_Keys!B659))+(SUMPRODUCT(--ISNUMBER(Risk_Rank_Keys!$B$2:$B$800),--(Risk_Rank_Keys!$B$2:$B$800=Risk_Rank_Keys!B659))+1)/2)/COUNT(Risk_Rank_Keys!$B$2:$B$800))</f>
        <v/>
      </c>
      <c r="N659">
        <f>IF(OR(B659="NW",COUNT(Risk_Rank_Keys!C659)=0),0.5,(SUMPRODUCT(--ISNUMBER(Risk_Rank_Keys!$C$2:$C$800),--(Risk_Rank_Keys!$C$2:$C$800&lt;Risk_Rank_Keys!C659))+(SUMPRODUCT(--ISNUMBER(Risk_Rank_Keys!$C$2:$C$800),--(Risk_Rank_Keys!$C$2:$C$800=Risk_Rank_Keys!C659))+1)/2)/COUNT(Risk_Rank_Keys!$C$2:$C$800))</f>
        <v/>
      </c>
      <c r="O659">
        <f>IF(OR(B659="NW",COUNT(Risk_Rank_Keys!D659)=0),0.5,(SUMPRODUCT(--ISNUMBER(Risk_Rank_Keys!$D$2:$D$800),--(Risk_Rank_Keys!$D$2:$D$800&lt;Risk_Rank_Keys!D659))+(SUMPRODUCT(--ISNUMBER(Risk_Rank_Keys!$D$2:$D$800),--(Risk_Rank_Keys!$D$2:$D$800=Risk_Rank_Keys!D659))+1)/2)/COUNT(Risk_Rank_Keys!$D$2:$D$800))</f>
        <v/>
      </c>
      <c r="P659">
        <f>AVERAGE(M659:O659)</f>
        <v/>
      </c>
      <c r="Q659">
        <f>0.4*H659+0.4*I659+0.2*P659</f>
        <v/>
      </c>
      <c r="R659">
        <f>PERCENTILE($Q$2:$Q$800,0.75)</f>
        <v/>
      </c>
      <c r="S659">
        <f>OR(Q659&gt;=R659,AND(B659="CW",COUNT(J659:L659)&lt;3))</f>
        <v/>
      </c>
      <c r="T659" t="n">
        <v>0.3892828181528848</v>
      </c>
      <c r="U659" t="n">
        <v>11.25072059241224</v>
      </c>
      <c r="V659" t="n">
        <v>0.8274092615769711</v>
      </c>
      <c r="W659">
        <f>Q659-V659</f>
        <v/>
      </c>
    </row>
    <row r="660">
      <c r="A660" t="inlineStr">
        <is>
          <t>2025-04-17</t>
        </is>
      </c>
      <c r="B660" t="inlineStr">
        <is>
          <t>NW</t>
        </is>
      </c>
      <c r="C660" t="n">
        <v>-43.66781679173372</v>
      </c>
      <c r="D660">
        <f>SUMPRODUCT(Risk_Inputs!B660:AJ660,Risk_Coefs!$B$2:$AJ$2)</f>
        <v/>
      </c>
      <c r="E660">
        <f>1/(1+EXP(-MAX(-25,MIN(25,D660))))</f>
        <v/>
      </c>
      <c r="F660">
        <f>SUMPRODUCT(Risk_Inputs!B660:AJ660,Risk_Coefs!$B$3:$AJ$3)</f>
        <v/>
      </c>
      <c r="G660">
        <f>MAX(0,F660)</f>
        <v/>
      </c>
      <c r="H660">
        <f>(SUMPRODUCT(--ISNUMBER($E$2:$E$800),--($E$2:$E$800&lt;E660))+(SUMPRODUCT(--ISNUMBER($E$2:$E$800),--($E$2:$E$800=E660))+1)/2)/COUNT($E$2:$E$800)</f>
        <v/>
      </c>
      <c r="I660">
        <f>(SUMPRODUCT(--ISNUMBER($G$2:$G$800),--($G$2:$G$800&lt;G660))+(SUMPRODUCT(--ISNUMBER($G$2:$G$800),--($G$2:$G$800=G660))+1)/2)/COUNT($G$2:$G$800)</f>
        <v/>
      </c>
      <c r="M660">
        <f>IF(OR(B660="NW",COUNT(Risk_Rank_Keys!B660)=0),0.5,(SUMPRODUCT(--ISNUMBER(Risk_Rank_Keys!$B$2:$B$800),--(Risk_Rank_Keys!$B$2:$B$800&lt;Risk_Rank_Keys!B660))+(SUMPRODUCT(--ISNUMBER(Risk_Rank_Keys!$B$2:$B$800),--(Risk_Rank_Keys!$B$2:$B$800=Risk_Rank_Keys!B660))+1)/2)/COUNT(Risk_Rank_Keys!$B$2:$B$800))</f>
        <v/>
      </c>
      <c r="N660">
        <f>IF(OR(B660="NW",COUNT(Risk_Rank_Keys!C660)=0),0.5,(SUMPRODUCT(--ISNUMBER(Risk_Rank_Keys!$C$2:$C$800),--(Risk_Rank_Keys!$C$2:$C$800&lt;Risk_Rank_Keys!C660))+(SUMPRODUCT(--ISNUMBER(Risk_Rank_Keys!$C$2:$C$800),--(Risk_Rank_Keys!$C$2:$C$800=Risk_Rank_Keys!C660))+1)/2)/COUNT(Risk_Rank_Keys!$C$2:$C$800))</f>
        <v/>
      </c>
      <c r="O660">
        <f>IF(OR(B660="NW",COUNT(Risk_Rank_Keys!D660)=0),0.5,(SUMPRODUCT(--ISNUMBER(Risk_Rank_Keys!$D$2:$D$800),--(Risk_Rank_Keys!$D$2:$D$800&lt;Risk_Rank_Keys!D660))+(SUMPRODUCT(--ISNUMBER(Risk_Rank_Keys!$D$2:$D$800),--(Risk_Rank_Keys!$D$2:$D$800=Risk_Rank_Keys!D660))+1)/2)/COUNT(Risk_Rank_Keys!$D$2:$D$800))</f>
        <v/>
      </c>
      <c r="P660">
        <f>AVERAGE(M660:O660)</f>
        <v/>
      </c>
      <c r="Q660">
        <f>0.4*H660+0.4*I660+0.2*P660</f>
        <v/>
      </c>
      <c r="R660">
        <f>PERCENTILE($Q$2:$Q$800,0.75)</f>
        <v/>
      </c>
      <c r="S660">
        <f>OR(Q660&gt;=R660,AND(B660="CW",COUNT(J660:L660)&lt;3))</f>
        <v/>
      </c>
      <c r="T660" t="n">
        <v>0.342216526839848</v>
      </c>
      <c r="U660" t="n">
        <v>10.18144028880463</v>
      </c>
      <c r="V660" t="n">
        <v>0.7403003754693367</v>
      </c>
      <c r="W660">
        <f>Q660-V660</f>
        <v/>
      </c>
    </row>
    <row r="661">
      <c r="A661" t="inlineStr">
        <is>
          <t>2025-04-21</t>
        </is>
      </c>
      <c r="B661" t="inlineStr">
        <is>
          <t>CW</t>
        </is>
      </c>
      <c r="C661" t="n">
        <v>45.12349594882045</v>
      </c>
      <c r="D661">
        <f>SUMPRODUCT(Risk_Inputs!B661:AJ661,Risk_Coefs!$B$2:$AJ$2)</f>
        <v/>
      </c>
      <c r="E661">
        <f>1/(1+EXP(-MAX(-25,MIN(25,D661))))</f>
        <v/>
      </c>
      <c r="F661">
        <f>SUMPRODUCT(Risk_Inputs!B661:AJ661,Risk_Coefs!$B$3:$AJ$3)</f>
        <v/>
      </c>
      <c r="G661">
        <f>MAX(0,F661)</f>
        <v/>
      </c>
      <c r="H661">
        <f>(SUMPRODUCT(--ISNUMBER($E$2:$E$800),--($E$2:$E$800&lt;E661))+(SUMPRODUCT(--ISNUMBER($E$2:$E$800),--($E$2:$E$800=E661))+1)/2)/COUNT($E$2:$E$800)</f>
        <v/>
      </c>
      <c r="I661">
        <f>(SUMPRODUCT(--ISNUMBER($G$2:$G$800),--($G$2:$G$800&lt;G661))+(SUMPRODUCT(--ISNUMBER($G$2:$G$800),--($G$2:$G$800=G661))+1)/2)/COUNT($G$2:$G$800)</f>
        <v/>
      </c>
      <c r="J661" t="n">
        <v>9.307644790224431</v>
      </c>
      <c r="K661" t="n">
        <v>2.800361336946706</v>
      </c>
      <c r="L661" t="n">
        <v>0.19572417946401</v>
      </c>
      <c r="M661">
        <f>IF(OR(B661="NW",COUNT(Risk_Rank_Keys!B661)=0),0.5,(SUMPRODUCT(--ISNUMBER(Risk_Rank_Keys!$B$2:$B$800),--(Risk_Rank_Keys!$B$2:$B$800&lt;Risk_Rank_Keys!B661))+(SUMPRODUCT(--ISNUMBER(Risk_Rank_Keys!$B$2:$B$800),--(Risk_Rank_Keys!$B$2:$B$800=Risk_Rank_Keys!B661))+1)/2)/COUNT(Risk_Rank_Keys!$B$2:$B$800))</f>
        <v/>
      </c>
      <c r="N661">
        <f>IF(OR(B661="NW",COUNT(Risk_Rank_Keys!C661)=0),0.5,(SUMPRODUCT(--ISNUMBER(Risk_Rank_Keys!$C$2:$C$800),--(Risk_Rank_Keys!$C$2:$C$800&lt;Risk_Rank_Keys!C661))+(SUMPRODUCT(--ISNUMBER(Risk_Rank_Keys!$C$2:$C$800),--(Risk_Rank_Keys!$C$2:$C$800=Risk_Rank_Keys!C661))+1)/2)/COUNT(Risk_Rank_Keys!$C$2:$C$800))</f>
        <v/>
      </c>
      <c r="O661">
        <f>IF(OR(B661="NW",COUNT(Risk_Rank_Keys!D661)=0),0.5,(SUMPRODUCT(--ISNUMBER(Risk_Rank_Keys!$D$2:$D$800),--(Risk_Rank_Keys!$D$2:$D$800&lt;Risk_Rank_Keys!D661))+(SUMPRODUCT(--ISNUMBER(Risk_Rank_Keys!$D$2:$D$800),--(Risk_Rank_Keys!$D$2:$D$800=Risk_Rank_Keys!D661))+1)/2)/COUNT(Risk_Rank_Keys!$D$2:$D$800))</f>
        <v/>
      </c>
      <c r="P661">
        <f>AVERAGE(M661:O661)</f>
        <v/>
      </c>
      <c r="Q661">
        <f>0.4*H661+0.4*I661+0.2*P661</f>
        <v/>
      </c>
      <c r="R661">
        <f>PERCENTILE($Q$2:$Q$800,0.75)</f>
        <v/>
      </c>
      <c r="S661">
        <f>OR(Q661&gt;=R661,AND(B661="CW",COUNT(J661:L661)&lt;3))</f>
        <v/>
      </c>
      <c r="T661" t="n">
        <v>0.3093805524956549</v>
      </c>
      <c r="U661" t="n">
        <v>7.48126339477232</v>
      </c>
      <c r="V661" t="n">
        <v>0.5176957016819607</v>
      </c>
      <c r="W661">
        <f>Q661-V661</f>
        <v/>
      </c>
    </row>
    <row r="662">
      <c r="A662" t="inlineStr">
        <is>
          <t>2025-04-24</t>
        </is>
      </c>
      <c r="B662" t="inlineStr">
        <is>
          <t>NW</t>
        </is>
      </c>
      <c r="C662" t="n">
        <v>-14.00968523987875</v>
      </c>
      <c r="D662">
        <f>SUMPRODUCT(Risk_Inputs!B662:AJ662,Risk_Coefs!$B$2:$AJ$2)</f>
        <v/>
      </c>
      <c r="E662">
        <f>1/(1+EXP(-MAX(-25,MIN(25,D662))))</f>
        <v/>
      </c>
      <c r="F662">
        <f>SUMPRODUCT(Risk_Inputs!B662:AJ662,Risk_Coefs!$B$3:$AJ$3)</f>
        <v/>
      </c>
      <c r="G662">
        <f>MAX(0,F662)</f>
        <v/>
      </c>
      <c r="H662">
        <f>(SUMPRODUCT(--ISNUMBER($E$2:$E$800),--($E$2:$E$800&lt;E662))+(SUMPRODUCT(--ISNUMBER($E$2:$E$800),--($E$2:$E$800=E662))+1)/2)/COUNT($E$2:$E$800)</f>
        <v/>
      </c>
      <c r="I662">
        <f>(SUMPRODUCT(--ISNUMBER($G$2:$G$800),--($G$2:$G$800&lt;G662))+(SUMPRODUCT(--ISNUMBER($G$2:$G$800),--($G$2:$G$800=G662))+1)/2)/COUNT($G$2:$G$800)</f>
        <v/>
      </c>
      <c r="M662">
        <f>IF(OR(B662="NW",COUNT(Risk_Rank_Keys!B662)=0),0.5,(SUMPRODUCT(--ISNUMBER(Risk_Rank_Keys!$B$2:$B$800),--(Risk_Rank_Keys!$B$2:$B$800&lt;Risk_Rank_Keys!B662))+(SUMPRODUCT(--ISNUMBER(Risk_Rank_Keys!$B$2:$B$800),--(Risk_Rank_Keys!$B$2:$B$800=Risk_Rank_Keys!B662))+1)/2)/COUNT(Risk_Rank_Keys!$B$2:$B$800))</f>
        <v/>
      </c>
      <c r="N662">
        <f>IF(OR(B662="NW",COUNT(Risk_Rank_Keys!C662)=0),0.5,(SUMPRODUCT(--ISNUMBER(Risk_Rank_Keys!$C$2:$C$800),--(Risk_Rank_Keys!$C$2:$C$800&lt;Risk_Rank_Keys!C662))+(SUMPRODUCT(--ISNUMBER(Risk_Rank_Keys!$C$2:$C$800),--(Risk_Rank_Keys!$C$2:$C$800=Risk_Rank_Keys!C662))+1)/2)/COUNT(Risk_Rank_Keys!$C$2:$C$800))</f>
        <v/>
      </c>
      <c r="O662">
        <f>IF(OR(B662="NW",COUNT(Risk_Rank_Keys!D662)=0),0.5,(SUMPRODUCT(--ISNUMBER(Risk_Rank_Keys!$D$2:$D$800),--(Risk_Rank_Keys!$D$2:$D$800&lt;Risk_Rank_Keys!D662))+(SUMPRODUCT(--ISNUMBER(Risk_Rank_Keys!$D$2:$D$800),--(Risk_Rank_Keys!$D$2:$D$800=Risk_Rank_Keys!D662))+1)/2)/COUNT(Risk_Rank_Keys!$D$2:$D$800))</f>
        <v/>
      </c>
      <c r="P662">
        <f>AVERAGE(M662:O662)</f>
        <v/>
      </c>
      <c r="Q662">
        <f>0.4*H662+0.4*I662+0.2*P662</f>
        <v/>
      </c>
      <c r="R662">
        <f>PERCENTILE($Q$2:$Q$800,0.75)</f>
        <v/>
      </c>
      <c r="S662">
        <f>OR(Q662&gt;=R662,AND(B662="CW",COUNT(J662:L662)&lt;3))</f>
        <v/>
      </c>
      <c r="T662" t="n">
        <v>0.3335246567648552</v>
      </c>
      <c r="U662" t="n">
        <v>9.843546396717244</v>
      </c>
      <c r="V662" t="n">
        <v>0.7097622027534418</v>
      </c>
      <c r="W662">
        <f>Q662-V662</f>
        <v/>
      </c>
    </row>
    <row r="663">
      <c r="A663" t="inlineStr">
        <is>
          <t>2025-04-25</t>
        </is>
      </c>
      <c r="B663" t="inlineStr">
        <is>
          <t>CW</t>
        </is>
      </c>
      <c r="C663" t="n">
        <v>34.55844913158283</v>
      </c>
      <c r="D663">
        <f>SUMPRODUCT(Risk_Inputs!B663:AJ663,Risk_Coefs!$B$2:$AJ$2)</f>
        <v/>
      </c>
      <c r="E663">
        <f>1/(1+EXP(-MAX(-25,MIN(25,D663))))</f>
        <v/>
      </c>
      <c r="F663">
        <f>SUMPRODUCT(Risk_Inputs!B663:AJ663,Risk_Coefs!$B$3:$AJ$3)</f>
        <v/>
      </c>
      <c r="G663">
        <f>MAX(0,F663)</f>
        <v/>
      </c>
      <c r="H663">
        <f>(SUMPRODUCT(--ISNUMBER($E$2:$E$800),--($E$2:$E$800&lt;E663))+(SUMPRODUCT(--ISNUMBER($E$2:$E$800),--($E$2:$E$800=E663))+1)/2)/COUNT($E$2:$E$800)</f>
        <v/>
      </c>
      <c r="I663">
        <f>(SUMPRODUCT(--ISNUMBER($G$2:$G$800),--($G$2:$G$800&lt;G663))+(SUMPRODUCT(--ISNUMBER($G$2:$G$800),--($G$2:$G$800=G663))+1)/2)/COUNT($G$2:$G$800)</f>
        <v/>
      </c>
      <c r="J663" t="n">
        <v>26.8922791726159</v>
      </c>
      <c r="K663" t="n">
        <v>3.199096725630425</v>
      </c>
      <c r="L663" t="n">
        <v>0.1756366829757915</v>
      </c>
      <c r="M663">
        <f>IF(OR(B663="NW",COUNT(Risk_Rank_Keys!B663)=0),0.5,(SUMPRODUCT(--ISNUMBER(Risk_Rank_Keys!$B$2:$B$800),--(Risk_Rank_Keys!$B$2:$B$800&lt;Risk_Rank_Keys!B663))+(SUMPRODUCT(--ISNUMBER(Risk_Rank_Keys!$B$2:$B$800),--(Risk_Rank_Keys!$B$2:$B$800=Risk_Rank_Keys!B663))+1)/2)/COUNT(Risk_Rank_Keys!$B$2:$B$800))</f>
        <v/>
      </c>
      <c r="N663">
        <f>IF(OR(B663="NW",COUNT(Risk_Rank_Keys!C663)=0),0.5,(SUMPRODUCT(--ISNUMBER(Risk_Rank_Keys!$C$2:$C$800),--(Risk_Rank_Keys!$C$2:$C$800&lt;Risk_Rank_Keys!C663))+(SUMPRODUCT(--ISNUMBER(Risk_Rank_Keys!$C$2:$C$800),--(Risk_Rank_Keys!$C$2:$C$800=Risk_Rank_Keys!C663))+1)/2)/COUNT(Risk_Rank_Keys!$C$2:$C$800))</f>
        <v/>
      </c>
      <c r="O663">
        <f>IF(OR(B663="NW",COUNT(Risk_Rank_Keys!D663)=0),0.5,(SUMPRODUCT(--ISNUMBER(Risk_Rank_Keys!$D$2:$D$800),--(Risk_Rank_Keys!$D$2:$D$800&lt;Risk_Rank_Keys!D663))+(SUMPRODUCT(--ISNUMBER(Risk_Rank_Keys!$D$2:$D$800),--(Risk_Rank_Keys!$D$2:$D$800=Risk_Rank_Keys!D663))+1)/2)/COUNT(Risk_Rank_Keys!$D$2:$D$800))</f>
        <v/>
      </c>
      <c r="P663">
        <f>AVERAGE(M663:O663)</f>
        <v/>
      </c>
      <c r="Q663">
        <f>0.4*H663+0.4*I663+0.2*P663</f>
        <v/>
      </c>
      <c r="R663">
        <f>PERCENTILE($Q$2:$Q$800,0.75)</f>
        <v/>
      </c>
      <c r="S663">
        <f>OR(Q663&gt;=R663,AND(B663="CW",COUNT(J663:L663)&lt;3))</f>
        <v/>
      </c>
      <c r="T663" t="n">
        <v>0.2674080638422633</v>
      </c>
      <c r="U663" t="n">
        <v>10.61667056896949</v>
      </c>
      <c r="V663" t="n">
        <v>0.5980335717182509</v>
      </c>
      <c r="W663">
        <f>Q663-V663</f>
        <v/>
      </c>
    </row>
    <row r="664">
      <c r="A664" t="inlineStr">
        <is>
          <t>2025-05-07</t>
        </is>
      </c>
      <c r="B664" t="inlineStr">
        <is>
          <t>CW</t>
        </is>
      </c>
      <c r="C664" t="n">
        <v>10.39998482093288</v>
      </c>
      <c r="D664">
        <f>SUMPRODUCT(Risk_Inputs!B664:AJ664,Risk_Coefs!$B$2:$AJ$2)</f>
        <v/>
      </c>
      <c r="E664">
        <f>1/(1+EXP(-MAX(-25,MIN(25,D664))))</f>
        <v/>
      </c>
      <c r="F664">
        <f>SUMPRODUCT(Risk_Inputs!B664:AJ664,Risk_Coefs!$B$3:$AJ$3)</f>
        <v/>
      </c>
      <c r="G664">
        <f>MAX(0,F664)</f>
        <v/>
      </c>
      <c r="H664">
        <f>(SUMPRODUCT(--ISNUMBER($E$2:$E$800),--($E$2:$E$800&lt;E664))+(SUMPRODUCT(--ISNUMBER($E$2:$E$800),--($E$2:$E$800=E664))+1)/2)/COUNT($E$2:$E$800)</f>
        <v/>
      </c>
      <c r="I664">
        <f>(SUMPRODUCT(--ISNUMBER($G$2:$G$800),--($G$2:$G$800&lt;G664))+(SUMPRODUCT(--ISNUMBER($G$2:$G$800),--($G$2:$G$800=G664))+1)/2)/COUNT($G$2:$G$800)</f>
        <v/>
      </c>
      <c r="J664" t="n">
        <v>8.868032590020666</v>
      </c>
      <c r="K664" t="n">
        <v>3.868269733403035</v>
      </c>
      <c r="L664" t="n">
        <v>0.2352326189231588</v>
      </c>
      <c r="M664">
        <f>IF(OR(B664="NW",COUNT(Risk_Rank_Keys!B664)=0),0.5,(SUMPRODUCT(--ISNUMBER(Risk_Rank_Keys!$B$2:$B$800),--(Risk_Rank_Keys!$B$2:$B$800&lt;Risk_Rank_Keys!B664))+(SUMPRODUCT(--ISNUMBER(Risk_Rank_Keys!$B$2:$B$800),--(Risk_Rank_Keys!$B$2:$B$800=Risk_Rank_Keys!B664))+1)/2)/COUNT(Risk_Rank_Keys!$B$2:$B$800))</f>
        <v/>
      </c>
      <c r="N664">
        <f>IF(OR(B664="NW",COUNT(Risk_Rank_Keys!C664)=0),0.5,(SUMPRODUCT(--ISNUMBER(Risk_Rank_Keys!$C$2:$C$800),--(Risk_Rank_Keys!$C$2:$C$800&lt;Risk_Rank_Keys!C664))+(SUMPRODUCT(--ISNUMBER(Risk_Rank_Keys!$C$2:$C$800),--(Risk_Rank_Keys!$C$2:$C$800=Risk_Rank_Keys!C664))+1)/2)/COUNT(Risk_Rank_Keys!$C$2:$C$800))</f>
        <v/>
      </c>
      <c r="O664">
        <f>IF(OR(B664="NW",COUNT(Risk_Rank_Keys!D664)=0),0.5,(SUMPRODUCT(--ISNUMBER(Risk_Rank_Keys!$D$2:$D$800),--(Risk_Rank_Keys!$D$2:$D$800&lt;Risk_Rank_Keys!D664))+(SUMPRODUCT(--ISNUMBER(Risk_Rank_Keys!$D$2:$D$800),--(Risk_Rank_Keys!$D$2:$D$800=Risk_Rank_Keys!D664))+1)/2)/COUNT(Risk_Rank_Keys!$D$2:$D$800))</f>
        <v/>
      </c>
      <c r="P664">
        <f>AVERAGE(M664:O664)</f>
        <v/>
      </c>
      <c r="Q664">
        <f>0.4*H664+0.4*I664+0.2*P664</f>
        <v/>
      </c>
      <c r="R664">
        <f>PERCENTILE($Q$2:$Q$800,0.75)</f>
        <v/>
      </c>
      <c r="S664">
        <f>OR(Q664&gt;=R664,AND(B664="CW",COUNT(J664:L664)&lt;3))</f>
        <v/>
      </c>
      <c r="T664" t="n">
        <v>0.3382434767417304</v>
      </c>
      <c r="U664" t="n">
        <v>3.935347823032039</v>
      </c>
      <c r="V664" t="n">
        <v>0.4334705923082608</v>
      </c>
      <c r="W664">
        <f>Q664-V664</f>
        <v/>
      </c>
    </row>
    <row r="665">
      <c r="A665" t="inlineStr">
        <is>
          <t>2025-05-09</t>
        </is>
      </c>
      <c r="B665" t="inlineStr">
        <is>
          <t>CW</t>
        </is>
      </c>
      <c r="C665" t="n">
        <v>13.49177940799667</v>
      </c>
      <c r="D665">
        <f>SUMPRODUCT(Risk_Inputs!B665:AJ665,Risk_Coefs!$B$2:$AJ$2)</f>
        <v/>
      </c>
      <c r="E665">
        <f>1/(1+EXP(-MAX(-25,MIN(25,D665))))</f>
        <v/>
      </c>
      <c r="F665">
        <f>SUMPRODUCT(Risk_Inputs!B665:AJ665,Risk_Coefs!$B$3:$AJ$3)</f>
        <v/>
      </c>
      <c r="G665">
        <f>MAX(0,F665)</f>
        <v/>
      </c>
      <c r="H665">
        <f>(SUMPRODUCT(--ISNUMBER($E$2:$E$800),--($E$2:$E$800&lt;E665))+(SUMPRODUCT(--ISNUMBER($E$2:$E$800),--($E$2:$E$800=E665))+1)/2)/COUNT($E$2:$E$800)</f>
        <v/>
      </c>
      <c r="I665">
        <f>(SUMPRODUCT(--ISNUMBER($G$2:$G$800),--($G$2:$G$800&lt;G665))+(SUMPRODUCT(--ISNUMBER($G$2:$G$800),--($G$2:$G$800=G665))+1)/2)/COUNT($G$2:$G$800)</f>
        <v/>
      </c>
      <c r="J665" t="n">
        <v>16.62149879852057</v>
      </c>
      <c r="K665" t="n">
        <v>3.863094145714822</v>
      </c>
      <c r="L665" t="n">
        <v>0.1468159295283455</v>
      </c>
      <c r="M665">
        <f>IF(OR(B665="NW",COUNT(Risk_Rank_Keys!B665)=0),0.5,(SUMPRODUCT(--ISNUMBER(Risk_Rank_Keys!$B$2:$B$800),--(Risk_Rank_Keys!$B$2:$B$800&lt;Risk_Rank_Keys!B665))+(SUMPRODUCT(--ISNUMBER(Risk_Rank_Keys!$B$2:$B$800),--(Risk_Rank_Keys!$B$2:$B$800=Risk_Rank_Keys!B665))+1)/2)/COUNT(Risk_Rank_Keys!$B$2:$B$800))</f>
        <v/>
      </c>
      <c r="N665">
        <f>IF(OR(B665="NW",COUNT(Risk_Rank_Keys!C665)=0),0.5,(SUMPRODUCT(--ISNUMBER(Risk_Rank_Keys!$C$2:$C$800),--(Risk_Rank_Keys!$C$2:$C$800&lt;Risk_Rank_Keys!C665))+(SUMPRODUCT(--ISNUMBER(Risk_Rank_Keys!$C$2:$C$800),--(Risk_Rank_Keys!$C$2:$C$800=Risk_Rank_Keys!C665))+1)/2)/COUNT(Risk_Rank_Keys!$C$2:$C$800))</f>
        <v/>
      </c>
      <c r="O665">
        <f>IF(OR(B665="NW",COUNT(Risk_Rank_Keys!D665)=0),0.5,(SUMPRODUCT(--ISNUMBER(Risk_Rank_Keys!$D$2:$D$800),--(Risk_Rank_Keys!$D$2:$D$800&lt;Risk_Rank_Keys!D665))+(SUMPRODUCT(--ISNUMBER(Risk_Rank_Keys!$D$2:$D$800),--(Risk_Rank_Keys!$D$2:$D$800=Risk_Rank_Keys!D665))+1)/2)/COUNT(Risk_Rank_Keys!$D$2:$D$800))</f>
        <v/>
      </c>
      <c r="P665">
        <f>AVERAGE(M665:O665)</f>
        <v/>
      </c>
      <c r="Q665">
        <f>0.4*H665+0.4*I665+0.2*P665</f>
        <v/>
      </c>
      <c r="R665">
        <f>PERCENTILE($Q$2:$Q$800,0.75)</f>
        <v/>
      </c>
      <c r="S665">
        <f>OR(Q665&gt;=R665,AND(B665="CW",COUNT(J665:L665)&lt;3))</f>
        <v/>
      </c>
      <c r="T665" t="n">
        <v>0.3477948503705799</v>
      </c>
      <c r="U665" t="n">
        <v>7.924041752451213</v>
      </c>
      <c r="V665" t="n">
        <v>0.6287283790931133</v>
      </c>
      <c r="W665">
        <f>Q665-V665</f>
        <v/>
      </c>
    </row>
    <row r="666">
      <c r="A666" t="inlineStr">
        <is>
          <t>2025-05-13</t>
        </is>
      </c>
      <c r="B666" t="inlineStr">
        <is>
          <t>CW</t>
        </is>
      </c>
      <c r="C666" t="n">
        <v>76.96062522951283</v>
      </c>
      <c r="D666">
        <f>SUMPRODUCT(Risk_Inputs!B666:AJ666,Risk_Coefs!$B$2:$AJ$2)</f>
        <v/>
      </c>
      <c r="E666">
        <f>1/(1+EXP(-MAX(-25,MIN(25,D666))))</f>
        <v/>
      </c>
      <c r="F666">
        <f>SUMPRODUCT(Risk_Inputs!B666:AJ666,Risk_Coefs!$B$3:$AJ$3)</f>
        <v/>
      </c>
      <c r="G666">
        <f>MAX(0,F666)</f>
        <v/>
      </c>
      <c r="H666">
        <f>(SUMPRODUCT(--ISNUMBER($E$2:$E$800),--($E$2:$E$800&lt;E666))+(SUMPRODUCT(--ISNUMBER($E$2:$E$800),--($E$2:$E$800=E666))+1)/2)/COUNT($E$2:$E$800)</f>
        <v/>
      </c>
      <c r="I666">
        <f>(SUMPRODUCT(--ISNUMBER($G$2:$G$800),--($G$2:$G$800&lt;G666))+(SUMPRODUCT(--ISNUMBER($G$2:$G$800),--($G$2:$G$800=G666))+1)/2)/COUNT($G$2:$G$800)</f>
        <v/>
      </c>
      <c r="J666" t="n">
        <v>7.97410950704494</v>
      </c>
      <c r="K666" t="n">
        <v>1.159560333373612</v>
      </c>
      <c r="L666" t="n">
        <v>0.2174175625075505</v>
      </c>
      <c r="M666">
        <f>IF(OR(B666="NW",COUNT(Risk_Rank_Keys!B666)=0),0.5,(SUMPRODUCT(--ISNUMBER(Risk_Rank_Keys!$B$2:$B$800),--(Risk_Rank_Keys!$B$2:$B$800&lt;Risk_Rank_Keys!B666))+(SUMPRODUCT(--ISNUMBER(Risk_Rank_Keys!$B$2:$B$800),--(Risk_Rank_Keys!$B$2:$B$800=Risk_Rank_Keys!B666))+1)/2)/COUNT(Risk_Rank_Keys!$B$2:$B$800))</f>
        <v/>
      </c>
      <c r="N666">
        <f>IF(OR(B666="NW",COUNT(Risk_Rank_Keys!C666)=0),0.5,(SUMPRODUCT(--ISNUMBER(Risk_Rank_Keys!$C$2:$C$800),--(Risk_Rank_Keys!$C$2:$C$800&lt;Risk_Rank_Keys!C666))+(SUMPRODUCT(--ISNUMBER(Risk_Rank_Keys!$C$2:$C$800),--(Risk_Rank_Keys!$C$2:$C$800=Risk_Rank_Keys!C666))+1)/2)/COUNT(Risk_Rank_Keys!$C$2:$C$800))</f>
        <v/>
      </c>
      <c r="O666">
        <f>IF(OR(B666="NW",COUNT(Risk_Rank_Keys!D666)=0),0.5,(SUMPRODUCT(--ISNUMBER(Risk_Rank_Keys!$D$2:$D$800),--(Risk_Rank_Keys!$D$2:$D$800&lt;Risk_Rank_Keys!D666))+(SUMPRODUCT(--ISNUMBER(Risk_Rank_Keys!$D$2:$D$800),--(Risk_Rank_Keys!$D$2:$D$800=Risk_Rank_Keys!D666))+1)/2)/COUNT(Risk_Rank_Keys!$D$2:$D$800))</f>
        <v/>
      </c>
      <c r="P666">
        <f>AVERAGE(M666:O666)</f>
        <v/>
      </c>
      <c r="Q666">
        <f>0.4*H666+0.4*I666+0.2*P666</f>
        <v/>
      </c>
      <c r="R666">
        <f>PERCENTILE($Q$2:$Q$800,0.75)</f>
        <v/>
      </c>
      <c r="S666">
        <f>OR(Q666&gt;=R666,AND(B666="CW",COUNT(J666:L666)&lt;3))</f>
        <v/>
      </c>
      <c r="T666" t="n">
        <v>0.3768411551176347</v>
      </c>
      <c r="U666" t="n">
        <v>9.905206595209615</v>
      </c>
      <c r="V666" t="n">
        <v>0.7277638424134305</v>
      </c>
      <c r="W666">
        <f>Q666-V666</f>
        <v/>
      </c>
    </row>
    <row r="667">
      <c r="A667" t="inlineStr">
        <is>
          <t>2025-05-14</t>
        </is>
      </c>
      <c r="B667" t="inlineStr">
        <is>
          <t>NW</t>
        </is>
      </c>
      <c r="C667" t="n">
        <v>40.41040742392651</v>
      </c>
      <c r="D667">
        <f>SUMPRODUCT(Risk_Inputs!B667:AJ667,Risk_Coefs!$B$2:$AJ$2)</f>
        <v/>
      </c>
      <c r="E667">
        <f>1/(1+EXP(-MAX(-25,MIN(25,D667))))</f>
        <v/>
      </c>
      <c r="F667">
        <f>SUMPRODUCT(Risk_Inputs!B667:AJ667,Risk_Coefs!$B$3:$AJ$3)</f>
        <v/>
      </c>
      <c r="G667">
        <f>MAX(0,F667)</f>
        <v/>
      </c>
      <c r="H667">
        <f>(SUMPRODUCT(--ISNUMBER($E$2:$E$800),--($E$2:$E$800&lt;E667))+(SUMPRODUCT(--ISNUMBER($E$2:$E$800),--($E$2:$E$800=E667))+1)/2)/COUNT($E$2:$E$800)</f>
        <v/>
      </c>
      <c r="I667">
        <f>(SUMPRODUCT(--ISNUMBER($G$2:$G$800),--($G$2:$G$800&lt;G667))+(SUMPRODUCT(--ISNUMBER($G$2:$G$800),--($G$2:$G$800=G667))+1)/2)/COUNT($G$2:$G$800)</f>
        <v/>
      </c>
      <c r="M667">
        <f>IF(OR(B667="NW",COUNT(Risk_Rank_Keys!B667)=0),0.5,(SUMPRODUCT(--ISNUMBER(Risk_Rank_Keys!$B$2:$B$800),--(Risk_Rank_Keys!$B$2:$B$800&lt;Risk_Rank_Keys!B667))+(SUMPRODUCT(--ISNUMBER(Risk_Rank_Keys!$B$2:$B$800),--(Risk_Rank_Keys!$B$2:$B$800=Risk_Rank_Keys!B667))+1)/2)/COUNT(Risk_Rank_Keys!$B$2:$B$800))</f>
        <v/>
      </c>
      <c r="N667">
        <f>IF(OR(B667="NW",COUNT(Risk_Rank_Keys!C667)=0),0.5,(SUMPRODUCT(--ISNUMBER(Risk_Rank_Keys!$C$2:$C$800),--(Risk_Rank_Keys!$C$2:$C$800&lt;Risk_Rank_Keys!C667))+(SUMPRODUCT(--ISNUMBER(Risk_Rank_Keys!$C$2:$C$800),--(Risk_Rank_Keys!$C$2:$C$800=Risk_Rank_Keys!C667))+1)/2)/COUNT(Risk_Rank_Keys!$C$2:$C$800))</f>
        <v/>
      </c>
      <c r="O667">
        <f>IF(OR(B667="NW",COUNT(Risk_Rank_Keys!D667)=0),0.5,(SUMPRODUCT(--ISNUMBER(Risk_Rank_Keys!$D$2:$D$800),--(Risk_Rank_Keys!$D$2:$D$800&lt;Risk_Rank_Keys!D667))+(SUMPRODUCT(--ISNUMBER(Risk_Rank_Keys!$D$2:$D$800),--(Risk_Rank_Keys!$D$2:$D$800=Risk_Rank_Keys!D667))+1)/2)/COUNT(Risk_Rank_Keys!$D$2:$D$800))</f>
        <v/>
      </c>
      <c r="P667">
        <f>AVERAGE(M667:O667)</f>
        <v/>
      </c>
      <c r="Q667">
        <f>0.4*H667+0.4*I667+0.2*P667</f>
        <v/>
      </c>
      <c r="R667">
        <f>PERCENTILE($Q$2:$Q$800,0.75)</f>
        <v/>
      </c>
      <c r="S667">
        <f>OR(Q667&gt;=R667,AND(B667="CW",COUNT(J667:L667)&lt;3))</f>
        <v/>
      </c>
      <c r="T667" t="n">
        <v>0.4114986590648347</v>
      </c>
      <c r="U667" t="n">
        <v>12.46339827624787</v>
      </c>
      <c r="V667" t="n">
        <v>0.860450563204005</v>
      </c>
      <c r="W667">
        <f>Q667-V667</f>
        <v/>
      </c>
    </row>
    <row r="668">
      <c r="A668" t="inlineStr">
        <is>
          <t>2025-05-15</t>
        </is>
      </c>
      <c r="B668" t="inlineStr">
        <is>
          <t>CW</t>
        </is>
      </c>
      <c r="C668" t="n">
        <v>-42.26209259841087</v>
      </c>
      <c r="D668">
        <f>SUMPRODUCT(Risk_Inputs!B668:AJ668,Risk_Coefs!$B$2:$AJ$2)</f>
        <v/>
      </c>
      <c r="E668">
        <f>1/(1+EXP(-MAX(-25,MIN(25,D668))))</f>
        <v/>
      </c>
      <c r="F668">
        <f>SUMPRODUCT(Risk_Inputs!B668:AJ668,Risk_Coefs!$B$3:$AJ$3)</f>
        <v/>
      </c>
      <c r="G668">
        <f>MAX(0,F668)</f>
        <v/>
      </c>
      <c r="H668">
        <f>(SUMPRODUCT(--ISNUMBER($E$2:$E$800),--($E$2:$E$800&lt;E668))+(SUMPRODUCT(--ISNUMBER($E$2:$E$800),--($E$2:$E$800=E668))+1)/2)/COUNT($E$2:$E$800)</f>
        <v/>
      </c>
      <c r="I668">
        <f>(SUMPRODUCT(--ISNUMBER($G$2:$G$800),--($G$2:$G$800&lt;G668))+(SUMPRODUCT(--ISNUMBER($G$2:$G$800),--($G$2:$G$800=G668))+1)/2)/COUNT($G$2:$G$800)</f>
        <v/>
      </c>
      <c r="J668" t="n">
        <v>11.29902169981152</v>
      </c>
      <c r="K668" t="n">
        <v>8.366141732283463</v>
      </c>
      <c r="L668" t="n">
        <v>0.2952755905511829</v>
      </c>
      <c r="M668">
        <f>IF(OR(B668="NW",COUNT(Risk_Rank_Keys!B668)=0),0.5,(SUMPRODUCT(--ISNUMBER(Risk_Rank_Keys!$B$2:$B$800),--(Risk_Rank_Keys!$B$2:$B$800&lt;Risk_Rank_Keys!B668))+(SUMPRODUCT(--ISNUMBER(Risk_Rank_Keys!$B$2:$B$800),--(Risk_Rank_Keys!$B$2:$B$800=Risk_Rank_Keys!B668))+1)/2)/COUNT(Risk_Rank_Keys!$B$2:$B$800))</f>
        <v/>
      </c>
      <c r="N668">
        <f>IF(OR(B668="NW",COUNT(Risk_Rank_Keys!C668)=0),0.5,(SUMPRODUCT(--ISNUMBER(Risk_Rank_Keys!$C$2:$C$800),--(Risk_Rank_Keys!$C$2:$C$800&lt;Risk_Rank_Keys!C668))+(SUMPRODUCT(--ISNUMBER(Risk_Rank_Keys!$C$2:$C$800),--(Risk_Rank_Keys!$C$2:$C$800=Risk_Rank_Keys!C668))+1)/2)/COUNT(Risk_Rank_Keys!$C$2:$C$800))</f>
        <v/>
      </c>
      <c r="O668">
        <f>IF(OR(B668="NW",COUNT(Risk_Rank_Keys!D668)=0),0.5,(SUMPRODUCT(--ISNUMBER(Risk_Rank_Keys!$D$2:$D$800),--(Risk_Rank_Keys!$D$2:$D$800&lt;Risk_Rank_Keys!D668))+(SUMPRODUCT(--ISNUMBER(Risk_Rank_Keys!$D$2:$D$800),--(Risk_Rank_Keys!$D$2:$D$800=Risk_Rank_Keys!D668))+1)/2)/COUNT(Risk_Rank_Keys!$D$2:$D$800))</f>
        <v/>
      </c>
      <c r="P668">
        <f>AVERAGE(M668:O668)</f>
        <v/>
      </c>
      <c r="Q668">
        <f>0.4*H668+0.4*I668+0.2*P668</f>
        <v/>
      </c>
      <c r="R668">
        <f>PERCENTILE($Q$2:$Q$800,0.75)</f>
        <v/>
      </c>
      <c r="S668">
        <f>OR(Q668&gt;=R668,AND(B668="CW",COUNT(J668:L668)&lt;3))</f>
        <v/>
      </c>
      <c r="T668" t="n">
        <v>0.3302381682304805</v>
      </c>
      <c r="U668" t="n">
        <v>8.575564208144581</v>
      </c>
      <c r="V668" t="n">
        <v>0.6820627132125292</v>
      </c>
      <c r="W668">
        <f>Q668-V668</f>
        <v/>
      </c>
    </row>
    <row r="669">
      <c r="A669" t="inlineStr">
        <is>
          <t>2025-05-16</t>
        </is>
      </c>
      <c r="B669" t="inlineStr">
        <is>
          <t>CW</t>
        </is>
      </c>
      <c r="C669" t="n">
        <v>29.72733463050336</v>
      </c>
      <c r="D669">
        <f>SUMPRODUCT(Risk_Inputs!B669:AJ669,Risk_Coefs!$B$2:$AJ$2)</f>
        <v/>
      </c>
      <c r="E669">
        <f>1/(1+EXP(-MAX(-25,MIN(25,D669))))</f>
        <v/>
      </c>
      <c r="F669">
        <f>SUMPRODUCT(Risk_Inputs!B669:AJ669,Risk_Coefs!$B$3:$AJ$3)</f>
        <v/>
      </c>
      <c r="G669">
        <f>MAX(0,F669)</f>
        <v/>
      </c>
      <c r="H669">
        <f>(SUMPRODUCT(--ISNUMBER($E$2:$E$800),--($E$2:$E$800&lt;E669))+(SUMPRODUCT(--ISNUMBER($E$2:$E$800),--($E$2:$E$800=E669))+1)/2)/COUNT($E$2:$E$800)</f>
        <v/>
      </c>
      <c r="I669">
        <f>(SUMPRODUCT(--ISNUMBER($G$2:$G$800),--($G$2:$G$800&lt;G669))+(SUMPRODUCT(--ISNUMBER($G$2:$G$800),--($G$2:$G$800=G669))+1)/2)/COUNT($G$2:$G$800)</f>
        <v/>
      </c>
      <c r="J669" t="n">
        <v>18.31395755235996</v>
      </c>
      <c r="K669" t="n">
        <v>3.984365149413696</v>
      </c>
      <c r="L669" t="n">
        <v>0.2395662589837246</v>
      </c>
      <c r="M669">
        <f>IF(OR(B669="NW",COUNT(Risk_Rank_Keys!B669)=0),0.5,(SUMPRODUCT(--ISNUMBER(Risk_Rank_Keys!$B$2:$B$800),--(Risk_Rank_Keys!$B$2:$B$800&lt;Risk_Rank_Keys!B669))+(SUMPRODUCT(--ISNUMBER(Risk_Rank_Keys!$B$2:$B$800),--(Risk_Rank_Keys!$B$2:$B$800=Risk_Rank_Keys!B669))+1)/2)/COUNT(Risk_Rank_Keys!$B$2:$B$800))</f>
        <v/>
      </c>
      <c r="N669">
        <f>IF(OR(B669="NW",COUNT(Risk_Rank_Keys!C669)=0),0.5,(SUMPRODUCT(--ISNUMBER(Risk_Rank_Keys!$C$2:$C$800),--(Risk_Rank_Keys!$C$2:$C$800&lt;Risk_Rank_Keys!C669))+(SUMPRODUCT(--ISNUMBER(Risk_Rank_Keys!$C$2:$C$800),--(Risk_Rank_Keys!$C$2:$C$800=Risk_Rank_Keys!C669))+1)/2)/COUNT(Risk_Rank_Keys!$C$2:$C$800))</f>
        <v/>
      </c>
      <c r="O669">
        <f>IF(OR(B669="NW",COUNT(Risk_Rank_Keys!D669)=0),0.5,(SUMPRODUCT(--ISNUMBER(Risk_Rank_Keys!$D$2:$D$800),--(Risk_Rank_Keys!$D$2:$D$800&lt;Risk_Rank_Keys!D669))+(SUMPRODUCT(--ISNUMBER(Risk_Rank_Keys!$D$2:$D$800),--(Risk_Rank_Keys!$D$2:$D$800=Risk_Rank_Keys!D669))+1)/2)/COUNT(Risk_Rank_Keys!$D$2:$D$800))</f>
        <v/>
      </c>
      <c r="P669">
        <f>AVERAGE(M669:O669)</f>
        <v/>
      </c>
      <c r="Q669">
        <f>0.4*H669+0.4*I669+0.2*P669</f>
        <v/>
      </c>
      <c r="R669">
        <f>PERCENTILE($Q$2:$Q$800,0.75)</f>
        <v/>
      </c>
      <c r="S669">
        <f>OR(Q669&gt;=R669,AND(B669="CW",COUNT(J669:L669)&lt;3))</f>
        <v/>
      </c>
      <c r="T669" t="n">
        <v>0.2271935334585608</v>
      </c>
      <c r="U669" t="n">
        <v>6.05201391890511</v>
      </c>
      <c r="V669" t="n">
        <v>0.3020437564621979</v>
      </c>
      <c r="W669">
        <f>Q669-V669</f>
        <v/>
      </c>
    </row>
    <row r="670">
      <c r="A670" t="inlineStr">
        <is>
          <t>2025-05-19</t>
        </is>
      </c>
      <c r="B670" t="inlineStr">
        <is>
          <t>CW</t>
        </is>
      </c>
      <c r="C670" t="n">
        <v>44.28409625499736</v>
      </c>
      <c r="D670">
        <f>SUMPRODUCT(Risk_Inputs!B670:AJ670,Risk_Coefs!$B$2:$AJ$2)</f>
        <v/>
      </c>
      <c r="E670">
        <f>1/(1+EXP(-MAX(-25,MIN(25,D670))))</f>
        <v/>
      </c>
      <c r="F670">
        <f>SUMPRODUCT(Risk_Inputs!B670:AJ670,Risk_Coefs!$B$3:$AJ$3)</f>
        <v/>
      </c>
      <c r="G670">
        <f>MAX(0,F670)</f>
        <v/>
      </c>
      <c r="H670">
        <f>(SUMPRODUCT(--ISNUMBER($E$2:$E$800),--($E$2:$E$800&lt;E670))+(SUMPRODUCT(--ISNUMBER($E$2:$E$800),--($E$2:$E$800=E670))+1)/2)/COUNT($E$2:$E$800)</f>
        <v/>
      </c>
      <c r="I670">
        <f>(SUMPRODUCT(--ISNUMBER($G$2:$G$800),--($G$2:$G$800&lt;G670))+(SUMPRODUCT(--ISNUMBER($G$2:$G$800),--($G$2:$G$800=G670))+1)/2)/COUNT($G$2:$G$800)</f>
        <v/>
      </c>
      <c r="J670" t="n">
        <v>6.880894516287408</v>
      </c>
      <c r="K670" t="n">
        <v>2.177989326409927</v>
      </c>
      <c r="L670" t="n">
        <v>0.2596278667243552</v>
      </c>
      <c r="M670">
        <f>IF(OR(B670="NW",COUNT(Risk_Rank_Keys!B670)=0),0.5,(SUMPRODUCT(--ISNUMBER(Risk_Rank_Keys!$B$2:$B$800),--(Risk_Rank_Keys!$B$2:$B$800&lt;Risk_Rank_Keys!B670))+(SUMPRODUCT(--ISNUMBER(Risk_Rank_Keys!$B$2:$B$800),--(Risk_Rank_Keys!$B$2:$B$800=Risk_Rank_Keys!B670))+1)/2)/COUNT(Risk_Rank_Keys!$B$2:$B$800))</f>
        <v/>
      </c>
      <c r="N670">
        <f>IF(OR(B670="NW",COUNT(Risk_Rank_Keys!C670)=0),0.5,(SUMPRODUCT(--ISNUMBER(Risk_Rank_Keys!$C$2:$C$800),--(Risk_Rank_Keys!$C$2:$C$800&lt;Risk_Rank_Keys!C670))+(SUMPRODUCT(--ISNUMBER(Risk_Rank_Keys!$C$2:$C$800),--(Risk_Rank_Keys!$C$2:$C$800=Risk_Rank_Keys!C670))+1)/2)/COUNT(Risk_Rank_Keys!$C$2:$C$800))</f>
        <v/>
      </c>
      <c r="O670">
        <f>IF(OR(B670="NW",COUNT(Risk_Rank_Keys!D670)=0),0.5,(SUMPRODUCT(--ISNUMBER(Risk_Rank_Keys!$D$2:$D$800),--(Risk_Rank_Keys!$D$2:$D$800&lt;Risk_Rank_Keys!D670))+(SUMPRODUCT(--ISNUMBER(Risk_Rank_Keys!$D$2:$D$800),--(Risk_Rank_Keys!$D$2:$D$800=Risk_Rank_Keys!D670))+1)/2)/COUNT(Risk_Rank_Keys!$D$2:$D$800))</f>
        <v/>
      </c>
      <c r="P670">
        <f>AVERAGE(M670:O670)</f>
        <v/>
      </c>
      <c r="Q670">
        <f>0.4*H670+0.4*I670+0.2*P670</f>
        <v/>
      </c>
      <c r="R670">
        <f>PERCENTILE($Q$2:$Q$800,0.75)</f>
        <v/>
      </c>
      <c r="S670">
        <f>OR(Q670&gt;=R670,AND(B670="CW",COUNT(J670:L670)&lt;3))</f>
        <v/>
      </c>
      <c r="T670" t="n">
        <v>0.3376498354348971</v>
      </c>
      <c r="U670" t="n">
        <v>8.431783303242128</v>
      </c>
      <c r="V670" t="n">
        <v>0.6307514797960492</v>
      </c>
      <c r="W670">
        <f>Q670-V670</f>
        <v/>
      </c>
    </row>
    <row r="671">
      <c r="A671" t="inlineStr">
        <is>
          <t>2025-05-20</t>
        </is>
      </c>
      <c r="B671" t="inlineStr">
        <is>
          <t>CW</t>
        </is>
      </c>
      <c r="C671" t="n">
        <v>-15.72383370653993</v>
      </c>
      <c r="D671">
        <f>SUMPRODUCT(Risk_Inputs!B671:AJ671,Risk_Coefs!$B$2:$AJ$2)</f>
        <v/>
      </c>
      <c r="E671">
        <f>1/(1+EXP(-MAX(-25,MIN(25,D671))))</f>
        <v/>
      </c>
      <c r="F671">
        <f>SUMPRODUCT(Risk_Inputs!B671:AJ671,Risk_Coefs!$B$3:$AJ$3)</f>
        <v/>
      </c>
      <c r="G671">
        <f>MAX(0,F671)</f>
        <v/>
      </c>
      <c r="H671">
        <f>(SUMPRODUCT(--ISNUMBER($E$2:$E$800),--($E$2:$E$800&lt;E671))+(SUMPRODUCT(--ISNUMBER($E$2:$E$800),--($E$2:$E$800=E671))+1)/2)/COUNT($E$2:$E$800)</f>
        <v/>
      </c>
      <c r="I671">
        <f>(SUMPRODUCT(--ISNUMBER($G$2:$G$800),--($G$2:$G$800&lt;G671))+(SUMPRODUCT(--ISNUMBER($G$2:$G$800),--($G$2:$G$800=G671))+1)/2)/COUNT($G$2:$G$800)</f>
        <v/>
      </c>
      <c r="J671" t="n">
        <v>6.202059083617216</v>
      </c>
      <c r="K671" t="n">
        <v>2.882320543418404</v>
      </c>
      <c r="L671" t="n">
        <v>0.2203047549109685</v>
      </c>
      <c r="M671">
        <f>IF(OR(B671="NW",COUNT(Risk_Rank_Keys!B671)=0),0.5,(SUMPRODUCT(--ISNUMBER(Risk_Rank_Keys!$B$2:$B$800),--(Risk_Rank_Keys!$B$2:$B$800&lt;Risk_Rank_Keys!B671))+(SUMPRODUCT(--ISNUMBER(Risk_Rank_Keys!$B$2:$B$800),--(Risk_Rank_Keys!$B$2:$B$800=Risk_Rank_Keys!B671))+1)/2)/COUNT(Risk_Rank_Keys!$B$2:$B$800))</f>
        <v/>
      </c>
      <c r="N671">
        <f>IF(OR(B671="NW",COUNT(Risk_Rank_Keys!C671)=0),0.5,(SUMPRODUCT(--ISNUMBER(Risk_Rank_Keys!$C$2:$C$800),--(Risk_Rank_Keys!$C$2:$C$800&lt;Risk_Rank_Keys!C671))+(SUMPRODUCT(--ISNUMBER(Risk_Rank_Keys!$C$2:$C$800),--(Risk_Rank_Keys!$C$2:$C$800=Risk_Rank_Keys!C671))+1)/2)/COUNT(Risk_Rank_Keys!$C$2:$C$800))</f>
        <v/>
      </c>
      <c r="O671">
        <f>IF(OR(B671="NW",COUNT(Risk_Rank_Keys!D671)=0),0.5,(SUMPRODUCT(--ISNUMBER(Risk_Rank_Keys!$D$2:$D$800),--(Risk_Rank_Keys!$D$2:$D$800&lt;Risk_Rank_Keys!D671))+(SUMPRODUCT(--ISNUMBER(Risk_Rank_Keys!$D$2:$D$800),--(Risk_Rank_Keys!$D$2:$D$800=Risk_Rank_Keys!D671))+1)/2)/COUNT(Risk_Rank_Keys!$D$2:$D$800))</f>
        <v/>
      </c>
      <c r="P671">
        <f>AVERAGE(M671:O671)</f>
        <v/>
      </c>
      <c r="Q671">
        <f>0.4*H671+0.4*I671+0.2*P671</f>
        <v/>
      </c>
      <c r="R671">
        <f>PERCENTILE($Q$2:$Q$800,0.75)</f>
        <v/>
      </c>
      <c r="S671">
        <f>OR(Q671&gt;=R671,AND(B671="CW",COUNT(J671:L671)&lt;3))</f>
        <v/>
      </c>
      <c r="T671" t="n">
        <v>0.263979504663708</v>
      </c>
      <c r="U671" t="n">
        <v>7.056512094464451</v>
      </c>
      <c r="V671" t="n">
        <v>0.3888915072245701</v>
      </c>
      <c r="W671">
        <f>Q671-V671</f>
        <v/>
      </c>
    </row>
    <row r="672">
      <c r="A672" t="inlineStr">
        <is>
          <t>2025-05-21</t>
        </is>
      </c>
      <c r="B672" t="inlineStr">
        <is>
          <t>CW</t>
        </is>
      </c>
      <c r="C672" t="n">
        <v>-33.4635507142994</v>
      </c>
      <c r="D672">
        <f>SUMPRODUCT(Risk_Inputs!B672:AJ672,Risk_Coefs!$B$2:$AJ$2)</f>
        <v/>
      </c>
      <c r="E672">
        <f>1/(1+EXP(-MAX(-25,MIN(25,D672))))</f>
        <v/>
      </c>
      <c r="F672">
        <f>SUMPRODUCT(Risk_Inputs!B672:AJ672,Risk_Coefs!$B$3:$AJ$3)</f>
        <v/>
      </c>
      <c r="G672">
        <f>MAX(0,F672)</f>
        <v/>
      </c>
      <c r="H672">
        <f>(SUMPRODUCT(--ISNUMBER($E$2:$E$800),--($E$2:$E$800&lt;E672))+(SUMPRODUCT(--ISNUMBER($E$2:$E$800),--($E$2:$E$800=E672))+1)/2)/COUNT($E$2:$E$800)</f>
        <v/>
      </c>
      <c r="I672">
        <f>(SUMPRODUCT(--ISNUMBER($G$2:$G$800),--($G$2:$G$800&lt;G672))+(SUMPRODUCT(--ISNUMBER($G$2:$G$800),--($G$2:$G$800=G672))+1)/2)/COUNT($G$2:$G$800)</f>
        <v/>
      </c>
      <c r="J672" t="n">
        <v>13.43066520223901</v>
      </c>
      <c r="K672" t="n">
        <v>2.855200543847716</v>
      </c>
      <c r="L672" t="n">
        <v>0.2719238613188346</v>
      </c>
      <c r="M672">
        <f>IF(OR(B672="NW",COUNT(Risk_Rank_Keys!B672)=0),0.5,(SUMPRODUCT(--ISNUMBER(Risk_Rank_Keys!$B$2:$B$800),--(Risk_Rank_Keys!$B$2:$B$800&lt;Risk_Rank_Keys!B672))+(SUMPRODUCT(--ISNUMBER(Risk_Rank_Keys!$B$2:$B$800),--(Risk_Rank_Keys!$B$2:$B$800=Risk_Rank_Keys!B672))+1)/2)/COUNT(Risk_Rank_Keys!$B$2:$B$800))</f>
        <v/>
      </c>
      <c r="N672">
        <f>IF(OR(B672="NW",COUNT(Risk_Rank_Keys!C672)=0),0.5,(SUMPRODUCT(--ISNUMBER(Risk_Rank_Keys!$C$2:$C$800),--(Risk_Rank_Keys!$C$2:$C$800&lt;Risk_Rank_Keys!C672))+(SUMPRODUCT(--ISNUMBER(Risk_Rank_Keys!$C$2:$C$800),--(Risk_Rank_Keys!$C$2:$C$800=Risk_Rank_Keys!C672))+1)/2)/COUNT(Risk_Rank_Keys!$C$2:$C$800))</f>
        <v/>
      </c>
      <c r="O672">
        <f>IF(OR(B672="NW",COUNT(Risk_Rank_Keys!D672)=0),0.5,(SUMPRODUCT(--ISNUMBER(Risk_Rank_Keys!$D$2:$D$800),--(Risk_Rank_Keys!$D$2:$D$800&lt;Risk_Rank_Keys!D672))+(SUMPRODUCT(--ISNUMBER(Risk_Rank_Keys!$D$2:$D$800),--(Risk_Rank_Keys!$D$2:$D$800=Risk_Rank_Keys!D672))+1)/2)/COUNT(Risk_Rank_Keys!$D$2:$D$800))</f>
        <v/>
      </c>
      <c r="P672">
        <f>AVERAGE(M672:O672)</f>
        <v/>
      </c>
      <c r="Q672">
        <f>0.4*H672+0.4*I672+0.2*P672</f>
        <v/>
      </c>
      <c r="R672">
        <f>PERCENTILE($Q$2:$Q$800,0.75)</f>
        <v/>
      </c>
      <c r="S672">
        <f>OR(Q672&gt;=R672,AND(B672="CW",COUNT(J672:L672)&lt;3))</f>
        <v/>
      </c>
      <c r="T672" t="n">
        <v>0.2570546322103265</v>
      </c>
      <c r="U672" t="n">
        <v>7.954549809335091</v>
      </c>
      <c r="V672" t="n">
        <v>0.4580667722146872</v>
      </c>
      <c r="W672">
        <f>Q672-V672</f>
        <v/>
      </c>
    </row>
    <row r="673">
      <c r="A673" t="inlineStr">
        <is>
          <t>2025-05-22</t>
        </is>
      </c>
      <c r="B673" t="inlineStr">
        <is>
          <t>CW</t>
        </is>
      </c>
      <c r="C673" t="n">
        <v>71.25590450189777</v>
      </c>
      <c r="D673">
        <f>SUMPRODUCT(Risk_Inputs!B673:AJ673,Risk_Coefs!$B$2:$AJ$2)</f>
        <v/>
      </c>
      <c r="E673">
        <f>1/(1+EXP(-MAX(-25,MIN(25,D673))))</f>
        <v/>
      </c>
      <c r="F673">
        <f>SUMPRODUCT(Risk_Inputs!B673:AJ673,Risk_Coefs!$B$3:$AJ$3)</f>
        <v/>
      </c>
      <c r="G673">
        <f>MAX(0,F673)</f>
        <v/>
      </c>
      <c r="H673">
        <f>(SUMPRODUCT(--ISNUMBER($E$2:$E$800),--($E$2:$E$800&lt;E673))+(SUMPRODUCT(--ISNUMBER($E$2:$E$800),--($E$2:$E$800=E673))+1)/2)/COUNT($E$2:$E$800)</f>
        <v/>
      </c>
      <c r="I673">
        <f>(SUMPRODUCT(--ISNUMBER($G$2:$G$800),--($G$2:$G$800&lt;G673))+(SUMPRODUCT(--ISNUMBER($G$2:$G$800),--($G$2:$G$800=G673))+1)/2)/COUNT($G$2:$G$800)</f>
        <v/>
      </c>
      <c r="J673" t="n">
        <v>9.404897032593126</v>
      </c>
      <c r="K673" t="n">
        <v>7.448453608247431</v>
      </c>
      <c r="L673" t="n">
        <v>0.2835051546391737</v>
      </c>
      <c r="M673">
        <f>IF(OR(B673="NW",COUNT(Risk_Rank_Keys!B673)=0),0.5,(SUMPRODUCT(--ISNUMBER(Risk_Rank_Keys!$B$2:$B$800),--(Risk_Rank_Keys!$B$2:$B$800&lt;Risk_Rank_Keys!B673))+(SUMPRODUCT(--ISNUMBER(Risk_Rank_Keys!$B$2:$B$800),--(Risk_Rank_Keys!$B$2:$B$800=Risk_Rank_Keys!B673))+1)/2)/COUNT(Risk_Rank_Keys!$B$2:$B$800))</f>
        <v/>
      </c>
      <c r="N673">
        <f>IF(OR(B673="NW",COUNT(Risk_Rank_Keys!C673)=0),0.5,(SUMPRODUCT(--ISNUMBER(Risk_Rank_Keys!$C$2:$C$800),--(Risk_Rank_Keys!$C$2:$C$800&lt;Risk_Rank_Keys!C673))+(SUMPRODUCT(--ISNUMBER(Risk_Rank_Keys!$C$2:$C$800),--(Risk_Rank_Keys!$C$2:$C$800=Risk_Rank_Keys!C673))+1)/2)/COUNT(Risk_Rank_Keys!$C$2:$C$800))</f>
        <v/>
      </c>
      <c r="O673">
        <f>IF(OR(B673="NW",COUNT(Risk_Rank_Keys!D673)=0),0.5,(SUMPRODUCT(--ISNUMBER(Risk_Rank_Keys!$D$2:$D$800),--(Risk_Rank_Keys!$D$2:$D$800&lt;Risk_Rank_Keys!D673))+(SUMPRODUCT(--ISNUMBER(Risk_Rank_Keys!$D$2:$D$800),--(Risk_Rank_Keys!$D$2:$D$800=Risk_Rank_Keys!D673))+1)/2)/COUNT(Risk_Rank_Keys!$D$2:$D$800))</f>
        <v/>
      </c>
      <c r="P673">
        <f>AVERAGE(M673:O673)</f>
        <v/>
      </c>
      <c r="Q673">
        <f>0.4*H673+0.4*I673+0.2*P673</f>
        <v/>
      </c>
      <c r="R673">
        <f>PERCENTILE($Q$2:$Q$800,0.75)</f>
        <v/>
      </c>
      <c r="S673">
        <f>OR(Q673&gt;=R673,AND(B673="CW",COUNT(J673:L673)&lt;3))</f>
        <v/>
      </c>
      <c r="T673" t="n">
        <v>0.2911921302501168</v>
      </c>
      <c r="U673" t="n">
        <v>11.00066496393709</v>
      </c>
      <c r="V673" t="n">
        <v>0.695550283973051</v>
      </c>
      <c r="W673">
        <f>Q673-V673</f>
        <v/>
      </c>
    </row>
    <row r="674">
      <c r="A674" t="inlineStr">
        <is>
          <t>2025-05-23</t>
        </is>
      </c>
      <c r="B674" t="inlineStr">
        <is>
          <t>CW</t>
        </is>
      </c>
      <c r="C674" t="n">
        <v>-38.79295930090986</v>
      </c>
      <c r="D674">
        <f>SUMPRODUCT(Risk_Inputs!B674:AJ674,Risk_Coefs!$B$2:$AJ$2)</f>
        <v/>
      </c>
      <c r="E674">
        <f>1/(1+EXP(-MAX(-25,MIN(25,D674))))</f>
        <v/>
      </c>
      <c r="F674">
        <f>SUMPRODUCT(Risk_Inputs!B674:AJ674,Risk_Coefs!$B$3:$AJ$3)</f>
        <v/>
      </c>
      <c r="G674">
        <f>MAX(0,F674)</f>
        <v/>
      </c>
      <c r="H674">
        <f>(SUMPRODUCT(--ISNUMBER($E$2:$E$800),--($E$2:$E$800&lt;E674))+(SUMPRODUCT(--ISNUMBER($E$2:$E$800),--($E$2:$E$800=E674))+1)/2)/COUNT($E$2:$E$800)</f>
        <v/>
      </c>
      <c r="I674">
        <f>(SUMPRODUCT(--ISNUMBER($G$2:$G$800),--($G$2:$G$800&lt;G674))+(SUMPRODUCT(--ISNUMBER($G$2:$G$800),--($G$2:$G$800=G674))+1)/2)/COUNT($G$2:$G$800)</f>
        <v/>
      </c>
      <c r="J674" t="n">
        <v>9.556427559844044</v>
      </c>
      <c r="K674" t="n">
        <v>1.075544174135721</v>
      </c>
      <c r="L674" t="n">
        <v>0.1920614596670934</v>
      </c>
      <c r="M674">
        <f>IF(OR(B674="NW",COUNT(Risk_Rank_Keys!B674)=0),0.5,(SUMPRODUCT(--ISNUMBER(Risk_Rank_Keys!$B$2:$B$800),--(Risk_Rank_Keys!$B$2:$B$800&lt;Risk_Rank_Keys!B674))+(SUMPRODUCT(--ISNUMBER(Risk_Rank_Keys!$B$2:$B$800),--(Risk_Rank_Keys!$B$2:$B$800=Risk_Rank_Keys!B674))+1)/2)/COUNT(Risk_Rank_Keys!$B$2:$B$800))</f>
        <v/>
      </c>
      <c r="N674">
        <f>IF(OR(B674="NW",COUNT(Risk_Rank_Keys!C674)=0),0.5,(SUMPRODUCT(--ISNUMBER(Risk_Rank_Keys!$C$2:$C$800),--(Risk_Rank_Keys!$C$2:$C$800&lt;Risk_Rank_Keys!C674))+(SUMPRODUCT(--ISNUMBER(Risk_Rank_Keys!$C$2:$C$800),--(Risk_Rank_Keys!$C$2:$C$800=Risk_Rank_Keys!C674))+1)/2)/COUNT(Risk_Rank_Keys!$C$2:$C$800))</f>
        <v/>
      </c>
      <c r="O674">
        <f>IF(OR(B674="NW",COUNT(Risk_Rank_Keys!D674)=0),0.5,(SUMPRODUCT(--ISNUMBER(Risk_Rank_Keys!$D$2:$D$800),--(Risk_Rank_Keys!$D$2:$D$800&lt;Risk_Rank_Keys!D674))+(SUMPRODUCT(--ISNUMBER(Risk_Rank_Keys!$D$2:$D$800),--(Risk_Rank_Keys!$D$2:$D$800=Risk_Rank_Keys!D674))+1)/2)/COUNT(Risk_Rank_Keys!$D$2:$D$800))</f>
        <v/>
      </c>
      <c r="P674">
        <f>AVERAGE(M674:O674)</f>
        <v/>
      </c>
      <c r="Q674">
        <f>0.4*H674+0.4*I674+0.2*P674</f>
        <v/>
      </c>
      <c r="R674">
        <f>PERCENTILE($Q$2:$Q$800,0.75)</f>
        <v/>
      </c>
      <c r="S674">
        <f>OR(Q674&gt;=R674,AND(B674="CW",COUNT(J674:L674)&lt;3))</f>
        <v/>
      </c>
      <c r="T674" t="n">
        <v>0.2463977108483268</v>
      </c>
      <c r="U674" t="n">
        <v>6.491800601105398</v>
      </c>
      <c r="V674" t="n">
        <v>0.2887360944555869</v>
      </c>
      <c r="W674">
        <f>Q674-V674</f>
        <v/>
      </c>
    </row>
    <row r="675">
      <c r="A675" t="inlineStr">
        <is>
          <t>2025-05-26</t>
        </is>
      </c>
      <c r="B675" t="inlineStr">
        <is>
          <t>CW</t>
        </is>
      </c>
      <c r="C675" t="n">
        <v>-35.34945723525694</v>
      </c>
      <c r="D675">
        <f>SUMPRODUCT(Risk_Inputs!B675:AJ675,Risk_Coefs!$B$2:$AJ$2)</f>
        <v/>
      </c>
      <c r="E675">
        <f>1/(1+EXP(-MAX(-25,MIN(25,D675))))</f>
        <v/>
      </c>
      <c r="F675">
        <f>SUMPRODUCT(Risk_Inputs!B675:AJ675,Risk_Coefs!$B$3:$AJ$3)</f>
        <v/>
      </c>
      <c r="G675">
        <f>MAX(0,F675)</f>
        <v/>
      </c>
      <c r="H675">
        <f>(SUMPRODUCT(--ISNUMBER($E$2:$E$800),--($E$2:$E$800&lt;E675))+(SUMPRODUCT(--ISNUMBER($E$2:$E$800),--($E$2:$E$800=E675))+1)/2)/COUNT($E$2:$E$800)</f>
        <v/>
      </c>
      <c r="I675">
        <f>(SUMPRODUCT(--ISNUMBER($G$2:$G$800),--($G$2:$G$800&lt;G675))+(SUMPRODUCT(--ISNUMBER($G$2:$G$800),--($G$2:$G$800=G675))+1)/2)/COUNT($G$2:$G$800)</f>
        <v/>
      </c>
      <c r="J675" t="n">
        <v>7.131356795563196</v>
      </c>
      <c r="K675" t="n">
        <v>1.623733365889385</v>
      </c>
      <c r="L675" t="n">
        <v>0.1709193016725716</v>
      </c>
      <c r="M675">
        <f>IF(OR(B675="NW",COUNT(Risk_Rank_Keys!B675)=0),0.5,(SUMPRODUCT(--ISNUMBER(Risk_Rank_Keys!$B$2:$B$800),--(Risk_Rank_Keys!$B$2:$B$800&lt;Risk_Rank_Keys!B675))+(SUMPRODUCT(--ISNUMBER(Risk_Rank_Keys!$B$2:$B$800),--(Risk_Rank_Keys!$B$2:$B$800=Risk_Rank_Keys!B675))+1)/2)/COUNT(Risk_Rank_Keys!$B$2:$B$800))</f>
        <v/>
      </c>
      <c r="N675">
        <f>IF(OR(B675="NW",COUNT(Risk_Rank_Keys!C675)=0),0.5,(SUMPRODUCT(--ISNUMBER(Risk_Rank_Keys!$C$2:$C$800),--(Risk_Rank_Keys!$C$2:$C$800&lt;Risk_Rank_Keys!C675))+(SUMPRODUCT(--ISNUMBER(Risk_Rank_Keys!$C$2:$C$800),--(Risk_Rank_Keys!$C$2:$C$800=Risk_Rank_Keys!C675))+1)/2)/COUNT(Risk_Rank_Keys!$C$2:$C$800))</f>
        <v/>
      </c>
      <c r="O675">
        <f>IF(OR(B675="NW",COUNT(Risk_Rank_Keys!D675)=0),0.5,(SUMPRODUCT(--ISNUMBER(Risk_Rank_Keys!$D$2:$D$800),--(Risk_Rank_Keys!$D$2:$D$800&lt;Risk_Rank_Keys!D675))+(SUMPRODUCT(--ISNUMBER(Risk_Rank_Keys!$D$2:$D$800),--(Risk_Rank_Keys!$D$2:$D$800=Risk_Rank_Keys!D675))+1)/2)/COUNT(Risk_Rank_Keys!$D$2:$D$800))</f>
        <v/>
      </c>
      <c r="P675">
        <f>AVERAGE(M675:O675)</f>
        <v/>
      </c>
      <c r="Q675">
        <f>0.4*H675+0.4*I675+0.2*P675</f>
        <v/>
      </c>
      <c r="R675">
        <f>PERCENTILE($Q$2:$Q$800,0.75)</f>
        <v/>
      </c>
      <c r="S675">
        <f>OR(Q675&gt;=R675,AND(B675="CW",COUNT(J675:L675)&lt;3))</f>
        <v/>
      </c>
      <c r="T675" t="n">
        <v>0.3592274146923352</v>
      </c>
      <c r="U675" t="n">
        <v>10.09545556944297</v>
      </c>
      <c r="V675" t="n">
        <v>0.7024884080460874</v>
      </c>
      <c r="W675">
        <f>Q675-V675</f>
        <v/>
      </c>
    </row>
    <row r="676">
      <c r="A676" t="inlineStr">
        <is>
          <t>2025-05-27</t>
        </is>
      </c>
      <c r="B676" t="inlineStr">
        <is>
          <t>CW</t>
        </is>
      </c>
      <c r="C676" t="n">
        <v>-42.7131791844163</v>
      </c>
      <c r="D676">
        <f>SUMPRODUCT(Risk_Inputs!B676:AJ676,Risk_Coefs!$B$2:$AJ$2)</f>
        <v/>
      </c>
      <c r="E676">
        <f>1/(1+EXP(-MAX(-25,MIN(25,D676))))</f>
        <v/>
      </c>
      <c r="F676">
        <f>SUMPRODUCT(Risk_Inputs!B676:AJ676,Risk_Coefs!$B$3:$AJ$3)</f>
        <v/>
      </c>
      <c r="G676">
        <f>MAX(0,F676)</f>
        <v/>
      </c>
      <c r="H676">
        <f>(SUMPRODUCT(--ISNUMBER($E$2:$E$800),--($E$2:$E$800&lt;E676))+(SUMPRODUCT(--ISNUMBER($E$2:$E$800),--($E$2:$E$800=E676))+1)/2)/COUNT($E$2:$E$800)</f>
        <v/>
      </c>
      <c r="I676">
        <f>(SUMPRODUCT(--ISNUMBER($G$2:$G$800),--($G$2:$G$800&lt;G676))+(SUMPRODUCT(--ISNUMBER($G$2:$G$800),--($G$2:$G$800=G676))+1)/2)/COUNT($G$2:$G$800)</f>
        <v/>
      </c>
      <c r="J676" t="n">
        <v>39.04637884403515</v>
      </c>
      <c r="K676" t="n">
        <v>8.592193177822068</v>
      </c>
      <c r="L676" t="n">
        <v>0.2461610596647481</v>
      </c>
      <c r="M676">
        <f>IF(OR(B676="NW",COUNT(Risk_Rank_Keys!B676)=0),0.5,(SUMPRODUCT(--ISNUMBER(Risk_Rank_Keys!$B$2:$B$800),--(Risk_Rank_Keys!$B$2:$B$800&lt;Risk_Rank_Keys!B676))+(SUMPRODUCT(--ISNUMBER(Risk_Rank_Keys!$B$2:$B$800),--(Risk_Rank_Keys!$B$2:$B$800=Risk_Rank_Keys!B676))+1)/2)/COUNT(Risk_Rank_Keys!$B$2:$B$800))</f>
        <v/>
      </c>
      <c r="N676">
        <f>IF(OR(B676="NW",COUNT(Risk_Rank_Keys!C676)=0),0.5,(SUMPRODUCT(--ISNUMBER(Risk_Rank_Keys!$C$2:$C$800),--(Risk_Rank_Keys!$C$2:$C$800&lt;Risk_Rank_Keys!C676))+(SUMPRODUCT(--ISNUMBER(Risk_Rank_Keys!$C$2:$C$800),--(Risk_Rank_Keys!$C$2:$C$800=Risk_Rank_Keys!C676))+1)/2)/COUNT(Risk_Rank_Keys!$C$2:$C$800))</f>
        <v/>
      </c>
      <c r="O676">
        <f>IF(OR(B676="NW",COUNT(Risk_Rank_Keys!D676)=0),0.5,(SUMPRODUCT(--ISNUMBER(Risk_Rank_Keys!$D$2:$D$800),--(Risk_Rank_Keys!$D$2:$D$800&lt;Risk_Rank_Keys!D676))+(SUMPRODUCT(--ISNUMBER(Risk_Rank_Keys!$D$2:$D$800),--(Risk_Rank_Keys!$D$2:$D$800=Risk_Rank_Keys!D676))+1)/2)/COUNT(Risk_Rank_Keys!$D$2:$D$800))</f>
        <v/>
      </c>
      <c r="P676">
        <f>AVERAGE(M676:O676)</f>
        <v/>
      </c>
      <c r="Q676">
        <f>0.4*H676+0.4*I676+0.2*P676</f>
        <v/>
      </c>
      <c r="R676">
        <f>PERCENTILE($Q$2:$Q$800,0.75)</f>
        <v/>
      </c>
      <c r="S676">
        <f>OR(Q676&gt;=R676,AND(B676="CW",COUNT(J676:L676)&lt;3))</f>
        <v/>
      </c>
      <c r="T676" t="n">
        <v>0.2217823432191645</v>
      </c>
      <c r="U676" t="n">
        <v>6.378328232522787</v>
      </c>
      <c r="V676" t="n">
        <v>0.3474669929694778</v>
      </c>
      <c r="W676">
        <f>Q676-V676</f>
        <v/>
      </c>
    </row>
    <row r="677">
      <c r="A677" t="inlineStr">
        <is>
          <t>2025-05-28</t>
        </is>
      </c>
      <c r="B677" t="inlineStr">
        <is>
          <t>CW</t>
        </is>
      </c>
      <c r="C677" t="n">
        <v>81.45020438955341</v>
      </c>
      <c r="D677">
        <f>SUMPRODUCT(Risk_Inputs!B677:AJ677,Risk_Coefs!$B$2:$AJ$2)</f>
        <v/>
      </c>
      <c r="E677">
        <f>1/(1+EXP(-MAX(-25,MIN(25,D677))))</f>
        <v/>
      </c>
      <c r="F677">
        <f>SUMPRODUCT(Risk_Inputs!B677:AJ677,Risk_Coefs!$B$3:$AJ$3)</f>
        <v/>
      </c>
      <c r="G677">
        <f>MAX(0,F677)</f>
        <v/>
      </c>
      <c r="H677">
        <f>(SUMPRODUCT(--ISNUMBER($E$2:$E$800),--($E$2:$E$800&lt;E677))+(SUMPRODUCT(--ISNUMBER($E$2:$E$800),--($E$2:$E$800=E677))+1)/2)/COUNT($E$2:$E$800)</f>
        <v/>
      </c>
      <c r="I677">
        <f>(SUMPRODUCT(--ISNUMBER($G$2:$G$800),--($G$2:$G$800&lt;G677))+(SUMPRODUCT(--ISNUMBER($G$2:$G$800),--($G$2:$G$800=G677))+1)/2)/COUNT($G$2:$G$800)</f>
        <v/>
      </c>
      <c r="J677" t="n">
        <v>36.98577981374272</v>
      </c>
      <c r="K677" t="n">
        <v>14.20020376974019</v>
      </c>
      <c r="L677" t="n">
        <v>0.2674477840040782</v>
      </c>
      <c r="M677">
        <f>IF(OR(B677="NW",COUNT(Risk_Rank_Keys!B677)=0),0.5,(SUMPRODUCT(--ISNUMBER(Risk_Rank_Keys!$B$2:$B$800),--(Risk_Rank_Keys!$B$2:$B$800&lt;Risk_Rank_Keys!B677))+(SUMPRODUCT(--ISNUMBER(Risk_Rank_Keys!$B$2:$B$800),--(Risk_Rank_Keys!$B$2:$B$800=Risk_Rank_Keys!B677))+1)/2)/COUNT(Risk_Rank_Keys!$B$2:$B$800))</f>
        <v/>
      </c>
      <c r="N677">
        <f>IF(OR(B677="NW",COUNT(Risk_Rank_Keys!C677)=0),0.5,(SUMPRODUCT(--ISNUMBER(Risk_Rank_Keys!$C$2:$C$800),--(Risk_Rank_Keys!$C$2:$C$800&lt;Risk_Rank_Keys!C677))+(SUMPRODUCT(--ISNUMBER(Risk_Rank_Keys!$C$2:$C$800),--(Risk_Rank_Keys!$C$2:$C$800=Risk_Rank_Keys!C677))+1)/2)/COUNT(Risk_Rank_Keys!$C$2:$C$800))</f>
        <v/>
      </c>
      <c r="O677">
        <f>IF(OR(B677="NW",COUNT(Risk_Rank_Keys!D677)=0),0.5,(SUMPRODUCT(--ISNUMBER(Risk_Rank_Keys!$D$2:$D$800),--(Risk_Rank_Keys!$D$2:$D$800&lt;Risk_Rank_Keys!D677))+(SUMPRODUCT(--ISNUMBER(Risk_Rank_Keys!$D$2:$D$800),--(Risk_Rank_Keys!$D$2:$D$800=Risk_Rank_Keys!D677))+1)/2)/COUNT(Risk_Rank_Keys!$D$2:$D$800))</f>
        <v/>
      </c>
      <c r="P677">
        <f>AVERAGE(M677:O677)</f>
        <v/>
      </c>
      <c r="Q677">
        <f>0.4*H677+0.4*I677+0.2*P677</f>
        <v/>
      </c>
      <c r="R677">
        <f>PERCENTILE($Q$2:$Q$800,0.75)</f>
        <v/>
      </c>
      <c r="S677">
        <f>OR(Q677&gt;=R677,AND(B677="CW",COUNT(J677:L677)&lt;3))</f>
        <v/>
      </c>
      <c r="T677" t="n">
        <v>0.2082275527086238</v>
      </c>
      <c r="U677" t="n">
        <v>7.440849538800731</v>
      </c>
      <c r="V677" t="n">
        <v>0.4040313059851081</v>
      </c>
      <c r="W677">
        <f>Q677-V677</f>
        <v/>
      </c>
    </row>
    <row r="678">
      <c r="A678" t="inlineStr">
        <is>
          <t>2025-05-29</t>
        </is>
      </c>
      <c r="B678" t="inlineStr">
        <is>
          <t>CW</t>
        </is>
      </c>
      <c r="C678" t="n">
        <v>47.61312284664527</v>
      </c>
      <c r="D678">
        <f>SUMPRODUCT(Risk_Inputs!B678:AJ678,Risk_Coefs!$B$2:$AJ$2)</f>
        <v/>
      </c>
      <c r="E678">
        <f>1/(1+EXP(-MAX(-25,MIN(25,D678))))</f>
        <v/>
      </c>
      <c r="F678">
        <f>SUMPRODUCT(Risk_Inputs!B678:AJ678,Risk_Coefs!$B$3:$AJ$3)</f>
        <v/>
      </c>
      <c r="G678">
        <f>MAX(0,F678)</f>
        <v/>
      </c>
      <c r="H678">
        <f>(SUMPRODUCT(--ISNUMBER($E$2:$E$800),--($E$2:$E$800&lt;E678))+(SUMPRODUCT(--ISNUMBER($E$2:$E$800),--($E$2:$E$800=E678))+1)/2)/COUNT($E$2:$E$800)</f>
        <v/>
      </c>
      <c r="I678">
        <f>(SUMPRODUCT(--ISNUMBER($G$2:$G$800),--($G$2:$G$800&lt;G678))+(SUMPRODUCT(--ISNUMBER($G$2:$G$800),--($G$2:$G$800=G678))+1)/2)/COUNT($G$2:$G$800)</f>
        <v/>
      </c>
      <c r="J678" t="n">
        <v>35.26515136301131</v>
      </c>
      <c r="K678" t="n">
        <v>17.86310517529215</v>
      </c>
      <c r="L678" t="n">
        <v>0.3338898163605978</v>
      </c>
      <c r="M678">
        <f>IF(OR(B678="NW",COUNT(Risk_Rank_Keys!B678)=0),0.5,(SUMPRODUCT(--ISNUMBER(Risk_Rank_Keys!$B$2:$B$800),--(Risk_Rank_Keys!$B$2:$B$800&lt;Risk_Rank_Keys!B678))+(SUMPRODUCT(--ISNUMBER(Risk_Rank_Keys!$B$2:$B$800),--(Risk_Rank_Keys!$B$2:$B$800=Risk_Rank_Keys!B678))+1)/2)/COUNT(Risk_Rank_Keys!$B$2:$B$800))</f>
        <v/>
      </c>
      <c r="N678">
        <f>IF(OR(B678="NW",COUNT(Risk_Rank_Keys!C678)=0),0.5,(SUMPRODUCT(--ISNUMBER(Risk_Rank_Keys!$C$2:$C$800),--(Risk_Rank_Keys!$C$2:$C$800&lt;Risk_Rank_Keys!C678))+(SUMPRODUCT(--ISNUMBER(Risk_Rank_Keys!$C$2:$C$800),--(Risk_Rank_Keys!$C$2:$C$800=Risk_Rank_Keys!C678))+1)/2)/COUNT(Risk_Rank_Keys!$C$2:$C$800))</f>
        <v/>
      </c>
      <c r="O678">
        <f>IF(OR(B678="NW",COUNT(Risk_Rank_Keys!D678)=0),0.5,(SUMPRODUCT(--ISNUMBER(Risk_Rank_Keys!$D$2:$D$800),--(Risk_Rank_Keys!$D$2:$D$800&lt;Risk_Rank_Keys!D678))+(SUMPRODUCT(--ISNUMBER(Risk_Rank_Keys!$D$2:$D$800),--(Risk_Rank_Keys!$D$2:$D$800=Risk_Rank_Keys!D678))+1)/2)/COUNT(Risk_Rank_Keys!$D$2:$D$800))</f>
        <v/>
      </c>
      <c r="P678">
        <f>AVERAGE(M678:O678)</f>
        <v/>
      </c>
      <c r="Q678">
        <f>0.4*H678+0.4*I678+0.2*P678</f>
        <v/>
      </c>
      <c r="R678">
        <f>PERCENTILE($Q$2:$Q$800,0.75)</f>
        <v/>
      </c>
      <c r="S678">
        <f>OR(Q678&gt;=R678,AND(B678="CW",COUNT(J678:L678)&lt;3))</f>
        <v/>
      </c>
      <c r="T678" t="n">
        <v>0.1697342089819501</v>
      </c>
      <c r="U678" t="n">
        <v>5.295191196962598</v>
      </c>
      <c r="V678" t="n">
        <v>0.2624980435213938</v>
      </c>
      <c r="W678">
        <f>Q678-V678</f>
        <v/>
      </c>
    </row>
    <row r="679">
      <c r="A679" t="inlineStr">
        <is>
          <t>2025-06-02</t>
        </is>
      </c>
      <c r="B679" t="inlineStr">
        <is>
          <t>CW</t>
        </is>
      </c>
      <c r="C679" t="n">
        <v>52.8421067723564</v>
      </c>
      <c r="D679">
        <f>SUMPRODUCT(Risk_Inputs!B679:AJ679,Risk_Coefs!$B$2:$AJ$2)</f>
        <v/>
      </c>
      <c r="E679">
        <f>1/(1+EXP(-MAX(-25,MIN(25,D679))))</f>
        <v/>
      </c>
      <c r="F679">
        <f>SUMPRODUCT(Risk_Inputs!B679:AJ679,Risk_Coefs!$B$3:$AJ$3)</f>
        <v/>
      </c>
      <c r="G679">
        <f>MAX(0,F679)</f>
        <v/>
      </c>
      <c r="H679">
        <f>(SUMPRODUCT(--ISNUMBER($E$2:$E$800),--($E$2:$E$800&lt;E679))+(SUMPRODUCT(--ISNUMBER($E$2:$E$800),--($E$2:$E$800=E679))+1)/2)/COUNT($E$2:$E$800)</f>
        <v/>
      </c>
      <c r="I679">
        <f>(SUMPRODUCT(--ISNUMBER($G$2:$G$800),--($G$2:$G$800&lt;G679))+(SUMPRODUCT(--ISNUMBER($G$2:$G$800),--($G$2:$G$800=G679))+1)/2)/COUNT($G$2:$G$800)</f>
        <v/>
      </c>
      <c r="J679" t="n">
        <v>60.78749375053319</v>
      </c>
      <c r="K679" t="n">
        <v>6.006419073819346</v>
      </c>
      <c r="L679" t="n">
        <v>0.2751031636863863</v>
      </c>
      <c r="M679">
        <f>IF(OR(B679="NW",COUNT(Risk_Rank_Keys!B679)=0),0.5,(SUMPRODUCT(--ISNUMBER(Risk_Rank_Keys!$B$2:$B$800),--(Risk_Rank_Keys!$B$2:$B$800&lt;Risk_Rank_Keys!B679))+(SUMPRODUCT(--ISNUMBER(Risk_Rank_Keys!$B$2:$B$800),--(Risk_Rank_Keys!$B$2:$B$800=Risk_Rank_Keys!B679))+1)/2)/COUNT(Risk_Rank_Keys!$B$2:$B$800))</f>
        <v/>
      </c>
      <c r="N679">
        <f>IF(OR(B679="NW",COUNT(Risk_Rank_Keys!C679)=0),0.5,(SUMPRODUCT(--ISNUMBER(Risk_Rank_Keys!$C$2:$C$800),--(Risk_Rank_Keys!$C$2:$C$800&lt;Risk_Rank_Keys!C679))+(SUMPRODUCT(--ISNUMBER(Risk_Rank_Keys!$C$2:$C$800),--(Risk_Rank_Keys!$C$2:$C$800=Risk_Rank_Keys!C679))+1)/2)/COUNT(Risk_Rank_Keys!$C$2:$C$800))</f>
        <v/>
      </c>
      <c r="O679">
        <f>IF(OR(B679="NW",COUNT(Risk_Rank_Keys!D679)=0),0.5,(SUMPRODUCT(--ISNUMBER(Risk_Rank_Keys!$D$2:$D$800),--(Risk_Rank_Keys!$D$2:$D$800&lt;Risk_Rank_Keys!D679))+(SUMPRODUCT(--ISNUMBER(Risk_Rank_Keys!$D$2:$D$800),--(Risk_Rank_Keys!$D$2:$D$800=Risk_Rank_Keys!D679))+1)/2)/COUNT(Risk_Rank_Keys!$D$2:$D$800))</f>
        <v/>
      </c>
      <c r="P679">
        <f>AVERAGE(M679:O679)</f>
        <v/>
      </c>
      <c r="Q679">
        <f>0.4*H679+0.4*I679+0.2*P679</f>
        <v/>
      </c>
      <c r="R679">
        <f>PERCENTILE($Q$2:$Q$800,0.75)</f>
        <v/>
      </c>
      <c r="S679">
        <f>OR(Q679&gt;=R679,AND(B679="CW",COUNT(J679:L679)&lt;3))</f>
        <v/>
      </c>
      <c r="T679" t="n">
        <v>0.2535299373303473</v>
      </c>
      <c r="U679" t="n">
        <v>6.973195353404567</v>
      </c>
      <c r="V679" t="n">
        <v>0.4429866715076785</v>
      </c>
      <c r="W679">
        <f>Q679-V679</f>
        <v/>
      </c>
    </row>
    <row r="680">
      <c r="A680" t="inlineStr">
        <is>
          <t>2025-06-03</t>
        </is>
      </c>
      <c r="B680" t="inlineStr">
        <is>
          <t>CW</t>
        </is>
      </c>
      <c r="C680" t="n">
        <v>72.47556915452192</v>
      </c>
      <c r="D680">
        <f>SUMPRODUCT(Risk_Inputs!B680:AJ680,Risk_Coefs!$B$2:$AJ$2)</f>
        <v/>
      </c>
      <c r="E680">
        <f>1/(1+EXP(-MAX(-25,MIN(25,D680))))</f>
        <v/>
      </c>
      <c r="F680">
        <f>SUMPRODUCT(Risk_Inputs!B680:AJ680,Risk_Coefs!$B$3:$AJ$3)</f>
        <v/>
      </c>
      <c r="G680">
        <f>MAX(0,F680)</f>
        <v/>
      </c>
      <c r="H680">
        <f>(SUMPRODUCT(--ISNUMBER($E$2:$E$800),--($E$2:$E$800&lt;E680))+(SUMPRODUCT(--ISNUMBER($E$2:$E$800),--($E$2:$E$800=E680))+1)/2)/COUNT($E$2:$E$800)</f>
        <v/>
      </c>
      <c r="I680">
        <f>(SUMPRODUCT(--ISNUMBER($G$2:$G$800),--($G$2:$G$800&lt;G680))+(SUMPRODUCT(--ISNUMBER($G$2:$G$800),--($G$2:$G$800=G680))+1)/2)/COUNT($G$2:$G$800)</f>
        <v/>
      </c>
      <c r="J680" t="n">
        <v>32.73011594946632</v>
      </c>
      <c r="K680" t="n">
        <v>10.89707694030686</v>
      </c>
      <c r="L680" t="n">
        <v>0.2015903236644653</v>
      </c>
      <c r="M680">
        <f>IF(OR(B680="NW",COUNT(Risk_Rank_Keys!B680)=0),0.5,(SUMPRODUCT(--ISNUMBER(Risk_Rank_Keys!$B$2:$B$800),--(Risk_Rank_Keys!$B$2:$B$800&lt;Risk_Rank_Keys!B680))+(SUMPRODUCT(--ISNUMBER(Risk_Rank_Keys!$B$2:$B$800),--(Risk_Rank_Keys!$B$2:$B$800=Risk_Rank_Keys!B680))+1)/2)/COUNT(Risk_Rank_Keys!$B$2:$B$800))</f>
        <v/>
      </c>
      <c r="N680">
        <f>IF(OR(B680="NW",COUNT(Risk_Rank_Keys!C680)=0),0.5,(SUMPRODUCT(--ISNUMBER(Risk_Rank_Keys!$C$2:$C$800),--(Risk_Rank_Keys!$C$2:$C$800&lt;Risk_Rank_Keys!C680))+(SUMPRODUCT(--ISNUMBER(Risk_Rank_Keys!$C$2:$C$800),--(Risk_Rank_Keys!$C$2:$C$800=Risk_Rank_Keys!C680))+1)/2)/COUNT(Risk_Rank_Keys!$C$2:$C$800))</f>
        <v/>
      </c>
      <c r="O680">
        <f>IF(OR(B680="NW",COUNT(Risk_Rank_Keys!D680)=0),0.5,(SUMPRODUCT(--ISNUMBER(Risk_Rank_Keys!$D$2:$D$800),--(Risk_Rank_Keys!$D$2:$D$800&lt;Risk_Rank_Keys!D680))+(SUMPRODUCT(--ISNUMBER(Risk_Rank_Keys!$D$2:$D$800),--(Risk_Rank_Keys!$D$2:$D$800=Risk_Rank_Keys!D680))+1)/2)/COUNT(Risk_Rank_Keys!$D$2:$D$800))</f>
        <v/>
      </c>
      <c r="P680">
        <f>AVERAGE(M680:O680)</f>
        <v/>
      </c>
      <c r="Q680">
        <f>0.4*H680+0.4*I680+0.2*P680</f>
        <v/>
      </c>
      <c r="R680">
        <f>PERCENTILE($Q$2:$Q$800,0.75)</f>
        <v/>
      </c>
      <c r="S680">
        <f>OR(Q680&gt;=R680,AND(B680="CW",COUNT(J680:L680)&lt;3))</f>
        <v/>
      </c>
      <c r="T680" t="n">
        <v>0.2283826736457631</v>
      </c>
      <c r="U680" t="n">
        <v>8.518217758776393</v>
      </c>
      <c r="V680" t="n">
        <v>0.4512742276055204</v>
      </c>
      <c r="W680">
        <f>Q680-V680</f>
        <v/>
      </c>
    </row>
    <row r="681">
      <c r="A681" t="inlineStr">
        <is>
          <t>2025-06-04</t>
        </is>
      </c>
      <c r="B681" t="inlineStr">
        <is>
          <t>CW</t>
        </is>
      </c>
      <c r="C681" t="n">
        <v>54.59913452586727</v>
      </c>
      <c r="D681">
        <f>SUMPRODUCT(Risk_Inputs!B681:AJ681,Risk_Coefs!$B$2:$AJ$2)</f>
        <v/>
      </c>
      <c r="E681">
        <f>1/(1+EXP(-MAX(-25,MIN(25,D681))))</f>
        <v/>
      </c>
      <c r="F681">
        <f>SUMPRODUCT(Risk_Inputs!B681:AJ681,Risk_Coefs!$B$3:$AJ$3)</f>
        <v/>
      </c>
      <c r="G681">
        <f>MAX(0,F681)</f>
        <v/>
      </c>
      <c r="H681">
        <f>(SUMPRODUCT(--ISNUMBER($E$2:$E$800),--($E$2:$E$800&lt;E681))+(SUMPRODUCT(--ISNUMBER($E$2:$E$800),--($E$2:$E$800=E681))+1)/2)/COUNT($E$2:$E$800)</f>
        <v/>
      </c>
      <c r="I681">
        <f>(SUMPRODUCT(--ISNUMBER($G$2:$G$800),--($G$2:$G$800&lt;G681))+(SUMPRODUCT(--ISNUMBER($G$2:$G$800),--($G$2:$G$800=G681))+1)/2)/COUNT($G$2:$G$800)</f>
        <v/>
      </c>
      <c r="J681" t="n">
        <v>6.401801446603895</v>
      </c>
      <c r="K681" t="n">
        <v>10.18151470895057</v>
      </c>
      <c r="L681" t="n">
        <v>0.2503651157938696</v>
      </c>
      <c r="M681">
        <f>IF(OR(B681="NW",COUNT(Risk_Rank_Keys!B681)=0),0.5,(SUMPRODUCT(--ISNUMBER(Risk_Rank_Keys!$B$2:$B$800),--(Risk_Rank_Keys!$B$2:$B$800&lt;Risk_Rank_Keys!B681))+(SUMPRODUCT(--ISNUMBER(Risk_Rank_Keys!$B$2:$B$800),--(Risk_Rank_Keys!$B$2:$B$800=Risk_Rank_Keys!B681))+1)/2)/COUNT(Risk_Rank_Keys!$B$2:$B$800))</f>
        <v/>
      </c>
      <c r="N681">
        <f>IF(OR(B681="NW",COUNT(Risk_Rank_Keys!C681)=0),0.5,(SUMPRODUCT(--ISNUMBER(Risk_Rank_Keys!$C$2:$C$800),--(Risk_Rank_Keys!$C$2:$C$800&lt;Risk_Rank_Keys!C681))+(SUMPRODUCT(--ISNUMBER(Risk_Rank_Keys!$C$2:$C$800),--(Risk_Rank_Keys!$C$2:$C$800=Risk_Rank_Keys!C681))+1)/2)/COUNT(Risk_Rank_Keys!$C$2:$C$800))</f>
        <v/>
      </c>
      <c r="O681">
        <f>IF(OR(B681="NW",COUNT(Risk_Rank_Keys!D681)=0),0.5,(SUMPRODUCT(--ISNUMBER(Risk_Rank_Keys!$D$2:$D$800),--(Risk_Rank_Keys!$D$2:$D$800&lt;Risk_Rank_Keys!D681))+(SUMPRODUCT(--ISNUMBER(Risk_Rank_Keys!$D$2:$D$800),--(Risk_Rank_Keys!$D$2:$D$800=Risk_Rank_Keys!D681))+1)/2)/COUNT(Risk_Rank_Keys!$D$2:$D$800))</f>
        <v/>
      </c>
      <c r="P681">
        <f>AVERAGE(M681:O681)</f>
        <v/>
      </c>
      <c r="Q681">
        <f>0.4*H681+0.4*I681+0.2*P681</f>
        <v/>
      </c>
      <c r="R681">
        <f>PERCENTILE($Q$2:$Q$800,0.75)</f>
        <v/>
      </c>
      <c r="S681">
        <f>OR(Q681&gt;=R681,AND(B681="CW",COUNT(J681:L681)&lt;3))</f>
        <v/>
      </c>
      <c r="T681" t="n">
        <v>0.2313487590535934</v>
      </c>
      <c r="U681" t="n">
        <v>4.58662113972872</v>
      </c>
      <c r="V681" t="n">
        <v>0.2242672005744047</v>
      </c>
      <c r="W681">
        <f>Q681-V681</f>
        <v/>
      </c>
    </row>
    <row r="682">
      <c r="A682" t="inlineStr">
        <is>
          <t>2025-06-05</t>
        </is>
      </c>
      <c r="B682" t="inlineStr">
        <is>
          <t>CW</t>
        </is>
      </c>
      <c r="C682" t="n">
        <v>-37.30747621876021</v>
      </c>
      <c r="D682">
        <f>SUMPRODUCT(Risk_Inputs!B682:AJ682,Risk_Coefs!$B$2:$AJ$2)</f>
        <v/>
      </c>
      <c r="E682">
        <f>1/(1+EXP(-MAX(-25,MIN(25,D682))))</f>
        <v/>
      </c>
      <c r="F682">
        <f>SUMPRODUCT(Risk_Inputs!B682:AJ682,Risk_Coefs!$B$3:$AJ$3)</f>
        <v/>
      </c>
      <c r="G682">
        <f>MAX(0,F682)</f>
        <v/>
      </c>
      <c r="H682">
        <f>(SUMPRODUCT(--ISNUMBER($E$2:$E$800),--($E$2:$E$800&lt;E682))+(SUMPRODUCT(--ISNUMBER($E$2:$E$800),--($E$2:$E$800=E682))+1)/2)/COUNT($E$2:$E$800)</f>
        <v/>
      </c>
      <c r="I682">
        <f>(SUMPRODUCT(--ISNUMBER($G$2:$G$800),--($G$2:$G$800&lt;G682))+(SUMPRODUCT(--ISNUMBER($G$2:$G$800),--($G$2:$G$800=G682))+1)/2)/COUNT($G$2:$G$800)</f>
        <v/>
      </c>
      <c r="J682" t="n">
        <v>10.36388994034632</v>
      </c>
      <c r="K682" t="n">
        <v>9.650400582665696</v>
      </c>
      <c r="L682" t="n">
        <v>0.1820830298616272</v>
      </c>
      <c r="M682">
        <f>IF(OR(B682="NW",COUNT(Risk_Rank_Keys!B682)=0),0.5,(SUMPRODUCT(--ISNUMBER(Risk_Rank_Keys!$B$2:$B$800),--(Risk_Rank_Keys!$B$2:$B$800&lt;Risk_Rank_Keys!B682))+(SUMPRODUCT(--ISNUMBER(Risk_Rank_Keys!$B$2:$B$800),--(Risk_Rank_Keys!$B$2:$B$800=Risk_Rank_Keys!B682))+1)/2)/COUNT(Risk_Rank_Keys!$B$2:$B$800))</f>
        <v/>
      </c>
      <c r="N682">
        <f>IF(OR(B682="NW",COUNT(Risk_Rank_Keys!C682)=0),0.5,(SUMPRODUCT(--ISNUMBER(Risk_Rank_Keys!$C$2:$C$800),--(Risk_Rank_Keys!$C$2:$C$800&lt;Risk_Rank_Keys!C682))+(SUMPRODUCT(--ISNUMBER(Risk_Rank_Keys!$C$2:$C$800),--(Risk_Rank_Keys!$C$2:$C$800=Risk_Rank_Keys!C682))+1)/2)/COUNT(Risk_Rank_Keys!$C$2:$C$800))</f>
        <v/>
      </c>
      <c r="O682">
        <f>IF(OR(B682="NW",COUNT(Risk_Rank_Keys!D682)=0),0.5,(SUMPRODUCT(--ISNUMBER(Risk_Rank_Keys!$D$2:$D$800),--(Risk_Rank_Keys!$D$2:$D$800&lt;Risk_Rank_Keys!D682))+(SUMPRODUCT(--ISNUMBER(Risk_Rank_Keys!$D$2:$D$800),--(Risk_Rank_Keys!$D$2:$D$800=Risk_Rank_Keys!D682))+1)/2)/COUNT(Risk_Rank_Keys!$D$2:$D$800))</f>
        <v/>
      </c>
      <c r="P682">
        <f>AVERAGE(M682:O682)</f>
        <v/>
      </c>
      <c r="Q682">
        <f>0.4*H682+0.4*I682+0.2*P682</f>
        <v/>
      </c>
      <c r="R682">
        <f>PERCENTILE($Q$2:$Q$800,0.75)</f>
        <v/>
      </c>
      <c r="S682">
        <f>OR(Q682&gt;=R682,AND(B682="CW",COUNT(J682:L682)&lt;3))</f>
        <v/>
      </c>
      <c r="T682" t="n">
        <v>0.3573305627475709</v>
      </c>
      <c r="U682" t="n">
        <v>10.7237354661435</v>
      </c>
      <c r="V682" t="n">
        <v>0.7859258056764354</v>
      </c>
      <c r="W682">
        <f>Q682-V682</f>
        <v/>
      </c>
    </row>
    <row r="683">
      <c r="A683" t="inlineStr">
        <is>
          <t>2025-06-09</t>
        </is>
      </c>
      <c r="B683" t="inlineStr">
        <is>
          <t>CW</t>
        </is>
      </c>
      <c r="C683" t="n">
        <v>39.85061799817805</v>
      </c>
      <c r="D683">
        <f>SUMPRODUCT(Risk_Inputs!B683:AJ683,Risk_Coefs!$B$2:$AJ$2)</f>
        <v/>
      </c>
      <c r="E683">
        <f>1/(1+EXP(-MAX(-25,MIN(25,D683))))</f>
        <v/>
      </c>
      <c r="F683">
        <f>SUMPRODUCT(Risk_Inputs!B683:AJ683,Risk_Coefs!$B$3:$AJ$3)</f>
        <v/>
      </c>
      <c r="G683">
        <f>MAX(0,F683)</f>
        <v/>
      </c>
      <c r="H683">
        <f>(SUMPRODUCT(--ISNUMBER($E$2:$E$800),--($E$2:$E$800&lt;E683))+(SUMPRODUCT(--ISNUMBER($E$2:$E$800),--($E$2:$E$800=E683))+1)/2)/COUNT($E$2:$E$800)</f>
        <v/>
      </c>
      <c r="I683">
        <f>(SUMPRODUCT(--ISNUMBER($G$2:$G$800),--($G$2:$G$800&lt;G683))+(SUMPRODUCT(--ISNUMBER($G$2:$G$800),--($G$2:$G$800=G683))+1)/2)/COUNT($G$2:$G$800)</f>
        <v/>
      </c>
      <c r="J683" t="n">
        <v>5.949467333642582</v>
      </c>
      <c r="K683" t="n">
        <v>2.722152690863576</v>
      </c>
      <c r="L683" t="n">
        <v>0.2190237797246611</v>
      </c>
      <c r="M683">
        <f>IF(OR(B683="NW",COUNT(Risk_Rank_Keys!B683)=0),0.5,(SUMPRODUCT(--ISNUMBER(Risk_Rank_Keys!$B$2:$B$800),--(Risk_Rank_Keys!$B$2:$B$800&lt;Risk_Rank_Keys!B683))+(SUMPRODUCT(--ISNUMBER(Risk_Rank_Keys!$B$2:$B$800),--(Risk_Rank_Keys!$B$2:$B$800=Risk_Rank_Keys!B683))+1)/2)/COUNT(Risk_Rank_Keys!$B$2:$B$800))</f>
        <v/>
      </c>
      <c r="N683">
        <f>IF(OR(B683="NW",COUNT(Risk_Rank_Keys!C683)=0),0.5,(SUMPRODUCT(--ISNUMBER(Risk_Rank_Keys!$C$2:$C$800),--(Risk_Rank_Keys!$C$2:$C$800&lt;Risk_Rank_Keys!C683))+(SUMPRODUCT(--ISNUMBER(Risk_Rank_Keys!$C$2:$C$800),--(Risk_Rank_Keys!$C$2:$C$800=Risk_Rank_Keys!C683))+1)/2)/COUNT(Risk_Rank_Keys!$C$2:$C$800))</f>
        <v/>
      </c>
      <c r="O683">
        <f>IF(OR(B683="NW",COUNT(Risk_Rank_Keys!D683)=0),0.5,(SUMPRODUCT(--ISNUMBER(Risk_Rank_Keys!$D$2:$D$800),--(Risk_Rank_Keys!$D$2:$D$800&lt;Risk_Rank_Keys!D683))+(SUMPRODUCT(--ISNUMBER(Risk_Rank_Keys!$D$2:$D$800),--(Risk_Rank_Keys!$D$2:$D$800=Risk_Rank_Keys!D683))+1)/2)/COUNT(Risk_Rank_Keys!$D$2:$D$800))</f>
        <v/>
      </c>
      <c r="P683">
        <f>AVERAGE(M683:O683)</f>
        <v/>
      </c>
      <c r="Q683">
        <f>0.4*H683+0.4*I683+0.2*P683</f>
        <v/>
      </c>
      <c r="R683">
        <f>PERCENTILE($Q$2:$Q$800,0.75)</f>
        <v/>
      </c>
      <c r="S683">
        <f>OR(Q683&gt;=R683,AND(B683="CW",COUNT(J683:L683)&lt;3))</f>
        <v/>
      </c>
      <c r="T683" t="n">
        <v>0.3023610702249273</v>
      </c>
      <c r="U683" t="n">
        <v>7.421218267233627</v>
      </c>
      <c r="V683" t="n">
        <v>0.490360975394045</v>
      </c>
      <c r="W683">
        <f>Q683-V683</f>
        <v/>
      </c>
    </row>
    <row r="684">
      <c r="A684" t="inlineStr">
        <is>
          <t>2025-06-10</t>
        </is>
      </c>
      <c r="B684" t="inlineStr">
        <is>
          <t>CW</t>
        </is>
      </c>
      <c r="C684" t="n">
        <v>47.64654785071149</v>
      </c>
      <c r="D684">
        <f>SUMPRODUCT(Risk_Inputs!B684:AJ684,Risk_Coefs!$B$2:$AJ$2)</f>
        <v/>
      </c>
      <c r="E684">
        <f>1/(1+EXP(-MAX(-25,MIN(25,D684))))</f>
        <v/>
      </c>
      <c r="F684">
        <f>SUMPRODUCT(Risk_Inputs!B684:AJ684,Risk_Coefs!$B$3:$AJ$3)</f>
        <v/>
      </c>
      <c r="G684">
        <f>MAX(0,F684)</f>
        <v/>
      </c>
      <c r="H684">
        <f>(SUMPRODUCT(--ISNUMBER($E$2:$E$800),--($E$2:$E$800&lt;E684))+(SUMPRODUCT(--ISNUMBER($E$2:$E$800),--($E$2:$E$800=E684))+1)/2)/COUNT($E$2:$E$800)</f>
        <v/>
      </c>
      <c r="I684">
        <f>(SUMPRODUCT(--ISNUMBER($G$2:$G$800),--($G$2:$G$800&lt;G684))+(SUMPRODUCT(--ISNUMBER($G$2:$G$800),--($G$2:$G$800=G684))+1)/2)/COUNT($G$2:$G$800)</f>
        <v/>
      </c>
      <c r="J684" t="n">
        <v>9.728690884275167</v>
      </c>
      <c r="K684" t="n">
        <v>5.276730807379493</v>
      </c>
      <c r="L684" t="n">
        <v>0.1785360047609556</v>
      </c>
      <c r="M684">
        <f>IF(OR(B684="NW",COUNT(Risk_Rank_Keys!B684)=0),0.5,(SUMPRODUCT(--ISNUMBER(Risk_Rank_Keys!$B$2:$B$800),--(Risk_Rank_Keys!$B$2:$B$800&lt;Risk_Rank_Keys!B684))+(SUMPRODUCT(--ISNUMBER(Risk_Rank_Keys!$B$2:$B$800),--(Risk_Rank_Keys!$B$2:$B$800=Risk_Rank_Keys!B684))+1)/2)/COUNT(Risk_Rank_Keys!$B$2:$B$800))</f>
        <v/>
      </c>
      <c r="N684">
        <f>IF(OR(B684="NW",COUNT(Risk_Rank_Keys!C684)=0),0.5,(SUMPRODUCT(--ISNUMBER(Risk_Rank_Keys!$C$2:$C$800),--(Risk_Rank_Keys!$C$2:$C$800&lt;Risk_Rank_Keys!C684))+(SUMPRODUCT(--ISNUMBER(Risk_Rank_Keys!$C$2:$C$800),--(Risk_Rank_Keys!$C$2:$C$800=Risk_Rank_Keys!C684))+1)/2)/COUNT(Risk_Rank_Keys!$C$2:$C$800))</f>
        <v/>
      </c>
      <c r="O684">
        <f>IF(OR(B684="NW",COUNT(Risk_Rank_Keys!D684)=0),0.5,(SUMPRODUCT(--ISNUMBER(Risk_Rank_Keys!$D$2:$D$800),--(Risk_Rank_Keys!$D$2:$D$800&lt;Risk_Rank_Keys!D684))+(SUMPRODUCT(--ISNUMBER(Risk_Rank_Keys!$D$2:$D$800),--(Risk_Rank_Keys!$D$2:$D$800=Risk_Rank_Keys!D684))+1)/2)/COUNT(Risk_Rank_Keys!$D$2:$D$800))</f>
        <v/>
      </c>
      <c r="P684">
        <f>AVERAGE(M684:O684)</f>
        <v/>
      </c>
      <c r="Q684">
        <f>0.4*H684+0.4*I684+0.2*P684</f>
        <v/>
      </c>
      <c r="R684">
        <f>PERCENTILE($Q$2:$Q$800,0.75)</f>
        <v/>
      </c>
      <c r="S684">
        <f>OR(Q684&gt;=R684,AND(B684="CW",COUNT(J684:L684)&lt;3))</f>
        <v/>
      </c>
      <c r="T684" t="n">
        <v>0.2568076868343395</v>
      </c>
      <c r="U684" t="n">
        <v>6.048921339442759</v>
      </c>
      <c r="V684" t="n">
        <v>0.3251416665066573</v>
      </c>
      <c r="W684">
        <f>Q684-V684</f>
        <v/>
      </c>
    </row>
    <row r="685">
      <c r="A685" t="inlineStr">
        <is>
          <t>2025-06-12</t>
        </is>
      </c>
      <c r="B685" t="inlineStr">
        <is>
          <t>CW</t>
        </is>
      </c>
      <c r="C685" t="n">
        <v>-17.31397169136602</v>
      </c>
      <c r="D685">
        <f>SUMPRODUCT(Risk_Inputs!B685:AJ685,Risk_Coefs!$B$2:$AJ$2)</f>
        <v/>
      </c>
      <c r="E685">
        <f>1/(1+EXP(-MAX(-25,MIN(25,D685))))</f>
        <v/>
      </c>
      <c r="F685">
        <f>SUMPRODUCT(Risk_Inputs!B685:AJ685,Risk_Coefs!$B$3:$AJ$3)</f>
        <v/>
      </c>
      <c r="G685">
        <f>MAX(0,F685)</f>
        <v/>
      </c>
      <c r="H685">
        <f>(SUMPRODUCT(--ISNUMBER($E$2:$E$800),--($E$2:$E$800&lt;E685))+(SUMPRODUCT(--ISNUMBER($E$2:$E$800),--($E$2:$E$800=E685))+1)/2)/COUNT($E$2:$E$800)</f>
        <v/>
      </c>
      <c r="I685">
        <f>(SUMPRODUCT(--ISNUMBER($G$2:$G$800),--($G$2:$G$800&lt;G685))+(SUMPRODUCT(--ISNUMBER($G$2:$G$800),--($G$2:$G$800=G685))+1)/2)/COUNT($G$2:$G$800)</f>
        <v/>
      </c>
      <c r="J685" t="n">
        <v>6.176763017529509</v>
      </c>
      <c r="K685" t="n">
        <v>9.957545349285994</v>
      </c>
      <c r="L685" t="n">
        <v>0.2315708220764271</v>
      </c>
      <c r="M685">
        <f>IF(OR(B685="NW",COUNT(Risk_Rank_Keys!B685)=0),0.5,(SUMPRODUCT(--ISNUMBER(Risk_Rank_Keys!$B$2:$B$800),--(Risk_Rank_Keys!$B$2:$B$800&lt;Risk_Rank_Keys!B685))+(SUMPRODUCT(--ISNUMBER(Risk_Rank_Keys!$B$2:$B$800),--(Risk_Rank_Keys!$B$2:$B$800=Risk_Rank_Keys!B685))+1)/2)/COUNT(Risk_Rank_Keys!$B$2:$B$800))</f>
        <v/>
      </c>
      <c r="N685">
        <f>IF(OR(B685="NW",COUNT(Risk_Rank_Keys!C685)=0),0.5,(SUMPRODUCT(--ISNUMBER(Risk_Rank_Keys!$C$2:$C$800),--(Risk_Rank_Keys!$C$2:$C$800&lt;Risk_Rank_Keys!C685))+(SUMPRODUCT(--ISNUMBER(Risk_Rank_Keys!$C$2:$C$800),--(Risk_Rank_Keys!$C$2:$C$800=Risk_Rank_Keys!C685))+1)/2)/COUNT(Risk_Rank_Keys!$C$2:$C$800))</f>
        <v/>
      </c>
      <c r="O685">
        <f>IF(OR(B685="NW",COUNT(Risk_Rank_Keys!D685)=0),0.5,(SUMPRODUCT(--ISNUMBER(Risk_Rank_Keys!$D$2:$D$800),--(Risk_Rank_Keys!$D$2:$D$800&lt;Risk_Rank_Keys!D685))+(SUMPRODUCT(--ISNUMBER(Risk_Rank_Keys!$D$2:$D$800),--(Risk_Rank_Keys!$D$2:$D$800=Risk_Rank_Keys!D685))+1)/2)/COUNT(Risk_Rank_Keys!$D$2:$D$800))</f>
        <v/>
      </c>
      <c r="P685">
        <f>AVERAGE(M685:O685)</f>
        <v/>
      </c>
      <c r="Q685">
        <f>0.4*H685+0.4*I685+0.2*P685</f>
        <v/>
      </c>
      <c r="R685">
        <f>PERCENTILE($Q$2:$Q$800,0.75)</f>
        <v/>
      </c>
      <c r="S685">
        <f>OR(Q685&gt;=R685,AND(B685="CW",COUNT(J685:L685)&lt;3))</f>
        <v/>
      </c>
      <c r="T685" t="n">
        <v>0.3817483096572857</v>
      </c>
      <c r="U685" t="n">
        <v>13.59632646262074</v>
      </c>
      <c r="V685" t="n">
        <v>0.8560706694618855</v>
      </c>
      <c r="W685">
        <f>Q685-V685</f>
        <v/>
      </c>
    </row>
    <row r="686">
      <c r="A686" t="inlineStr">
        <is>
          <t>2025-06-13</t>
        </is>
      </c>
      <c r="B686" t="inlineStr">
        <is>
          <t>CW</t>
        </is>
      </c>
      <c r="C686" t="n">
        <v>30.9670785576605</v>
      </c>
      <c r="D686">
        <f>SUMPRODUCT(Risk_Inputs!B686:AJ686,Risk_Coefs!$B$2:$AJ$2)</f>
        <v/>
      </c>
      <c r="E686">
        <f>1/(1+EXP(-MAX(-25,MIN(25,D686))))</f>
        <v/>
      </c>
      <c r="F686">
        <f>SUMPRODUCT(Risk_Inputs!B686:AJ686,Risk_Coefs!$B$3:$AJ$3)</f>
        <v/>
      </c>
      <c r="G686">
        <f>MAX(0,F686)</f>
        <v/>
      </c>
      <c r="H686">
        <f>(SUMPRODUCT(--ISNUMBER($E$2:$E$800),--($E$2:$E$800&lt;E686))+(SUMPRODUCT(--ISNUMBER($E$2:$E$800),--($E$2:$E$800=E686))+1)/2)/COUNT($E$2:$E$800)</f>
        <v/>
      </c>
      <c r="I686">
        <f>(SUMPRODUCT(--ISNUMBER($G$2:$G$800),--($G$2:$G$800&lt;G686))+(SUMPRODUCT(--ISNUMBER($G$2:$G$800),--($G$2:$G$800=G686))+1)/2)/COUNT($G$2:$G$800)</f>
        <v/>
      </c>
      <c r="J686" t="n">
        <v>11.39290466173246</v>
      </c>
      <c r="K686" t="n">
        <v>5.122602573440161</v>
      </c>
      <c r="L686" t="n">
        <v>0.2063607671764977</v>
      </c>
      <c r="M686">
        <f>IF(OR(B686="NW",COUNT(Risk_Rank_Keys!B686)=0),0.5,(SUMPRODUCT(--ISNUMBER(Risk_Rank_Keys!$B$2:$B$800),--(Risk_Rank_Keys!$B$2:$B$800&lt;Risk_Rank_Keys!B686))+(SUMPRODUCT(--ISNUMBER(Risk_Rank_Keys!$B$2:$B$800),--(Risk_Rank_Keys!$B$2:$B$800=Risk_Rank_Keys!B686))+1)/2)/COUNT(Risk_Rank_Keys!$B$2:$B$800))</f>
        <v/>
      </c>
      <c r="N686">
        <f>IF(OR(B686="NW",COUNT(Risk_Rank_Keys!C686)=0),0.5,(SUMPRODUCT(--ISNUMBER(Risk_Rank_Keys!$C$2:$C$800),--(Risk_Rank_Keys!$C$2:$C$800&lt;Risk_Rank_Keys!C686))+(SUMPRODUCT(--ISNUMBER(Risk_Rank_Keys!$C$2:$C$800),--(Risk_Rank_Keys!$C$2:$C$800=Risk_Rank_Keys!C686))+1)/2)/COUNT(Risk_Rank_Keys!$C$2:$C$800))</f>
        <v/>
      </c>
      <c r="O686">
        <f>IF(OR(B686="NW",COUNT(Risk_Rank_Keys!D686)=0),0.5,(SUMPRODUCT(--ISNUMBER(Risk_Rank_Keys!$D$2:$D$800),--(Risk_Rank_Keys!$D$2:$D$800&lt;Risk_Rank_Keys!D686))+(SUMPRODUCT(--ISNUMBER(Risk_Rank_Keys!$D$2:$D$800),--(Risk_Rank_Keys!$D$2:$D$800=Risk_Rank_Keys!D686))+1)/2)/COUNT(Risk_Rank_Keys!$D$2:$D$800))</f>
        <v/>
      </c>
      <c r="P686">
        <f>AVERAGE(M686:O686)</f>
        <v/>
      </c>
      <c r="Q686">
        <f>0.4*H686+0.4*I686+0.2*P686</f>
        <v/>
      </c>
      <c r="R686">
        <f>PERCENTILE($Q$2:$Q$800,0.75)</f>
        <v/>
      </c>
      <c r="S686">
        <f>OR(Q686&gt;=R686,AND(B686="CW",COUNT(J686:L686)&lt;3))</f>
        <v/>
      </c>
      <c r="T686" t="n">
        <v>0.2590803686119988</v>
      </c>
      <c r="U686" t="n">
        <v>6.552419321767029</v>
      </c>
      <c r="V686" t="n">
        <v>0.3786023789616146</v>
      </c>
      <c r="W686">
        <f>Q686-V686</f>
        <v/>
      </c>
    </row>
    <row r="687">
      <c r="A687" t="inlineStr">
        <is>
          <t>2025-06-17</t>
        </is>
      </c>
      <c r="B687" t="inlineStr">
        <is>
          <t>CW</t>
        </is>
      </c>
      <c r="C687" t="n">
        <v>50.28111233312941</v>
      </c>
      <c r="D687">
        <f>SUMPRODUCT(Risk_Inputs!B687:AJ687,Risk_Coefs!$B$2:$AJ$2)</f>
        <v/>
      </c>
      <c r="E687">
        <f>1/(1+EXP(-MAX(-25,MIN(25,D687))))</f>
        <v/>
      </c>
      <c r="F687">
        <f>SUMPRODUCT(Risk_Inputs!B687:AJ687,Risk_Coefs!$B$3:$AJ$3)</f>
        <v/>
      </c>
      <c r="G687">
        <f>MAX(0,F687)</f>
        <v/>
      </c>
      <c r="H687">
        <f>(SUMPRODUCT(--ISNUMBER($E$2:$E$800),--($E$2:$E$800&lt;E687))+(SUMPRODUCT(--ISNUMBER($E$2:$E$800),--($E$2:$E$800=E687))+1)/2)/COUNT($E$2:$E$800)</f>
        <v/>
      </c>
      <c r="I687">
        <f>(SUMPRODUCT(--ISNUMBER($G$2:$G$800),--($G$2:$G$800&lt;G687))+(SUMPRODUCT(--ISNUMBER($G$2:$G$800),--($G$2:$G$800=G687))+1)/2)/COUNT($G$2:$G$800)</f>
        <v/>
      </c>
      <c r="J687" t="n">
        <v>7.375385053221603</v>
      </c>
      <c r="K687" t="n">
        <v>7.087653157398685</v>
      </c>
      <c r="L687" t="n">
        <v>0.2262016965127324</v>
      </c>
      <c r="M687">
        <f>IF(OR(B687="NW",COUNT(Risk_Rank_Keys!B687)=0),0.5,(SUMPRODUCT(--ISNUMBER(Risk_Rank_Keys!$B$2:$B$800),--(Risk_Rank_Keys!$B$2:$B$800&lt;Risk_Rank_Keys!B687))+(SUMPRODUCT(--ISNUMBER(Risk_Rank_Keys!$B$2:$B$800),--(Risk_Rank_Keys!$B$2:$B$800=Risk_Rank_Keys!B687))+1)/2)/COUNT(Risk_Rank_Keys!$B$2:$B$800))</f>
        <v/>
      </c>
      <c r="N687">
        <f>IF(OR(B687="NW",COUNT(Risk_Rank_Keys!C687)=0),0.5,(SUMPRODUCT(--ISNUMBER(Risk_Rank_Keys!$C$2:$C$800),--(Risk_Rank_Keys!$C$2:$C$800&lt;Risk_Rank_Keys!C687))+(SUMPRODUCT(--ISNUMBER(Risk_Rank_Keys!$C$2:$C$800),--(Risk_Rank_Keys!$C$2:$C$800=Risk_Rank_Keys!C687))+1)/2)/COUNT(Risk_Rank_Keys!$C$2:$C$800))</f>
        <v/>
      </c>
      <c r="O687">
        <f>IF(OR(B687="NW",COUNT(Risk_Rank_Keys!D687)=0),0.5,(SUMPRODUCT(--ISNUMBER(Risk_Rank_Keys!$D$2:$D$800),--(Risk_Rank_Keys!$D$2:$D$800&lt;Risk_Rank_Keys!D687))+(SUMPRODUCT(--ISNUMBER(Risk_Rank_Keys!$D$2:$D$800),--(Risk_Rank_Keys!$D$2:$D$800=Risk_Rank_Keys!D687))+1)/2)/COUNT(Risk_Rank_Keys!$D$2:$D$800))</f>
        <v/>
      </c>
      <c r="P687">
        <f>AVERAGE(M687:O687)</f>
        <v/>
      </c>
      <c r="Q687">
        <f>0.4*H687+0.4*I687+0.2*P687</f>
        <v/>
      </c>
      <c r="R687">
        <f>PERCENTILE($Q$2:$Q$800,0.75)</f>
        <v/>
      </c>
      <c r="S687">
        <f>OR(Q687&gt;=R687,AND(B687="CW",COUNT(J687:L687)&lt;3))</f>
        <v/>
      </c>
      <c r="T687" t="n">
        <v>0.2650672529219004</v>
      </c>
      <c r="U687" t="n">
        <v>4.116746622724481</v>
      </c>
      <c r="V687" t="n">
        <v>0.2798288655798828</v>
      </c>
      <c r="W687">
        <f>Q687-V687</f>
        <v/>
      </c>
    </row>
    <row r="688">
      <c r="A688" t="inlineStr">
        <is>
          <t>2025-06-18</t>
        </is>
      </c>
      <c r="B688" t="inlineStr">
        <is>
          <t>CW</t>
        </is>
      </c>
      <c r="C688" t="n">
        <v>10.99218078746692</v>
      </c>
      <c r="D688">
        <f>SUMPRODUCT(Risk_Inputs!B688:AJ688,Risk_Coefs!$B$2:$AJ$2)</f>
        <v/>
      </c>
      <c r="E688">
        <f>1/(1+EXP(-MAX(-25,MIN(25,D688))))</f>
        <v/>
      </c>
      <c r="F688">
        <f>SUMPRODUCT(Risk_Inputs!B688:AJ688,Risk_Coefs!$B$3:$AJ$3)</f>
        <v/>
      </c>
      <c r="G688">
        <f>MAX(0,F688)</f>
        <v/>
      </c>
      <c r="H688">
        <f>(SUMPRODUCT(--ISNUMBER($E$2:$E$800),--($E$2:$E$800&lt;E688))+(SUMPRODUCT(--ISNUMBER($E$2:$E$800),--($E$2:$E$800=E688))+1)/2)/COUNT($E$2:$E$800)</f>
        <v/>
      </c>
      <c r="I688">
        <f>(SUMPRODUCT(--ISNUMBER($G$2:$G$800),--($G$2:$G$800&lt;G688))+(SUMPRODUCT(--ISNUMBER($G$2:$G$800),--($G$2:$G$800=G688))+1)/2)/COUNT($G$2:$G$800)</f>
        <v/>
      </c>
      <c r="J688" t="n">
        <v>11.48508148363074</v>
      </c>
      <c r="K688" t="n">
        <v>6.909090909090915</v>
      </c>
      <c r="L688" t="n">
        <v>0.2077922077922107</v>
      </c>
      <c r="M688">
        <f>IF(OR(B688="NW",COUNT(Risk_Rank_Keys!B688)=0),0.5,(SUMPRODUCT(--ISNUMBER(Risk_Rank_Keys!$B$2:$B$800),--(Risk_Rank_Keys!$B$2:$B$800&lt;Risk_Rank_Keys!B688))+(SUMPRODUCT(--ISNUMBER(Risk_Rank_Keys!$B$2:$B$800),--(Risk_Rank_Keys!$B$2:$B$800=Risk_Rank_Keys!B688))+1)/2)/COUNT(Risk_Rank_Keys!$B$2:$B$800))</f>
        <v/>
      </c>
      <c r="N688">
        <f>IF(OR(B688="NW",COUNT(Risk_Rank_Keys!C688)=0),0.5,(SUMPRODUCT(--ISNUMBER(Risk_Rank_Keys!$C$2:$C$800),--(Risk_Rank_Keys!$C$2:$C$800&lt;Risk_Rank_Keys!C688))+(SUMPRODUCT(--ISNUMBER(Risk_Rank_Keys!$C$2:$C$800),--(Risk_Rank_Keys!$C$2:$C$800=Risk_Rank_Keys!C688))+1)/2)/COUNT(Risk_Rank_Keys!$C$2:$C$800))</f>
        <v/>
      </c>
      <c r="O688">
        <f>IF(OR(B688="NW",COUNT(Risk_Rank_Keys!D688)=0),0.5,(SUMPRODUCT(--ISNUMBER(Risk_Rank_Keys!$D$2:$D$800),--(Risk_Rank_Keys!$D$2:$D$800&lt;Risk_Rank_Keys!D688))+(SUMPRODUCT(--ISNUMBER(Risk_Rank_Keys!$D$2:$D$800),--(Risk_Rank_Keys!$D$2:$D$800=Risk_Rank_Keys!D688))+1)/2)/COUNT(Risk_Rank_Keys!$D$2:$D$800))</f>
        <v/>
      </c>
      <c r="P688">
        <f>AVERAGE(M688:O688)</f>
        <v/>
      </c>
      <c r="Q688">
        <f>0.4*H688+0.4*I688+0.2*P688</f>
        <v/>
      </c>
      <c r="R688">
        <f>PERCENTILE($Q$2:$Q$800,0.75)</f>
        <v/>
      </c>
      <c r="S688">
        <f>OR(Q688&gt;=R688,AND(B688="CW",COUNT(J688:L688)&lt;3))</f>
        <v/>
      </c>
      <c r="T688" t="n">
        <v>0.2923548460092728</v>
      </c>
      <c r="U688" t="n">
        <v>8.002183081091792</v>
      </c>
      <c r="V688" t="n">
        <v>0.5470920472999432</v>
      </c>
      <c r="W688">
        <f>Q688-V688</f>
        <v/>
      </c>
    </row>
    <row r="689">
      <c r="A689" t="inlineStr">
        <is>
          <t>2025-06-25</t>
        </is>
      </c>
      <c r="B689" t="inlineStr">
        <is>
          <t>NW</t>
        </is>
      </c>
      <c r="C689" t="n">
        <v>13.39758294780917</v>
      </c>
      <c r="D689">
        <f>SUMPRODUCT(Risk_Inputs!B689:AJ689,Risk_Coefs!$B$2:$AJ$2)</f>
        <v/>
      </c>
      <c r="E689">
        <f>1/(1+EXP(-MAX(-25,MIN(25,D689))))</f>
        <v/>
      </c>
      <c r="F689">
        <f>SUMPRODUCT(Risk_Inputs!B689:AJ689,Risk_Coefs!$B$3:$AJ$3)</f>
        <v/>
      </c>
      <c r="G689">
        <f>MAX(0,F689)</f>
        <v/>
      </c>
      <c r="H689">
        <f>(SUMPRODUCT(--ISNUMBER($E$2:$E$800),--($E$2:$E$800&lt;E689))+(SUMPRODUCT(--ISNUMBER($E$2:$E$800),--($E$2:$E$800=E689))+1)/2)/COUNT($E$2:$E$800)</f>
        <v/>
      </c>
      <c r="I689">
        <f>(SUMPRODUCT(--ISNUMBER($G$2:$G$800),--($G$2:$G$800&lt;G689))+(SUMPRODUCT(--ISNUMBER($G$2:$G$800),--($G$2:$G$800=G689))+1)/2)/COUNT($G$2:$G$800)</f>
        <v/>
      </c>
      <c r="M689">
        <f>IF(OR(B689="NW",COUNT(Risk_Rank_Keys!B689)=0),0.5,(SUMPRODUCT(--ISNUMBER(Risk_Rank_Keys!$B$2:$B$800),--(Risk_Rank_Keys!$B$2:$B$800&lt;Risk_Rank_Keys!B689))+(SUMPRODUCT(--ISNUMBER(Risk_Rank_Keys!$B$2:$B$800),--(Risk_Rank_Keys!$B$2:$B$800=Risk_Rank_Keys!B689))+1)/2)/COUNT(Risk_Rank_Keys!$B$2:$B$800))</f>
        <v/>
      </c>
      <c r="N689">
        <f>IF(OR(B689="NW",COUNT(Risk_Rank_Keys!C689)=0),0.5,(SUMPRODUCT(--ISNUMBER(Risk_Rank_Keys!$C$2:$C$800),--(Risk_Rank_Keys!$C$2:$C$800&lt;Risk_Rank_Keys!C689))+(SUMPRODUCT(--ISNUMBER(Risk_Rank_Keys!$C$2:$C$800),--(Risk_Rank_Keys!$C$2:$C$800=Risk_Rank_Keys!C689))+1)/2)/COUNT(Risk_Rank_Keys!$C$2:$C$800))</f>
        <v/>
      </c>
      <c r="O689">
        <f>IF(OR(B689="NW",COUNT(Risk_Rank_Keys!D689)=0),0.5,(SUMPRODUCT(--ISNUMBER(Risk_Rank_Keys!$D$2:$D$800),--(Risk_Rank_Keys!$D$2:$D$800&lt;Risk_Rank_Keys!D689))+(SUMPRODUCT(--ISNUMBER(Risk_Rank_Keys!$D$2:$D$800),--(Risk_Rank_Keys!$D$2:$D$800=Risk_Rank_Keys!D689))+1)/2)/COUNT(Risk_Rank_Keys!$D$2:$D$800))</f>
        <v/>
      </c>
      <c r="P689">
        <f>AVERAGE(M689:O689)</f>
        <v/>
      </c>
      <c r="Q689">
        <f>0.4*H689+0.4*I689+0.2*P689</f>
        <v/>
      </c>
      <c r="R689">
        <f>PERCENTILE($Q$2:$Q$800,0.75)</f>
        <v/>
      </c>
      <c r="S689">
        <f>OR(Q689&gt;=R689,AND(B689="CW",COUNT(J689:L689)&lt;3))</f>
        <v/>
      </c>
      <c r="T689" t="n">
        <v>0.3514603921715845</v>
      </c>
      <c r="U689" t="n">
        <v>10.58769150432165</v>
      </c>
      <c r="V689" t="n">
        <v>0.7678347934918649</v>
      </c>
      <c r="W689">
        <f>Q689-V689</f>
        <v/>
      </c>
    </row>
    <row r="690">
      <c r="A690" t="inlineStr">
        <is>
          <t>2025-06-26</t>
        </is>
      </c>
      <c r="B690" t="inlineStr">
        <is>
          <t>CW</t>
        </is>
      </c>
      <c r="C690" t="n">
        <v>-44.29365096813626</v>
      </c>
      <c r="D690">
        <f>SUMPRODUCT(Risk_Inputs!B690:AJ690,Risk_Coefs!$B$2:$AJ$2)</f>
        <v/>
      </c>
      <c r="E690">
        <f>1/(1+EXP(-MAX(-25,MIN(25,D690))))</f>
        <v/>
      </c>
      <c r="F690">
        <f>SUMPRODUCT(Risk_Inputs!B690:AJ690,Risk_Coefs!$B$3:$AJ$3)</f>
        <v/>
      </c>
      <c r="G690">
        <f>MAX(0,F690)</f>
        <v/>
      </c>
      <c r="H690">
        <f>(SUMPRODUCT(--ISNUMBER($E$2:$E$800),--($E$2:$E$800&lt;E690))+(SUMPRODUCT(--ISNUMBER($E$2:$E$800),--($E$2:$E$800=E690))+1)/2)/COUNT($E$2:$E$800)</f>
        <v/>
      </c>
      <c r="I690">
        <f>(SUMPRODUCT(--ISNUMBER($G$2:$G$800),--($G$2:$G$800&lt;G690))+(SUMPRODUCT(--ISNUMBER($G$2:$G$800),--($G$2:$G$800=G690))+1)/2)/COUNT($G$2:$G$800)</f>
        <v/>
      </c>
      <c r="J690" t="n">
        <v>5.798256184313835</v>
      </c>
      <c r="K690" t="n">
        <v>7.80542986425339</v>
      </c>
      <c r="L690" t="n">
        <v>0.2262443438914005</v>
      </c>
      <c r="M690">
        <f>IF(OR(B690="NW",COUNT(Risk_Rank_Keys!B690)=0),0.5,(SUMPRODUCT(--ISNUMBER(Risk_Rank_Keys!$B$2:$B$800),--(Risk_Rank_Keys!$B$2:$B$800&lt;Risk_Rank_Keys!B690))+(SUMPRODUCT(--ISNUMBER(Risk_Rank_Keys!$B$2:$B$800),--(Risk_Rank_Keys!$B$2:$B$800=Risk_Rank_Keys!B690))+1)/2)/COUNT(Risk_Rank_Keys!$B$2:$B$800))</f>
        <v/>
      </c>
      <c r="N690">
        <f>IF(OR(B690="NW",COUNT(Risk_Rank_Keys!C690)=0),0.5,(SUMPRODUCT(--ISNUMBER(Risk_Rank_Keys!$C$2:$C$800),--(Risk_Rank_Keys!$C$2:$C$800&lt;Risk_Rank_Keys!C690))+(SUMPRODUCT(--ISNUMBER(Risk_Rank_Keys!$C$2:$C$800),--(Risk_Rank_Keys!$C$2:$C$800=Risk_Rank_Keys!C690))+1)/2)/COUNT(Risk_Rank_Keys!$C$2:$C$800))</f>
        <v/>
      </c>
      <c r="O690">
        <f>IF(OR(B690="NW",COUNT(Risk_Rank_Keys!D690)=0),0.5,(SUMPRODUCT(--ISNUMBER(Risk_Rank_Keys!$D$2:$D$800),--(Risk_Rank_Keys!$D$2:$D$800&lt;Risk_Rank_Keys!D690))+(SUMPRODUCT(--ISNUMBER(Risk_Rank_Keys!$D$2:$D$800),--(Risk_Rank_Keys!$D$2:$D$800=Risk_Rank_Keys!D690))+1)/2)/COUNT(Risk_Rank_Keys!$D$2:$D$800))</f>
        <v/>
      </c>
      <c r="P690">
        <f>AVERAGE(M690:O690)</f>
        <v/>
      </c>
      <c r="Q690">
        <f>0.4*H690+0.4*I690+0.2*P690</f>
        <v/>
      </c>
      <c r="R690">
        <f>PERCENTILE($Q$2:$Q$800,0.75)</f>
        <v/>
      </c>
      <c r="S690">
        <f>OR(Q690&gt;=R690,AND(B690="CW",COUNT(J690:L690)&lt;3))</f>
        <v/>
      </c>
      <c r="T690" t="n">
        <v>0.3473348634415079</v>
      </c>
      <c r="U690" t="n">
        <v>11.8190163537978</v>
      </c>
      <c r="V690" t="n">
        <v>0.7878133347763273</v>
      </c>
      <c r="W690">
        <f>Q690-V690</f>
        <v/>
      </c>
    </row>
    <row r="691">
      <c r="A691" t="inlineStr">
        <is>
          <t>2025-06-27</t>
        </is>
      </c>
      <c r="B691" t="inlineStr">
        <is>
          <t>CW</t>
        </is>
      </c>
      <c r="C691" t="n">
        <v>25.36902118881765</v>
      </c>
      <c r="D691">
        <f>SUMPRODUCT(Risk_Inputs!B691:AJ691,Risk_Coefs!$B$2:$AJ$2)</f>
        <v/>
      </c>
      <c r="E691">
        <f>1/(1+EXP(-MAX(-25,MIN(25,D691))))</f>
        <v/>
      </c>
      <c r="F691">
        <f>SUMPRODUCT(Risk_Inputs!B691:AJ691,Risk_Coefs!$B$3:$AJ$3)</f>
        <v/>
      </c>
      <c r="G691">
        <f>MAX(0,F691)</f>
        <v/>
      </c>
      <c r="H691">
        <f>(SUMPRODUCT(--ISNUMBER($E$2:$E$800),--($E$2:$E$800&lt;E691))+(SUMPRODUCT(--ISNUMBER($E$2:$E$800),--($E$2:$E$800=E691))+1)/2)/COUNT($E$2:$E$800)</f>
        <v/>
      </c>
      <c r="I691">
        <f>(SUMPRODUCT(--ISNUMBER($G$2:$G$800),--($G$2:$G$800&lt;G691))+(SUMPRODUCT(--ISNUMBER($G$2:$G$800),--($G$2:$G$800=G691))+1)/2)/COUNT($G$2:$G$800)</f>
        <v/>
      </c>
      <c r="J691" t="n">
        <v>6.169067592286821</v>
      </c>
      <c r="K691" t="n">
        <v>1.590487955528097</v>
      </c>
      <c r="L691" t="n">
        <v>0.1235330450895632</v>
      </c>
      <c r="M691">
        <f>IF(OR(B691="NW",COUNT(Risk_Rank_Keys!B691)=0),0.5,(SUMPRODUCT(--ISNUMBER(Risk_Rank_Keys!$B$2:$B$800),--(Risk_Rank_Keys!$B$2:$B$800&lt;Risk_Rank_Keys!B691))+(SUMPRODUCT(--ISNUMBER(Risk_Rank_Keys!$B$2:$B$800),--(Risk_Rank_Keys!$B$2:$B$800=Risk_Rank_Keys!B691))+1)/2)/COUNT(Risk_Rank_Keys!$B$2:$B$800))</f>
        <v/>
      </c>
      <c r="N691">
        <f>IF(OR(B691="NW",COUNT(Risk_Rank_Keys!C691)=0),0.5,(SUMPRODUCT(--ISNUMBER(Risk_Rank_Keys!$C$2:$C$800),--(Risk_Rank_Keys!$C$2:$C$800&lt;Risk_Rank_Keys!C691))+(SUMPRODUCT(--ISNUMBER(Risk_Rank_Keys!$C$2:$C$800),--(Risk_Rank_Keys!$C$2:$C$800=Risk_Rank_Keys!C691))+1)/2)/COUNT(Risk_Rank_Keys!$C$2:$C$800))</f>
        <v/>
      </c>
      <c r="O691">
        <f>IF(OR(B691="NW",COUNT(Risk_Rank_Keys!D691)=0),0.5,(SUMPRODUCT(--ISNUMBER(Risk_Rank_Keys!$D$2:$D$800),--(Risk_Rank_Keys!$D$2:$D$800&lt;Risk_Rank_Keys!D691))+(SUMPRODUCT(--ISNUMBER(Risk_Rank_Keys!$D$2:$D$800),--(Risk_Rank_Keys!$D$2:$D$800=Risk_Rank_Keys!D691))+1)/2)/COUNT(Risk_Rank_Keys!$D$2:$D$800))</f>
        <v/>
      </c>
      <c r="P691">
        <f>AVERAGE(M691:O691)</f>
        <v/>
      </c>
      <c r="Q691">
        <f>0.4*H691+0.4*I691+0.2*P691</f>
        <v/>
      </c>
      <c r="R691">
        <f>PERCENTILE($Q$2:$Q$800,0.75)</f>
        <v/>
      </c>
      <c r="S691">
        <f>OR(Q691&gt;=R691,AND(B691="CW",COUNT(J691:L691)&lt;3))</f>
        <v/>
      </c>
      <c r="T691" t="n">
        <v>0.2452654691947493</v>
      </c>
      <c r="U691" t="n">
        <v>6.610539410832498</v>
      </c>
      <c r="V691" t="n">
        <v>0.2724068730729777</v>
      </c>
      <c r="W691">
        <f>Q691-V691</f>
        <v/>
      </c>
    </row>
    <row r="692">
      <c r="A692" t="inlineStr">
        <is>
          <t>2025-07-01</t>
        </is>
      </c>
      <c r="B692" t="inlineStr">
        <is>
          <t>CW</t>
        </is>
      </c>
      <c r="C692" t="n">
        <v>47.05882531772281</v>
      </c>
      <c r="D692">
        <f>SUMPRODUCT(Risk_Inputs!B692:AJ692,Risk_Coefs!$B$2:$AJ$2)</f>
        <v/>
      </c>
      <c r="E692">
        <f>1/(1+EXP(-MAX(-25,MIN(25,D692))))</f>
        <v/>
      </c>
      <c r="F692">
        <f>SUMPRODUCT(Risk_Inputs!B692:AJ692,Risk_Coefs!$B$3:$AJ$3)</f>
        <v/>
      </c>
      <c r="G692">
        <f>MAX(0,F692)</f>
        <v/>
      </c>
      <c r="H692">
        <f>(SUMPRODUCT(--ISNUMBER($E$2:$E$800),--($E$2:$E$800&lt;E692))+(SUMPRODUCT(--ISNUMBER($E$2:$E$800),--($E$2:$E$800=E692))+1)/2)/COUNT($E$2:$E$800)</f>
        <v/>
      </c>
      <c r="I692">
        <f>(SUMPRODUCT(--ISNUMBER($G$2:$G$800),--($G$2:$G$800&lt;G692))+(SUMPRODUCT(--ISNUMBER($G$2:$G$800),--($G$2:$G$800=G692))+1)/2)/COUNT($G$2:$G$800)</f>
        <v/>
      </c>
      <c r="J692" t="n">
        <v>7.331421413631633</v>
      </c>
      <c r="K692" t="n">
        <v>5.373134328358208</v>
      </c>
      <c r="L692" t="n">
        <v>0.2189054726368204</v>
      </c>
      <c r="M692">
        <f>IF(OR(B692="NW",COUNT(Risk_Rank_Keys!B692)=0),0.5,(SUMPRODUCT(--ISNUMBER(Risk_Rank_Keys!$B$2:$B$800),--(Risk_Rank_Keys!$B$2:$B$800&lt;Risk_Rank_Keys!B692))+(SUMPRODUCT(--ISNUMBER(Risk_Rank_Keys!$B$2:$B$800),--(Risk_Rank_Keys!$B$2:$B$800=Risk_Rank_Keys!B692))+1)/2)/COUNT(Risk_Rank_Keys!$B$2:$B$800))</f>
        <v/>
      </c>
      <c r="N692">
        <f>IF(OR(B692="NW",COUNT(Risk_Rank_Keys!C692)=0),0.5,(SUMPRODUCT(--ISNUMBER(Risk_Rank_Keys!$C$2:$C$800),--(Risk_Rank_Keys!$C$2:$C$800&lt;Risk_Rank_Keys!C692))+(SUMPRODUCT(--ISNUMBER(Risk_Rank_Keys!$C$2:$C$800),--(Risk_Rank_Keys!$C$2:$C$800=Risk_Rank_Keys!C692))+1)/2)/COUNT(Risk_Rank_Keys!$C$2:$C$800))</f>
        <v/>
      </c>
      <c r="O692">
        <f>IF(OR(B692="NW",COUNT(Risk_Rank_Keys!D692)=0),0.5,(SUMPRODUCT(--ISNUMBER(Risk_Rank_Keys!$D$2:$D$800),--(Risk_Rank_Keys!$D$2:$D$800&lt;Risk_Rank_Keys!D692))+(SUMPRODUCT(--ISNUMBER(Risk_Rank_Keys!$D$2:$D$800),--(Risk_Rank_Keys!$D$2:$D$800=Risk_Rank_Keys!D692))+1)/2)/COUNT(Risk_Rank_Keys!$D$2:$D$800))</f>
        <v/>
      </c>
      <c r="P692">
        <f>AVERAGE(M692:O692)</f>
        <v/>
      </c>
      <c r="Q692">
        <f>0.4*H692+0.4*I692+0.2*P692</f>
        <v/>
      </c>
      <c r="R692">
        <f>PERCENTILE($Q$2:$Q$800,0.75)</f>
        <v/>
      </c>
      <c r="S692">
        <f>OR(Q692&gt;=R692,AND(B692="CW",COUNT(J692:L692)&lt;3))</f>
        <v/>
      </c>
      <c r="T692" t="n">
        <v>0.2422883385448082</v>
      </c>
      <c r="U692" t="n">
        <v>5.567729837908607</v>
      </c>
      <c r="V692" t="n">
        <v>0.2764669225653406</v>
      </c>
      <c r="W692">
        <f>Q692-V692</f>
        <v/>
      </c>
    </row>
    <row r="693">
      <c r="A693" t="inlineStr">
        <is>
          <t>2025-07-04</t>
        </is>
      </c>
      <c r="B693" t="inlineStr">
        <is>
          <t>CW</t>
        </is>
      </c>
      <c r="C693" t="n">
        <v>24.82274577539862</v>
      </c>
      <c r="D693">
        <f>SUMPRODUCT(Risk_Inputs!B693:AJ693,Risk_Coefs!$B$2:$AJ$2)</f>
        <v/>
      </c>
      <c r="E693">
        <f>1/(1+EXP(-MAX(-25,MIN(25,D693))))</f>
        <v/>
      </c>
      <c r="F693">
        <f>SUMPRODUCT(Risk_Inputs!B693:AJ693,Risk_Coefs!$B$3:$AJ$3)</f>
        <v/>
      </c>
      <c r="G693">
        <f>MAX(0,F693)</f>
        <v/>
      </c>
      <c r="H693">
        <f>(SUMPRODUCT(--ISNUMBER($E$2:$E$800),--($E$2:$E$800&lt;E693))+(SUMPRODUCT(--ISNUMBER($E$2:$E$800),--($E$2:$E$800=E693))+1)/2)/COUNT($E$2:$E$800)</f>
        <v/>
      </c>
      <c r="I693">
        <f>(SUMPRODUCT(--ISNUMBER($G$2:$G$800),--($G$2:$G$800&lt;G693))+(SUMPRODUCT(--ISNUMBER($G$2:$G$800),--($G$2:$G$800=G693))+1)/2)/COUNT($G$2:$G$800)</f>
        <v/>
      </c>
      <c r="J693" t="n">
        <v>4.912614414791149</v>
      </c>
      <c r="K693" t="n">
        <v>1.503038055644402</v>
      </c>
      <c r="L693" t="n">
        <v>0.1598976654940838</v>
      </c>
      <c r="M693">
        <f>IF(OR(B693="NW",COUNT(Risk_Rank_Keys!B693)=0),0.5,(SUMPRODUCT(--ISNUMBER(Risk_Rank_Keys!$B$2:$B$800),--(Risk_Rank_Keys!$B$2:$B$800&lt;Risk_Rank_Keys!B693))+(SUMPRODUCT(--ISNUMBER(Risk_Rank_Keys!$B$2:$B$800),--(Risk_Rank_Keys!$B$2:$B$800=Risk_Rank_Keys!B693))+1)/2)/COUNT(Risk_Rank_Keys!$B$2:$B$800))</f>
        <v/>
      </c>
      <c r="N693">
        <f>IF(OR(B693="NW",COUNT(Risk_Rank_Keys!C693)=0),0.5,(SUMPRODUCT(--ISNUMBER(Risk_Rank_Keys!$C$2:$C$800),--(Risk_Rank_Keys!$C$2:$C$800&lt;Risk_Rank_Keys!C693))+(SUMPRODUCT(--ISNUMBER(Risk_Rank_Keys!$C$2:$C$800),--(Risk_Rank_Keys!$C$2:$C$800=Risk_Rank_Keys!C693))+1)/2)/COUNT(Risk_Rank_Keys!$C$2:$C$800))</f>
        <v/>
      </c>
      <c r="O693">
        <f>IF(OR(B693="NW",COUNT(Risk_Rank_Keys!D693)=0),0.5,(SUMPRODUCT(--ISNUMBER(Risk_Rank_Keys!$D$2:$D$800),--(Risk_Rank_Keys!$D$2:$D$800&lt;Risk_Rank_Keys!D693))+(SUMPRODUCT(--ISNUMBER(Risk_Rank_Keys!$D$2:$D$800),--(Risk_Rank_Keys!$D$2:$D$800=Risk_Rank_Keys!D693))+1)/2)/COUNT(Risk_Rank_Keys!$D$2:$D$800))</f>
        <v/>
      </c>
      <c r="P693">
        <f>AVERAGE(M693:O693)</f>
        <v/>
      </c>
      <c r="Q693">
        <f>0.4*H693+0.4*I693+0.2*P693</f>
        <v/>
      </c>
      <c r="R693">
        <f>PERCENTILE($Q$2:$Q$800,0.75)</f>
        <v/>
      </c>
      <c r="S693">
        <f>OR(Q693&gt;=R693,AND(B693="CW",COUNT(J693:L693)&lt;3))</f>
        <v/>
      </c>
      <c r="T693" t="n">
        <v>0.2540603973150325</v>
      </c>
      <c r="U693" t="n">
        <v>5.739788279106937</v>
      </c>
      <c r="V693" t="n">
        <v>0.2368908369306356</v>
      </c>
      <c r="W693">
        <f>Q693-V693</f>
        <v/>
      </c>
    </row>
    <row r="694">
      <c r="A694" t="inlineStr">
        <is>
          <t>2025-07-07</t>
        </is>
      </c>
      <c r="B694" t="inlineStr">
        <is>
          <t>CW</t>
        </is>
      </c>
      <c r="C694" t="n">
        <v>9.643731146155435</v>
      </c>
      <c r="D694">
        <f>SUMPRODUCT(Risk_Inputs!B694:AJ694,Risk_Coefs!$B$2:$AJ$2)</f>
        <v/>
      </c>
      <c r="E694">
        <f>1/(1+EXP(-MAX(-25,MIN(25,D694))))</f>
        <v/>
      </c>
      <c r="F694">
        <f>SUMPRODUCT(Risk_Inputs!B694:AJ694,Risk_Coefs!$B$3:$AJ$3)</f>
        <v/>
      </c>
      <c r="G694">
        <f>MAX(0,F694)</f>
        <v/>
      </c>
      <c r="H694">
        <f>(SUMPRODUCT(--ISNUMBER($E$2:$E$800),--($E$2:$E$800&lt;E694))+(SUMPRODUCT(--ISNUMBER($E$2:$E$800),--($E$2:$E$800=E694))+1)/2)/COUNT($E$2:$E$800)</f>
        <v/>
      </c>
      <c r="I694">
        <f>(SUMPRODUCT(--ISNUMBER($G$2:$G$800),--($G$2:$G$800&lt;G694))+(SUMPRODUCT(--ISNUMBER($G$2:$G$800),--($G$2:$G$800=G694))+1)/2)/COUNT($G$2:$G$800)</f>
        <v/>
      </c>
      <c r="J694" t="n">
        <v>8.297531386101511</v>
      </c>
      <c r="K694" t="n">
        <v>2.448735815249842</v>
      </c>
      <c r="L694" t="n">
        <v>0.1990842126219277</v>
      </c>
      <c r="M694">
        <f>IF(OR(B694="NW",COUNT(Risk_Rank_Keys!B694)=0),0.5,(SUMPRODUCT(--ISNUMBER(Risk_Rank_Keys!$B$2:$B$800),--(Risk_Rank_Keys!$B$2:$B$800&lt;Risk_Rank_Keys!B694))+(SUMPRODUCT(--ISNUMBER(Risk_Rank_Keys!$B$2:$B$800),--(Risk_Rank_Keys!$B$2:$B$800=Risk_Rank_Keys!B694))+1)/2)/COUNT(Risk_Rank_Keys!$B$2:$B$800))</f>
        <v/>
      </c>
      <c r="N694">
        <f>IF(OR(B694="NW",COUNT(Risk_Rank_Keys!C694)=0),0.5,(SUMPRODUCT(--ISNUMBER(Risk_Rank_Keys!$C$2:$C$800),--(Risk_Rank_Keys!$C$2:$C$800&lt;Risk_Rank_Keys!C694))+(SUMPRODUCT(--ISNUMBER(Risk_Rank_Keys!$C$2:$C$800),--(Risk_Rank_Keys!$C$2:$C$800=Risk_Rank_Keys!C694))+1)/2)/COUNT(Risk_Rank_Keys!$C$2:$C$800))</f>
        <v/>
      </c>
      <c r="O694">
        <f>IF(OR(B694="NW",COUNT(Risk_Rank_Keys!D694)=0),0.5,(SUMPRODUCT(--ISNUMBER(Risk_Rank_Keys!$D$2:$D$800),--(Risk_Rank_Keys!$D$2:$D$800&lt;Risk_Rank_Keys!D694))+(SUMPRODUCT(--ISNUMBER(Risk_Rank_Keys!$D$2:$D$800),--(Risk_Rank_Keys!$D$2:$D$800=Risk_Rank_Keys!D694))+1)/2)/COUNT(Risk_Rank_Keys!$D$2:$D$800))</f>
        <v/>
      </c>
      <c r="P694">
        <f>AVERAGE(M694:O694)</f>
        <v/>
      </c>
      <c r="Q694">
        <f>0.4*H694+0.4*I694+0.2*P694</f>
        <v/>
      </c>
      <c r="R694">
        <f>PERCENTILE($Q$2:$Q$800,0.75)</f>
        <v/>
      </c>
      <c r="S694">
        <f>OR(Q694&gt;=R694,AND(B694="CW",COUNT(J694:L694)&lt;3))</f>
        <v/>
      </c>
      <c r="T694" t="n">
        <v>0.2776674807073489</v>
      </c>
      <c r="U694" t="n">
        <v>6.056717315559363</v>
      </c>
      <c r="V694" t="n">
        <v>0.3623867351623282</v>
      </c>
      <c r="W694">
        <f>Q694-V694</f>
        <v/>
      </c>
    </row>
    <row r="695">
      <c r="A695" t="inlineStr">
        <is>
          <t>2025-07-08</t>
        </is>
      </c>
      <c r="B695" t="inlineStr">
        <is>
          <t>CW</t>
        </is>
      </c>
      <c r="C695" t="n">
        <v>41.73959770269848</v>
      </c>
      <c r="D695">
        <f>SUMPRODUCT(Risk_Inputs!B695:AJ695,Risk_Coefs!$B$2:$AJ$2)</f>
        <v/>
      </c>
      <c r="E695">
        <f>1/(1+EXP(-MAX(-25,MIN(25,D695))))</f>
        <v/>
      </c>
      <c r="F695">
        <f>SUMPRODUCT(Risk_Inputs!B695:AJ695,Risk_Coefs!$B$3:$AJ$3)</f>
        <v/>
      </c>
      <c r="G695">
        <f>MAX(0,F695)</f>
        <v/>
      </c>
      <c r="H695">
        <f>(SUMPRODUCT(--ISNUMBER($E$2:$E$800),--($E$2:$E$800&lt;E695))+(SUMPRODUCT(--ISNUMBER($E$2:$E$800),--($E$2:$E$800=E695))+1)/2)/COUNT($E$2:$E$800)</f>
        <v/>
      </c>
      <c r="I695">
        <f>(SUMPRODUCT(--ISNUMBER($G$2:$G$800),--($G$2:$G$800&lt;G695))+(SUMPRODUCT(--ISNUMBER($G$2:$G$800),--($G$2:$G$800=G695))+1)/2)/COUNT($G$2:$G$800)</f>
        <v/>
      </c>
      <c r="J695" t="n">
        <v>5.148500843017315</v>
      </c>
      <c r="K695" t="n">
        <v>2.382043060009169</v>
      </c>
      <c r="L695" t="n">
        <v>0.2061383417315633</v>
      </c>
      <c r="M695">
        <f>IF(OR(B695="NW",COUNT(Risk_Rank_Keys!B695)=0),0.5,(SUMPRODUCT(--ISNUMBER(Risk_Rank_Keys!$B$2:$B$800),--(Risk_Rank_Keys!$B$2:$B$800&lt;Risk_Rank_Keys!B695))+(SUMPRODUCT(--ISNUMBER(Risk_Rank_Keys!$B$2:$B$800),--(Risk_Rank_Keys!$B$2:$B$800=Risk_Rank_Keys!B695))+1)/2)/COUNT(Risk_Rank_Keys!$B$2:$B$800))</f>
        <v/>
      </c>
      <c r="N695">
        <f>IF(OR(B695="NW",COUNT(Risk_Rank_Keys!C695)=0),0.5,(SUMPRODUCT(--ISNUMBER(Risk_Rank_Keys!$C$2:$C$800),--(Risk_Rank_Keys!$C$2:$C$800&lt;Risk_Rank_Keys!C695))+(SUMPRODUCT(--ISNUMBER(Risk_Rank_Keys!$C$2:$C$800),--(Risk_Rank_Keys!$C$2:$C$800=Risk_Rank_Keys!C695))+1)/2)/COUNT(Risk_Rank_Keys!$C$2:$C$800))</f>
        <v/>
      </c>
      <c r="O695">
        <f>IF(OR(B695="NW",COUNT(Risk_Rank_Keys!D695)=0),0.5,(SUMPRODUCT(--ISNUMBER(Risk_Rank_Keys!$D$2:$D$800),--(Risk_Rank_Keys!$D$2:$D$800&lt;Risk_Rank_Keys!D695))+(SUMPRODUCT(--ISNUMBER(Risk_Rank_Keys!$D$2:$D$800),--(Risk_Rank_Keys!$D$2:$D$800=Risk_Rank_Keys!D695))+1)/2)/COUNT(Risk_Rank_Keys!$D$2:$D$800))</f>
        <v/>
      </c>
      <c r="P695">
        <f>AVERAGE(M695:O695)</f>
        <v/>
      </c>
      <c r="Q695">
        <f>0.4*H695+0.4*I695+0.2*P695</f>
        <v/>
      </c>
      <c r="R695">
        <f>PERCENTILE($Q$2:$Q$800,0.75)</f>
        <v/>
      </c>
      <c r="S695">
        <f>OR(Q695&gt;=R695,AND(B695="CW",COUNT(J695:L695)&lt;3))</f>
        <v/>
      </c>
      <c r="T695" t="n">
        <v>0.2482864523460065</v>
      </c>
      <c r="U695" t="n">
        <v>5.147248458991831</v>
      </c>
      <c r="V695" t="n">
        <v>0.2198860849423006</v>
      </c>
      <c r="W695">
        <f>Q695-V695</f>
        <v/>
      </c>
    </row>
    <row r="696">
      <c r="A696" t="inlineStr">
        <is>
          <t>2025-07-14</t>
        </is>
      </c>
      <c r="B696" t="inlineStr">
        <is>
          <t>CW</t>
        </is>
      </c>
      <c r="C696" t="n">
        <v>3.569109194670902</v>
      </c>
      <c r="D696">
        <f>SUMPRODUCT(Risk_Inputs!B696:AJ696,Risk_Coefs!$B$2:$AJ$2)</f>
        <v/>
      </c>
      <c r="E696">
        <f>1/(1+EXP(-MAX(-25,MIN(25,D696))))</f>
        <v/>
      </c>
      <c r="F696">
        <f>SUMPRODUCT(Risk_Inputs!B696:AJ696,Risk_Coefs!$B$3:$AJ$3)</f>
        <v/>
      </c>
      <c r="G696">
        <f>MAX(0,F696)</f>
        <v/>
      </c>
      <c r="H696">
        <f>(SUMPRODUCT(--ISNUMBER($E$2:$E$800),--($E$2:$E$800&lt;E696))+(SUMPRODUCT(--ISNUMBER($E$2:$E$800),--($E$2:$E$800=E696))+1)/2)/COUNT($E$2:$E$800)</f>
        <v/>
      </c>
      <c r="I696">
        <f>(SUMPRODUCT(--ISNUMBER($G$2:$G$800),--($G$2:$G$800&lt;G696))+(SUMPRODUCT(--ISNUMBER($G$2:$G$800),--($G$2:$G$800=G696))+1)/2)/COUNT($G$2:$G$800)</f>
        <v/>
      </c>
      <c r="J696" t="n">
        <v>4.835984500967324</v>
      </c>
      <c r="K696" t="n">
        <v>1.389793702497281</v>
      </c>
      <c r="L696" t="n">
        <v>0.2605863192182386</v>
      </c>
      <c r="M696">
        <f>IF(OR(B696="NW",COUNT(Risk_Rank_Keys!B696)=0),0.5,(SUMPRODUCT(--ISNUMBER(Risk_Rank_Keys!$B$2:$B$800),--(Risk_Rank_Keys!$B$2:$B$800&lt;Risk_Rank_Keys!B696))+(SUMPRODUCT(--ISNUMBER(Risk_Rank_Keys!$B$2:$B$800),--(Risk_Rank_Keys!$B$2:$B$800=Risk_Rank_Keys!B696))+1)/2)/COUNT(Risk_Rank_Keys!$B$2:$B$800))</f>
        <v/>
      </c>
      <c r="N696">
        <f>IF(OR(B696="NW",COUNT(Risk_Rank_Keys!C696)=0),0.5,(SUMPRODUCT(--ISNUMBER(Risk_Rank_Keys!$C$2:$C$800),--(Risk_Rank_Keys!$C$2:$C$800&lt;Risk_Rank_Keys!C696))+(SUMPRODUCT(--ISNUMBER(Risk_Rank_Keys!$C$2:$C$800),--(Risk_Rank_Keys!$C$2:$C$800=Risk_Rank_Keys!C696))+1)/2)/COUNT(Risk_Rank_Keys!$C$2:$C$800))</f>
        <v/>
      </c>
      <c r="O696">
        <f>IF(OR(B696="NW",COUNT(Risk_Rank_Keys!D696)=0),0.5,(SUMPRODUCT(--ISNUMBER(Risk_Rank_Keys!$D$2:$D$800),--(Risk_Rank_Keys!$D$2:$D$800&lt;Risk_Rank_Keys!D696))+(SUMPRODUCT(--ISNUMBER(Risk_Rank_Keys!$D$2:$D$800),--(Risk_Rank_Keys!$D$2:$D$800=Risk_Rank_Keys!D696))+1)/2)/COUNT(Risk_Rank_Keys!$D$2:$D$800))</f>
        <v/>
      </c>
      <c r="P696">
        <f>AVERAGE(M696:O696)</f>
        <v/>
      </c>
      <c r="Q696">
        <f>0.4*H696+0.4*I696+0.2*P696</f>
        <v/>
      </c>
      <c r="R696">
        <f>PERCENTILE($Q$2:$Q$800,0.75)</f>
        <v/>
      </c>
      <c r="S696">
        <f>OR(Q696&gt;=R696,AND(B696="CW",COUNT(J696:L696)&lt;3))</f>
        <v/>
      </c>
      <c r="T696" t="n">
        <v>0.3249226083691079</v>
      </c>
      <c r="U696" t="n">
        <v>5.854474259119458</v>
      </c>
      <c r="V696" t="n">
        <v>0.4374366144570532</v>
      </c>
      <c r="W696">
        <f>Q696-V696</f>
        <v/>
      </c>
    </row>
    <row r="697">
      <c r="A697" t="inlineStr">
        <is>
          <t>2025-07-15</t>
        </is>
      </c>
      <c r="B697" t="inlineStr">
        <is>
          <t>CW</t>
        </is>
      </c>
      <c r="C697" t="n">
        <v>32.73696470961502</v>
      </c>
      <c r="D697">
        <f>SUMPRODUCT(Risk_Inputs!B697:AJ697,Risk_Coefs!$B$2:$AJ$2)</f>
        <v/>
      </c>
      <c r="E697">
        <f>1/(1+EXP(-MAX(-25,MIN(25,D697))))</f>
        <v/>
      </c>
      <c r="F697">
        <f>SUMPRODUCT(Risk_Inputs!B697:AJ697,Risk_Coefs!$B$3:$AJ$3)</f>
        <v/>
      </c>
      <c r="G697">
        <f>MAX(0,F697)</f>
        <v/>
      </c>
      <c r="H697">
        <f>(SUMPRODUCT(--ISNUMBER($E$2:$E$800),--($E$2:$E$800&lt;E697))+(SUMPRODUCT(--ISNUMBER($E$2:$E$800),--($E$2:$E$800=E697))+1)/2)/COUNT($E$2:$E$800)</f>
        <v/>
      </c>
      <c r="I697">
        <f>(SUMPRODUCT(--ISNUMBER($G$2:$G$800),--($G$2:$G$800&lt;G697))+(SUMPRODUCT(--ISNUMBER($G$2:$G$800),--($G$2:$G$800=G697))+1)/2)/COUNT($G$2:$G$800)</f>
        <v/>
      </c>
      <c r="J697" t="n">
        <v>5.306906133351837</v>
      </c>
      <c r="K697" t="n">
        <v>2.325581395348825</v>
      </c>
      <c r="L697" t="n">
        <v>0.1585623678646994</v>
      </c>
      <c r="M697">
        <f>IF(OR(B697="NW",COUNT(Risk_Rank_Keys!B697)=0),0.5,(SUMPRODUCT(--ISNUMBER(Risk_Rank_Keys!$B$2:$B$800),--(Risk_Rank_Keys!$B$2:$B$800&lt;Risk_Rank_Keys!B697))+(SUMPRODUCT(--ISNUMBER(Risk_Rank_Keys!$B$2:$B$800),--(Risk_Rank_Keys!$B$2:$B$800=Risk_Rank_Keys!B697))+1)/2)/COUNT(Risk_Rank_Keys!$B$2:$B$800))</f>
        <v/>
      </c>
      <c r="N697">
        <f>IF(OR(B697="NW",COUNT(Risk_Rank_Keys!C697)=0),0.5,(SUMPRODUCT(--ISNUMBER(Risk_Rank_Keys!$C$2:$C$800),--(Risk_Rank_Keys!$C$2:$C$800&lt;Risk_Rank_Keys!C697))+(SUMPRODUCT(--ISNUMBER(Risk_Rank_Keys!$C$2:$C$800),--(Risk_Rank_Keys!$C$2:$C$800=Risk_Rank_Keys!C697))+1)/2)/COUNT(Risk_Rank_Keys!$C$2:$C$800))</f>
        <v/>
      </c>
      <c r="O697">
        <f>IF(OR(B697="NW",COUNT(Risk_Rank_Keys!D697)=0),0.5,(SUMPRODUCT(--ISNUMBER(Risk_Rank_Keys!$D$2:$D$800),--(Risk_Rank_Keys!$D$2:$D$800&lt;Risk_Rank_Keys!D697))+(SUMPRODUCT(--ISNUMBER(Risk_Rank_Keys!$D$2:$D$800),--(Risk_Rank_Keys!$D$2:$D$800=Risk_Rank_Keys!D697))+1)/2)/COUNT(Risk_Rank_Keys!$D$2:$D$800))</f>
        <v/>
      </c>
      <c r="P697">
        <f>AVERAGE(M697:O697)</f>
        <v/>
      </c>
      <c r="Q697">
        <f>0.4*H697+0.4*I697+0.2*P697</f>
        <v/>
      </c>
      <c r="R697">
        <f>PERCENTILE($Q$2:$Q$800,0.75)</f>
        <v/>
      </c>
      <c r="S697">
        <f>OR(Q697&gt;=R697,AND(B697="CW",COUNT(J697:L697)&lt;3))</f>
        <v/>
      </c>
      <c r="T697" t="n">
        <v>0.2716485310396774</v>
      </c>
      <c r="U697" t="n">
        <v>6.500627998700775</v>
      </c>
      <c r="V697" t="n">
        <v>0.337746567216459</v>
      </c>
      <c r="W697">
        <f>Q697-V697</f>
        <v/>
      </c>
    </row>
    <row r="698">
      <c r="A698" t="inlineStr">
        <is>
          <t>2025-07-18</t>
        </is>
      </c>
      <c r="B698" t="inlineStr">
        <is>
          <t>CW</t>
        </is>
      </c>
      <c r="C698" t="n">
        <v>25.16120604297768</v>
      </c>
      <c r="D698">
        <f>SUMPRODUCT(Risk_Inputs!B698:AJ698,Risk_Coefs!$B$2:$AJ$2)</f>
        <v/>
      </c>
      <c r="E698">
        <f>1/(1+EXP(-MAX(-25,MIN(25,D698))))</f>
        <v/>
      </c>
      <c r="F698">
        <f>SUMPRODUCT(Risk_Inputs!B698:AJ698,Risk_Coefs!$B$3:$AJ$3)</f>
        <v/>
      </c>
      <c r="G698">
        <f>MAX(0,F698)</f>
        <v/>
      </c>
      <c r="H698">
        <f>(SUMPRODUCT(--ISNUMBER($E$2:$E$800),--($E$2:$E$800&lt;E698))+(SUMPRODUCT(--ISNUMBER($E$2:$E$800),--($E$2:$E$800=E698))+1)/2)/COUNT($E$2:$E$800)</f>
        <v/>
      </c>
      <c r="I698">
        <f>(SUMPRODUCT(--ISNUMBER($G$2:$G$800),--($G$2:$G$800&lt;G698))+(SUMPRODUCT(--ISNUMBER($G$2:$G$800),--($G$2:$G$800=G698))+1)/2)/COUNT($G$2:$G$800)</f>
        <v/>
      </c>
      <c r="J698" t="n">
        <v>6.95993040069512</v>
      </c>
      <c r="K698" t="n">
        <v>2.598327104466971</v>
      </c>
      <c r="L698" t="n">
        <v>0.2135611318739969</v>
      </c>
      <c r="M698">
        <f>IF(OR(B698="NW",COUNT(Risk_Rank_Keys!B698)=0),0.5,(SUMPRODUCT(--ISNUMBER(Risk_Rank_Keys!$B$2:$B$800),--(Risk_Rank_Keys!$B$2:$B$800&lt;Risk_Rank_Keys!B698))+(SUMPRODUCT(--ISNUMBER(Risk_Rank_Keys!$B$2:$B$800),--(Risk_Rank_Keys!$B$2:$B$800=Risk_Rank_Keys!B698))+1)/2)/COUNT(Risk_Rank_Keys!$B$2:$B$800))</f>
        <v/>
      </c>
      <c r="N698">
        <f>IF(OR(B698="NW",COUNT(Risk_Rank_Keys!C698)=0),0.5,(SUMPRODUCT(--ISNUMBER(Risk_Rank_Keys!$C$2:$C$800),--(Risk_Rank_Keys!$C$2:$C$800&lt;Risk_Rank_Keys!C698))+(SUMPRODUCT(--ISNUMBER(Risk_Rank_Keys!$C$2:$C$800),--(Risk_Rank_Keys!$C$2:$C$800=Risk_Rank_Keys!C698))+1)/2)/COUNT(Risk_Rank_Keys!$C$2:$C$800))</f>
        <v/>
      </c>
      <c r="O698">
        <f>IF(OR(B698="NW",COUNT(Risk_Rank_Keys!D698)=0),0.5,(SUMPRODUCT(--ISNUMBER(Risk_Rank_Keys!$D$2:$D$800),--(Risk_Rank_Keys!$D$2:$D$800&lt;Risk_Rank_Keys!D698))+(SUMPRODUCT(--ISNUMBER(Risk_Rank_Keys!$D$2:$D$800),--(Risk_Rank_Keys!$D$2:$D$800=Risk_Rank_Keys!D698))+1)/2)/COUNT(Risk_Rank_Keys!$D$2:$D$800))</f>
        <v/>
      </c>
      <c r="P698">
        <f>AVERAGE(M698:O698)</f>
        <v/>
      </c>
      <c r="Q698">
        <f>0.4*H698+0.4*I698+0.2*P698</f>
        <v/>
      </c>
      <c r="R698">
        <f>PERCENTILE($Q$2:$Q$800,0.75)</f>
        <v/>
      </c>
      <c r="S698">
        <f>OR(Q698&gt;=R698,AND(B698="CW",COUNT(J698:L698)&lt;3))</f>
        <v/>
      </c>
      <c r="T698" t="n">
        <v>0.3158228815534619</v>
      </c>
      <c r="U698" t="n">
        <v>10.47467062268247</v>
      </c>
      <c r="V698" t="n">
        <v>0.6667172878231681</v>
      </c>
      <c r="W698">
        <f>Q698-V698</f>
        <v/>
      </c>
    </row>
    <row r="699">
      <c r="A699" t="inlineStr">
        <is>
          <t>2025-07-21</t>
        </is>
      </c>
      <c r="B699" t="inlineStr">
        <is>
          <t>CW</t>
        </is>
      </c>
      <c r="C699" t="n">
        <v>11.30736351885154</v>
      </c>
      <c r="D699">
        <f>SUMPRODUCT(Risk_Inputs!B699:AJ699,Risk_Coefs!$B$2:$AJ$2)</f>
        <v/>
      </c>
      <c r="E699">
        <f>1/(1+EXP(-MAX(-25,MIN(25,D699))))</f>
        <v/>
      </c>
      <c r="F699">
        <f>SUMPRODUCT(Risk_Inputs!B699:AJ699,Risk_Coefs!$B$3:$AJ$3)</f>
        <v/>
      </c>
      <c r="G699">
        <f>MAX(0,F699)</f>
        <v/>
      </c>
      <c r="H699">
        <f>(SUMPRODUCT(--ISNUMBER($E$2:$E$800),--($E$2:$E$800&lt;E699))+(SUMPRODUCT(--ISNUMBER($E$2:$E$800),--($E$2:$E$800=E699))+1)/2)/COUNT($E$2:$E$800)</f>
        <v/>
      </c>
      <c r="I699">
        <f>(SUMPRODUCT(--ISNUMBER($G$2:$G$800),--($G$2:$G$800&lt;G699))+(SUMPRODUCT(--ISNUMBER($G$2:$G$800),--($G$2:$G$800=G699))+1)/2)/COUNT($G$2:$G$800)</f>
        <v/>
      </c>
      <c r="J699" t="n">
        <v>7.744445311608281</v>
      </c>
      <c r="K699" t="n">
        <v>0.817995910020455</v>
      </c>
      <c r="L699" t="n">
        <v>0.159054760281758</v>
      </c>
      <c r="M699">
        <f>IF(OR(B699="NW",COUNT(Risk_Rank_Keys!B699)=0),0.5,(SUMPRODUCT(--ISNUMBER(Risk_Rank_Keys!$B$2:$B$800),--(Risk_Rank_Keys!$B$2:$B$800&lt;Risk_Rank_Keys!B699))+(SUMPRODUCT(--ISNUMBER(Risk_Rank_Keys!$B$2:$B$800),--(Risk_Rank_Keys!$B$2:$B$800=Risk_Rank_Keys!B699))+1)/2)/COUNT(Risk_Rank_Keys!$B$2:$B$800))</f>
        <v/>
      </c>
      <c r="N699">
        <f>IF(OR(B699="NW",COUNT(Risk_Rank_Keys!C699)=0),0.5,(SUMPRODUCT(--ISNUMBER(Risk_Rank_Keys!$C$2:$C$800),--(Risk_Rank_Keys!$C$2:$C$800&lt;Risk_Rank_Keys!C699))+(SUMPRODUCT(--ISNUMBER(Risk_Rank_Keys!$C$2:$C$800),--(Risk_Rank_Keys!$C$2:$C$800=Risk_Rank_Keys!C699))+1)/2)/COUNT(Risk_Rank_Keys!$C$2:$C$800))</f>
        <v/>
      </c>
      <c r="O699">
        <f>IF(OR(B699="NW",COUNT(Risk_Rank_Keys!D699)=0),0.5,(SUMPRODUCT(--ISNUMBER(Risk_Rank_Keys!$D$2:$D$800),--(Risk_Rank_Keys!$D$2:$D$800&lt;Risk_Rank_Keys!D699))+(SUMPRODUCT(--ISNUMBER(Risk_Rank_Keys!$D$2:$D$800),--(Risk_Rank_Keys!$D$2:$D$800=Risk_Rank_Keys!D699))+1)/2)/COUNT(Risk_Rank_Keys!$D$2:$D$800))</f>
        <v/>
      </c>
      <c r="P699">
        <f>AVERAGE(M699:O699)</f>
        <v/>
      </c>
      <c r="Q699">
        <f>0.4*H699+0.4*I699+0.2*P699</f>
        <v/>
      </c>
      <c r="R699">
        <f>PERCENTILE($Q$2:$Q$800,0.75)</f>
        <v/>
      </c>
      <c r="S699">
        <f>OR(Q699&gt;=R699,AND(B699="CW",COUNT(J699:L699)&lt;3))</f>
        <v/>
      </c>
      <c r="T699" t="n">
        <v>0.3405827736855989</v>
      </c>
      <c r="U699" t="n">
        <v>7.191779528682148</v>
      </c>
      <c r="V699" t="n">
        <v>0.525459241532157</v>
      </c>
      <c r="W699">
        <f>Q699-V699</f>
        <v/>
      </c>
    </row>
    <row r="700">
      <c r="A700" t="inlineStr">
        <is>
          <t>2025-07-29</t>
        </is>
      </c>
      <c r="B700" t="inlineStr">
        <is>
          <t>CW</t>
        </is>
      </c>
      <c r="C700" t="n">
        <v>19.31358803556216</v>
      </c>
      <c r="D700">
        <f>SUMPRODUCT(Risk_Inputs!B700:AJ700,Risk_Coefs!$B$2:$AJ$2)</f>
        <v/>
      </c>
      <c r="E700">
        <f>1/(1+EXP(-MAX(-25,MIN(25,D700))))</f>
        <v/>
      </c>
      <c r="F700">
        <f>SUMPRODUCT(Risk_Inputs!B700:AJ700,Risk_Coefs!$B$3:$AJ$3)</f>
        <v/>
      </c>
      <c r="G700">
        <f>MAX(0,F700)</f>
        <v/>
      </c>
      <c r="H700">
        <f>(SUMPRODUCT(--ISNUMBER($E$2:$E$800),--($E$2:$E$800&lt;E700))+(SUMPRODUCT(--ISNUMBER($E$2:$E$800),--($E$2:$E$800=E700))+1)/2)/COUNT($E$2:$E$800)</f>
        <v/>
      </c>
      <c r="I700">
        <f>(SUMPRODUCT(--ISNUMBER($G$2:$G$800),--($G$2:$G$800&lt;G700))+(SUMPRODUCT(--ISNUMBER($G$2:$G$800),--($G$2:$G$800=G700))+1)/2)/COUNT($G$2:$G$800)</f>
        <v/>
      </c>
      <c r="J700" t="n">
        <v>11.04090401706579</v>
      </c>
      <c r="K700" t="n">
        <v>1.646887866311458</v>
      </c>
      <c r="L700" t="n">
        <v>0.2179704528941646</v>
      </c>
      <c r="M700">
        <f>IF(OR(B700="NW",COUNT(Risk_Rank_Keys!B700)=0),0.5,(SUMPRODUCT(--ISNUMBER(Risk_Rank_Keys!$B$2:$B$800),--(Risk_Rank_Keys!$B$2:$B$800&lt;Risk_Rank_Keys!B700))+(SUMPRODUCT(--ISNUMBER(Risk_Rank_Keys!$B$2:$B$800),--(Risk_Rank_Keys!$B$2:$B$800=Risk_Rank_Keys!B700))+1)/2)/COUNT(Risk_Rank_Keys!$B$2:$B$800))</f>
        <v/>
      </c>
      <c r="N700">
        <f>IF(OR(B700="NW",COUNT(Risk_Rank_Keys!C700)=0),0.5,(SUMPRODUCT(--ISNUMBER(Risk_Rank_Keys!$C$2:$C$800),--(Risk_Rank_Keys!$C$2:$C$800&lt;Risk_Rank_Keys!C700))+(SUMPRODUCT(--ISNUMBER(Risk_Rank_Keys!$C$2:$C$800),--(Risk_Rank_Keys!$C$2:$C$800=Risk_Rank_Keys!C700))+1)/2)/COUNT(Risk_Rank_Keys!$C$2:$C$800))</f>
        <v/>
      </c>
      <c r="O700">
        <f>IF(OR(B700="NW",COUNT(Risk_Rank_Keys!D700)=0),0.5,(SUMPRODUCT(--ISNUMBER(Risk_Rank_Keys!$D$2:$D$800),--(Risk_Rank_Keys!$D$2:$D$800&lt;Risk_Rank_Keys!D700))+(SUMPRODUCT(--ISNUMBER(Risk_Rank_Keys!$D$2:$D$800),--(Risk_Rank_Keys!$D$2:$D$800=Risk_Rank_Keys!D700))+1)/2)/COUNT(Risk_Rank_Keys!$D$2:$D$800))</f>
        <v/>
      </c>
      <c r="P700">
        <f>AVERAGE(M700:O700)</f>
        <v/>
      </c>
      <c r="Q700">
        <f>0.4*H700+0.4*I700+0.2*P700</f>
        <v/>
      </c>
      <c r="R700">
        <f>PERCENTILE($Q$2:$Q$800,0.75)</f>
        <v/>
      </c>
      <c r="S700">
        <f>OR(Q700&gt;=R700,AND(B700="CW",COUNT(J700:L700)&lt;3))</f>
        <v/>
      </c>
      <c r="T700" t="n">
        <v>0.2848172585376776</v>
      </c>
      <c r="U700" t="n">
        <v>5.580176224979508</v>
      </c>
      <c r="V700" t="n">
        <v>0.3585965488008314</v>
      </c>
      <c r="W700">
        <f>Q700-V700</f>
        <v/>
      </c>
    </row>
    <row r="701">
      <c r="A701" t="inlineStr">
        <is>
          <t>2025-07-31</t>
        </is>
      </c>
      <c r="B701" t="inlineStr">
        <is>
          <t>CW</t>
        </is>
      </c>
      <c r="C701" t="n">
        <v>-13.49469792380301</v>
      </c>
      <c r="D701">
        <f>SUMPRODUCT(Risk_Inputs!B701:AJ701,Risk_Coefs!$B$2:$AJ$2)</f>
        <v/>
      </c>
      <c r="E701">
        <f>1/(1+EXP(-MAX(-25,MIN(25,D701))))</f>
        <v/>
      </c>
      <c r="F701">
        <f>SUMPRODUCT(Risk_Inputs!B701:AJ701,Risk_Coefs!$B$3:$AJ$3)</f>
        <v/>
      </c>
      <c r="G701">
        <f>MAX(0,F701)</f>
        <v/>
      </c>
      <c r="H701">
        <f>(SUMPRODUCT(--ISNUMBER($E$2:$E$800),--($E$2:$E$800&lt;E701))+(SUMPRODUCT(--ISNUMBER($E$2:$E$800),--($E$2:$E$800=E701))+1)/2)/COUNT($E$2:$E$800)</f>
        <v/>
      </c>
      <c r="I701">
        <f>(SUMPRODUCT(--ISNUMBER($G$2:$G$800),--($G$2:$G$800&lt;G701))+(SUMPRODUCT(--ISNUMBER($G$2:$G$800),--($G$2:$G$800=G701))+1)/2)/COUNT($G$2:$G$800)</f>
        <v/>
      </c>
      <c r="J701" t="n">
        <v>11.94893402930663</v>
      </c>
      <c r="K701" t="n">
        <v>6.562380770698191</v>
      </c>
      <c r="L701" t="n">
        <v>0.2289202594429585</v>
      </c>
      <c r="M701">
        <f>IF(OR(B701="NW",COUNT(Risk_Rank_Keys!B701)=0),0.5,(SUMPRODUCT(--ISNUMBER(Risk_Rank_Keys!$B$2:$B$800),--(Risk_Rank_Keys!$B$2:$B$800&lt;Risk_Rank_Keys!B701))+(SUMPRODUCT(--ISNUMBER(Risk_Rank_Keys!$B$2:$B$800),--(Risk_Rank_Keys!$B$2:$B$800=Risk_Rank_Keys!B701))+1)/2)/COUNT(Risk_Rank_Keys!$B$2:$B$800))</f>
        <v/>
      </c>
      <c r="N701">
        <f>IF(OR(B701="NW",COUNT(Risk_Rank_Keys!C701)=0),0.5,(SUMPRODUCT(--ISNUMBER(Risk_Rank_Keys!$C$2:$C$800),--(Risk_Rank_Keys!$C$2:$C$800&lt;Risk_Rank_Keys!C701))+(SUMPRODUCT(--ISNUMBER(Risk_Rank_Keys!$C$2:$C$800),--(Risk_Rank_Keys!$C$2:$C$800=Risk_Rank_Keys!C701))+1)/2)/COUNT(Risk_Rank_Keys!$C$2:$C$800))</f>
        <v/>
      </c>
      <c r="O701">
        <f>IF(OR(B701="NW",COUNT(Risk_Rank_Keys!D701)=0),0.5,(SUMPRODUCT(--ISNUMBER(Risk_Rank_Keys!$D$2:$D$800),--(Risk_Rank_Keys!$D$2:$D$800&lt;Risk_Rank_Keys!D701))+(SUMPRODUCT(--ISNUMBER(Risk_Rank_Keys!$D$2:$D$800),--(Risk_Rank_Keys!$D$2:$D$800=Risk_Rank_Keys!D701))+1)/2)/COUNT(Risk_Rank_Keys!$D$2:$D$800))</f>
        <v/>
      </c>
      <c r="P701">
        <f>AVERAGE(M701:O701)</f>
        <v/>
      </c>
      <c r="Q701">
        <f>0.4*H701+0.4*I701+0.2*P701</f>
        <v/>
      </c>
      <c r="R701">
        <f>PERCENTILE($Q$2:$Q$800,0.75)</f>
        <v/>
      </c>
      <c r="S701">
        <f>OR(Q701&gt;=R701,AND(B701="CW",COUNT(J701:L701)&lt;3))</f>
        <v/>
      </c>
      <c r="T701" t="n">
        <v>0.3758729190234569</v>
      </c>
      <c r="U701" t="n">
        <v>9.313876485212491</v>
      </c>
      <c r="V701" t="n">
        <v>0.7645573936272039</v>
      </c>
      <c r="W701">
        <f>Q701-V701</f>
        <v/>
      </c>
    </row>
    <row r="702">
      <c r="A702" t="inlineStr">
        <is>
          <t>2025-08-06</t>
        </is>
      </c>
      <c r="B702" t="inlineStr">
        <is>
          <t>CW</t>
        </is>
      </c>
      <c r="C702" t="n">
        <v>6.001873894126884</v>
      </c>
      <c r="D702">
        <f>SUMPRODUCT(Risk_Inputs!B702:AJ702,Risk_Coefs!$B$2:$AJ$2)</f>
        <v/>
      </c>
      <c r="E702">
        <f>1/(1+EXP(-MAX(-25,MIN(25,D702))))</f>
        <v/>
      </c>
      <c r="F702">
        <f>SUMPRODUCT(Risk_Inputs!B702:AJ702,Risk_Coefs!$B$3:$AJ$3)</f>
        <v/>
      </c>
      <c r="G702">
        <f>MAX(0,F702)</f>
        <v/>
      </c>
      <c r="H702">
        <f>(SUMPRODUCT(--ISNUMBER($E$2:$E$800),--($E$2:$E$800&lt;E702))+(SUMPRODUCT(--ISNUMBER($E$2:$E$800),--($E$2:$E$800=E702))+1)/2)/COUNT($E$2:$E$800)</f>
        <v/>
      </c>
      <c r="I702">
        <f>(SUMPRODUCT(--ISNUMBER($G$2:$G$800),--($G$2:$G$800&lt;G702))+(SUMPRODUCT(--ISNUMBER($G$2:$G$800),--($G$2:$G$800=G702))+1)/2)/COUNT($G$2:$G$800)</f>
        <v/>
      </c>
      <c r="J702" t="n">
        <v>6.265067080823716</v>
      </c>
      <c r="K702" t="n">
        <v>3.095711445612036</v>
      </c>
      <c r="L702" t="n">
        <v>0.1988071570576589</v>
      </c>
      <c r="M702">
        <f>IF(OR(B702="NW",COUNT(Risk_Rank_Keys!B702)=0),0.5,(SUMPRODUCT(--ISNUMBER(Risk_Rank_Keys!$B$2:$B$800),--(Risk_Rank_Keys!$B$2:$B$800&lt;Risk_Rank_Keys!B702))+(SUMPRODUCT(--ISNUMBER(Risk_Rank_Keys!$B$2:$B$800),--(Risk_Rank_Keys!$B$2:$B$800=Risk_Rank_Keys!B702))+1)/2)/COUNT(Risk_Rank_Keys!$B$2:$B$800))</f>
        <v/>
      </c>
      <c r="N702">
        <f>IF(OR(B702="NW",COUNT(Risk_Rank_Keys!C702)=0),0.5,(SUMPRODUCT(--ISNUMBER(Risk_Rank_Keys!$C$2:$C$800),--(Risk_Rank_Keys!$C$2:$C$800&lt;Risk_Rank_Keys!C702))+(SUMPRODUCT(--ISNUMBER(Risk_Rank_Keys!$C$2:$C$800),--(Risk_Rank_Keys!$C$2:$C$800=Risk_Rank_Keys!C702))+1)/2)/COUNT(Risk_Rank_Keys!$C$2:$C$800))</f>
        <v/>
      </c>
      <c r="O702">
        <f>IF(OR(B702="NW",COUNT(Risk_Rank_Keys!D702)=0),0.5,(SUMPRODUCT(--ISNUMBER(Risk_Rank_Keys!$D$2:$D$800),--(Risk_Rank_Keys!$D$2:$D$800&lt;Risk_Rank_Keys!D702))+(SUMPRODUCT(--ISNUMBER(Risk_Rank_Keys!$D$2:$D$800),--(Risk_Rank_Keys!$D$2:$D$800=Risk_Rank_Keys!D702))+1)/2)/COUNT(Risk_Rank_Keys!$D$2:$D$800))</f>
        <v/>
      </c>
      <c r="P702">
        <f>AVERAGE(M702:O702)</f>
        <v/>
      </c>
      <c r="Q702">
        <f>0.4*H702+0.4*I702+0.2*P702</f>
        <v/>
      </c>
      <c r="R702">
        <f>PERCENTILE($Q$2:$Q$800,0.75)</f>
        <v/>
      </c>
      <c r="S702">
        <f>OR(Q702&gt;=R702,AND(B702="CW",COUNT(J702:L702)&lt;3))</f>
        <v/>
      </c>
      <c r="T702" t="n">
        <v>0.3285726238754704</v>
      </c>
      <c r="U702" t="n">
        <v>9.654960349511665</v>
      </c>
      <c r="V702" t="n">
        <v>0.6564468952066419</v>
      </c>
      <c r="W702">
        <f>Q702-V702</f>
        <v/>
      </c>
    </row>
    <row r="703">
      <c r="A703" t="inlineStr">
        <is>
          <t>2025-08-11</t>
        </is>
      </c>
      <c r="B703" t="inlineStr">
        <is>
          <t>CW</t>
        </is>
      </c>
      <c r="C703" t="n">
        <v>18.17810679781944</v>
      </c>
      <c r="D703">
        <f>SUMPRODUCT(Risk_Inputs!B703:AJ703,Risk_Coefs!$B$2:$AJ$2)</f>
        <v/>
      </c>
      <c r="E703">
        <f>1/(1+EXP(-MAX(-25,MIN(25,D703))))</f>
        <v/>
      </c>
      <c r="F703">
        <f>SUMPRODUCT(Risk_Inputs!B703:AJ703,Risk_Coefs!$B$3:$AJ$3)</f>
        <v/>
      </c>
      <c r="G703">
        <f>MAX(0,F703)</f>
        <v/>
      </c>
      <c r="H703">
        <f>(SUMPRODUCT(--ISNUMBER($E$2:$E$800),--($E$2:$E$800&lt;E703))+(SUMPRODUCT(--ISNUMBER($E$2:$E$800),--($E$2:$E$800=E703))+1)/2)/COUNT($E$2:$E$800)</f>
        <v/>
      </c>
      <c r="I703">
        <f>(SUMPRODUCT(--ISNUMBER($G$2:$G$800),--($G$2:$G$800&lt;G703))+(SUMPRODUCT(--ISNUMBER($G$2:$G$800),--($G$2:$G$800=G703))+1)/2)/COUNT($G$2:$G$800)</f>
        <v/>
      </c>
      <c r="J703" t="n">
        <v>6.555966441646777</v>
      </c>
      <c r="K703" t="n">
        <v>0.9743487770928684</v>
      </c>
      <c r="L703" t="n">
        <v>0.1590773513621021</v>
      </c>
      <c r="M703">
        <f>IF(OR(B703="NW",COUNT(Risk_Rank_Keys!B703)=0),0.5,(SUMPRODUCT(--ISNUMBER(Risk_Rank_Keys!$B$2:$B$800),--(Risk_Rank_Keys!$B$2:$B$800&lt;Risk_Rank_Keys!B703))+(SUMPRODUCT(--ISNUMBER(Risk_Rank_Keys!$B$2:$B$800),--(Risk_Rank_Keys!$B$2:$B$800=Risk_Rank_Keys!B703))+1)/2)/COUNT(Risk_Rank_Keys!$B$2:$B$800))</f>
        <v/>
      </c>
      <c r="N703">
        <f>IF(OR(B703="NW",COUNT(Risk_Rank_Keys!C703)=0),0.5,(SUMPRODUCT(--ISNUMBER(Risk_Rank_Keys!$C$2:$C$800),--(Risk_Rank_Keys!$C$2:$C$800&lt;Risk_Rank_Keys!C703))+(SUMPRODUCT(--ISNUMBER(Risk_Rank_Keys!$C$2:$C$800),--(Risk_Rank_Keys!$C$2:$C$800=Risk_Rank_Keys!C703))+1)/2)/COUNT(Risk_Rank_Keys!$C$2:$C$800))</f>
        <v/>
      </c>
      <c r="O703">
        <f>IF(OR(B703="NW",COUNT(Risk_Rank_Keys!D703)=0),0.5,(SUMPRODUCT(--ISNUMBER(Risk_Rank_Keys!$D$2:$D$800),--(Risk_Rank_Keys!$D$2:$D$800&lt;Risk_Rank_Keys!D703))+(SUMPRODUCT(--ISNUMBER(Risk_Rank_Keys!$D$2:$D$800),--(Risk_Rank_Keys!$D$2:$D$800=Risk_Rank_Keys!D703))+1)/2)/COUNT(Risk_Rank_Keys!$D$2:$D$800))</f>
        <v/>
      </c>
      <c r="P703">
        <f>AVERAGE(M703:O703)</f>
        <v/>
      </c>
      <c r="Q703">
        <f>0.4*H703+0.4*I703+0.2*P703</f>
        <v/>
      </c>
      <c r="R703">
        <f>PERCENTILE($Q$2:$Q$800,0.75)</f>
        <v/>
      </c>
      <c r="S703">
        <f>OR(Q703&gt;=R703,AND(B703="CW",COUNT(J703:L703)&lt;3))</f>
        <v/>
      </c>
      <c r="T703" t="n">
        <v>0.3619546040680436</v>
      </c>
      <c r="U703" t="n">
        <v>8.34976485052764</v>
      </c>
      <c r="V703" t="n">
        <v>0.6037281608984733</v>
      </c>
      <c r="W703">
        <f>Q703-V703</f>
        <v/>
      </c>
    </row>
    <row r="704">
      <c r="A704" t="inlineStr">
        <is>
          <t>2025-08-18</t>
        </is>
      </c>
      <c r="B704" t="inlineStr">
        <is>
          <t>CW</t>
        </is>
      </c>
      <c r="C704" t="n">
        <v>35.10576221254642</v>
      </c>
      <c r="D704">
        <f>SUMPRODUCT(Risk_Inputs!B704:AJ704,Risk_Coefs!$B$2:$AJ$2)</f>
        <v/>
      </c>
      <c r="E704">
        <f>1/(1+EXP(-MAX(-25,MIN(25,D704))))</f>
        <v/>
      </c>
      <c r="F704">
        <f>SUMPRODUCT(Risk_Inputs!B704:AJ704,Risk_Coefs!$B$3:$AJ$3)</f>
        <v/>
      </c>
      <c r="G704">
        <f>MAX(0,F704)</f>
        <v/>
      </c>
      <c r="H704">
        <f>(SUMPRODUCT(--ISNUMBER($E$2:$E$800),--($E$2:$E$800&lt;E704))+(SUMPRODUCT(--ISNUMBER($E$2:$E$800),--($E$2:$E$800=E704))+1)/2)/COUNT($E$2:$E$800)</f>
        <v/>
      </c>
      <c r="I704">
        <f>(SUMPRODUCT(--ISNUMBER($G$2:$G$800),--($G$2:$G$800&lt;G704))+(SUMPRODUCT(--ISNUMBER($G$2:$G$800),--($G$2:$G$800=G704))+1)/2)/COUNT($G$2:$G$800)</f>
        <v/>
      </c>
      <c r="J704" t="n">
        <v>25.26314945927616</v>
      </c>
      <c r="K704" t="n">
        <v>9.665089188205339</v>
      </c>
      <c r="L704" t="n">
        <v>0.2366217692027584</v>
      </c>
      <c r="M704">
        <f>IF(OR(B704="NW",COUNT(Risk_Rank_Keys!B704)=0),0.5,(SUMPRODUCT(--ISNUMBER(Risk_Rank_Keys!$B$2:$B$800),--(Risk_Rank_Keys!$B$2:$B$800&lt;Risk_Rank_Keys!B704))+(SUMPRODUCT(--ISNUMBER(Risk_Rank_Keys!$B$2:$B$800),--(Risk_Rank_Keys!$B$2:$B$800=Risk_Rank_Keys!B704))+1)/2)/COUNT(Risk_Rank_Keys!$B$2:$B$800))</f>
        <v/>
      </c>
      <c r="N704">
        <f>IF(OR(B704="NW",COUNT(Risk_Rank_Keys!C704)=0),0.5,(SUMPRODUCT(--ISNUMBER(Risk_Rank_Keys!$C$2:$C$800),--(Risk_Rank_Keys!$C$2:$C$800&lt;Risk_Rank_Keys!C704))+(SUMPRODUCT(--ISNUMBER(Risk_Rank_Keys!$C$2:$C$800),--(Risk_Rank_Keys!$C$2:$C$800=Risk_Rank_Keys!C704))+1)/2)/COUNT(Risk_Rank_Keys!$C$2:$C$800))</f>
        <v/>
      </c>
      <c r="O704">
        <f>IF(OR(B704="NW",COUNT(Risk_Rank_Keys!D704)=0),0.5,(SUMPRODUCT(--ISNUMBER(Risk_Rank_Keys!$D$2:$D$800),--(Risk_Rank_Keys!$D$2:$D$800&lt;Risk_Rank_Keys!D704))+(SUMPRODUCT(--ISNUMBER(Risk_Rank_Keys!$D$2:$D$800),--(Risk_Rank_Keys!$D$2:$D$800=Risk_Rank_Keys!D704))+1)/2)/COUNT(Risk_Rank_Keys!$D$2:$D$800))</f>
        <v/>
      </c>
      <c r="P704">
        <f>AVERAGE(M704:O704)</f>
        <v/>
      </c>
      <c r="Q704">
        <f>0.4*H704+0.4*I704+0.2*P704</f>
        <v/>
      </c>
      <c r="R704">
        <f>PERCENTILE($Q$2:$Q$800,0.75)</f>
        <v/>
      </c>
      <c r="S704">
        <f>OR(Q704&gt;=R704,AND(B704="CW",COUNT(J704:L704)&lt;3))</f>
        <v/>
      </c>
      <c r="T704" t="n">
        <v>0.2620919373482195</v>
      </c>
      <c r="U704" t="n">
        <v>10.38730696514838</v>
      </c>
      <c r="V704" t="n">
        <v>0.6213088303661771</v>
      </c>
      <c r="W704">
        <f>Q704-V704</f>
        <v/>
      </c>
    </row>
    <row r="705">
      <c r="A705" t="inlineStr">
        <is>
          <t>2025-08-25</t>
        </is>
      </c>
      <c r="B705" t="inlineStr">
        <is>
          <t>CW</t>
        </is>
      </c>
      <c r="C705" t="n">
        <v>27.05707047010628</v>
      </c>
      <c r="D705">
        <f>SUMPRODUCT(Risk_Inputs!B705:AJ705,Risk_Coefs!$B$2:$AJ$2)</f>
        <v/>
      </c>
      <c r="E705">
        <f>1/(1+EXP(-MAX(-25,MIN(25,D705))))</f>
        <v/>
      </c>
      <c r="F705">
        <f>SUMPRODUCT(Risk_Inputs!B705:AJ705,Risk_Coefs!$B$3:$AJ$3)</f>
        <v/>
      </c>
      <c r="G705">
        <f>MAX(0,F705)</f>
        <v/>
      </c>
      <c r="H705">
        <f>(SUMPRODUCT(--ISNUMBER($E$2:$E$800),--($E$2:$E$800&lt;E705))+(SUMPRODUCT(--ISNUMBER($E$2:$E$800),--($E$2:$E$800=E705))+1)/2)/COUNT($E$2:$E$800)</f>
        <v/>
      </c>
      <c r="I705">
        <f>(SUMPRODUCT(--ISNUMBER($G$2:$G$800),--($G$2:$G$800&lt;G705))+(SUMPRODUCT(--ISNUMBER($G$2:$G$800),--($G$2:$G$800=G705))+1)/2)/COUNT($G$2:$G$800)</f>
        <v/>
      </c>
      <c r="J705" t="n">
        <v>6.533458925386004</v>
      </c>
      <c r="K705" t="n">
        <v>1.545477577907277</v>
      </c>
      <c r="L705" t="n">
        <v>0.278692677983277</v>
      </c>
      <c r="M705">
        <f>IF(OR(B705="NW",COUNT(Risk_Rank_Keys!B705)=0),0.5,(SUMPRODUCT(--ISNUMBER(Risk_Rank_Keys!$B$2:$B$800),--(Risk_Rank_Keys!$B$2:$B$800&lt;Risk_Rank_Keys!B705))+(SUMPRODUCT(--ISNUMBER(Risk_Rank_Keys!$B$2:$B$800),--(Risk_Rank_Keys!$B$2:$B$800=Risk_Rank_Keys!B705))+1)/2)/COUNT(Risk_Rank_Keys!$B$2:$B$800))</f>
        <v/>
      </c>
      <c r="N705">
        <f>IF(OR(B705="NW",COUNT(Risk_Rank_Keys!C705)=0),0.5,(SUMPRODUCT(--ISNUMBER(Risk_Rank_Keys!$C$2:$C$800),--(Risk_Rank_Keys!$C$2:$C$800&lt;Risk_Rank_Keys!C705))+(SUMPRODUCT(--ISNUMBER(Risk_Rank_Keys!$C$2:$C$800),--(Risk_Rank_Keys!$C$2:$C$800=Risk_Rank_Keys!C705))+1)/2)/COUNT(Risk_Rank_Keys!$C$2:$C$800))</f>
        <v/>
      </c>
      <c r="O705">
        <f>IF(OR(B705="NW",COUNT(Risk_Rank_Keys!D705)=0),0.5,(SUMPRODUCT(--ISNUMBER(Risk_Rank_Keys!$D$2:$D$800),--(Risk_Rank_Keys!$D$2:$D$800&lt;Risk_Rank_Keys!D705))+(SUMPRODUCT(--ISNUMBER(Risk_Rank_Keys!$D$2:$D$800),--(Risk_Rank_Keys!$D$2:$D$800=Risk_Rank_Keys!D705))+1)/2)/COUNT(Risk_Rank_Keys!$D$2:$D$800))</f>
        <v/>
      </c>
      <c r="P705">
        <f>AVERAGE(M705:O705)</f>
        <v/>
      </c>
      <c r="Q705">
        <f>0.4*H705+0.4*I705+0.2*P705</f>
        <v/>
      </c>
      <c r="R705">
        <f>PERCENTILE($Q$2:$Q$800,0.75)</f>
        <v/>
      </c>
      <c r="S705">
        <f>OR(Q705&gt;=R705,AND(B705="CW",COUNT(J705:L705)&lt;3))</f>
        <v/>
      </c>
      <c r="T705" t="n">
        <v>0.2885884337464173</v>
      </c>
      <c r="U705" t="n">
        <v>5.907659686825085</v>
      </c>
      <c r="V705" t="n">
        <v>0.3801733803702793</v>
      </c>
      <c r="W705">
        <f>Q705-V705</f>
        <v/>
      </c>
    </row>
    <row r="706">
      <c r="A706" t="inlineStr">
        <is>
          <t>2025-09-03</t>
        </is>
      </c>
      <c r="B706" t="inlineStr">
        <is>
          <t>CW</t>
        </is>
      </c>
      <c r="C706" t="n">
        <v>24.02653477014554</v>
      </c>
      <c r="D706">
        <f>SUMPRODUCT(Risk_Inputs!B706:AJ706,Risk_Coefs!$B$2:$AJ$2)</f>
        <v/>
      </c>
      <c r="E706">
        <f>1/(1+EXP(-MAX(-25,MIN(25,D706))))</f>
        <v/>
      </c>
      <c r="F706">
        <f>SUMPRODUCT(Risk_Inputs!B706:AJ706,Risk_Coefs!$B$3:$AJ$3)</f>
        <v/>
      </c>
      <c r="G706">
        <f>MAX(0,F706)</f>
        <v/>
      </c>
      <c r="H706">
        <f>(SUMPRODUCT(--ISNUMBER($E$2:$E$800),--($E$2:$E$800&lt;E706))+(SUMPRODUCT(--ISNUMBER($E$2:$E$800),--($E$2:$E$800=E706))+1)/2)/COUNT($E$2:$E$800)</f>
        <v/>
      </c>
      <c r="I706">
        <f>(SUMPRODUCT(--ISNUMBER($G$2:$G$800),--($G$2:$G$800&lt;G706))+(SUMPRODUCT(--ISNUMBER($G$2:$G$800),--($G$2:$G$800=G706))+1)/2)/COUNT($G$2:$G$800)</f>
        <v/>
      </c>
      <c r="J706" t="n">
        <v>13.65516932613588</v>
      </c>
      <c r="K706" t="n">
        <v>2.224334600760443</v>
      </c>
      <c r="L706" t="n">
        <v>0.2281368821292862</v>
      </c>
      <c r="M706">
        <f>IF(OR(B706="NW",COUNT(Risk_Rank_Keys!B706)=0),0.5,(SUMPRODUCT(--ISNUMBER(Risk_Rank_Keys!$B$2:$B$800),--(Risk_Rank_Keys!$B$2:$B$800&lt;Risk_Rank_Keys!B706))+(SUMPRODUCT(--ISNUMBER(Risk_Rank_Keys!$B$2:$B$800),--(Risk_Rank_Keys!$B$2:$B$800=Risk_Rank_Keys!B706))+1)/2)/COUNT(Risk_Rank_Keys!$B$2:$B$800))</f>
        <v/>
      </c>
      <c r="N706">
        <f>IF(OR(B706="NW",COUNT(Risk_Rank_Keys!C706)=0),0.5,(SUMPRODUCT(--ISNUMBER(Risk_Rank_Keys!$C$2:$C$800),--(Risk_Rank_Keys!$C$2:$C$800&lt;Risk_Rank_Keys!C706))+(SUMPRODUCT(--ISNUMBER(Risk_Rank_Keys!$C$2:$C$800),--(Risk_Rank_Keys!$C$2:$C$800=Risk_Rank_Keys!C706))+1)/2)/COUNT(Risk_Rank_Keys!$C$2:$C$800))</f>
        <v/>
      </c>
      <c r="O706">
        <f>IF(OR(B706="NW",COUNT(Risk_Rank_Keys!D706)=0),0.5,(SUMPRODUCT(--ISNUMBER(Risk_Rank_Keys!$D$2:$D$800),--(Risk_Rank_Keys!$D$2:$D$800&lt;Risk_Rank_Keys!D706))+(SUMPRODUCT(--ISNUMBER(Risk_Rank_Keys!$D$2:$D$800),--(Risk_Rank_Keys!$D$2:$D$800=Risk_Rank_Keys!D706))+1)/2)/COUNT(Risk_Rank_Keys!$D$2:$D$800))</f>
        <v/>
      </c>
      <c r="P706">
        <f>AVERAGE(M706:O706)</f>
        <v/>
      </c>
      <c r="Q706">
        <f>0.4*H706+0.4*I706+0.2*P706</f>
        <v/>
      </c>
      <c r="R706">
        <f>PERCENTILE($Q$2:$Q$800,0.75)</f>
        <v/>
      </c>
      <c r="S706">
        <f>OR(Q706&gt;=R706,AND(B706="CW",COUNT(J706:L706)&lt;3))</f>
        <v/>
      </c>
      <c r="T706" t="n">
        <v>0.2344105429834201</v>
      </c>
      <c r="U706" t="n">
        <v>4.655483276166096</v>
      </c>
      <c r="V706" t="n">
        <v>0.216649240188078</v>
      </c>
      <c r="W706">
        <f>Q706-V706</f>
        <v/>
      </c>
    </row>
    <row r="707">
      <c r="A707" t="inlineStr">
        <is>
          <t>2025-09-11</t>
        </is>
      </c>
      <c r="B707" t="inlineStr">
        <is>
          <t>CW</t>
        </is>
      </c>
      <c r="C707" t="n">
        <v>12.85233054082619</v>
      </c>
      <c r="D707">
        <f>SUMPRODUCT(Risk_Inputs!B707:AJ707,Risk_Coefs!$B$2:$AJ$2)</f>
        <v/>
      </c>
      <c r="E707">
        <f>1/(1+EXP(-MAX(-25,MIN(25,D707))))</f>
        <v/>
      </c>
      <c r="F707">
        <f>SUMPRODUCT(Risk_Inputs!B707:AJ707,Risk_Coefs!$B$3:$AJ$3)</f>
        <v/>
      </c>
      <c r="G707">
        <f>MAX(0,F707)</f>
        <v/>
      </c>
      <c r="H707">
        <f>(SUMPRODUCT(--ISNUMBER($E$2:$E$800),--($E$2:$E$800&lt;E707))+(SUMPRODUCT(--ISNUMBER($E$2:$E$800),--($E$2:$E$800=E707))+1)/2)/COUNT($E$2:$E$800)</f>
        <v/>
      </c>
      <c r="I707">
        <f>(SUMPRODUCT(--ISNUMBER($G$2:$G$800),--($G$2:$G$800&lt;G707))+(SUMPRODUCT(--ISNUMBER($G$2:$G$800),--($G$2:$G$800=G707))+1)/2)/COUNT($G$2:$G$800)</f>
        <v/>
      </c>
      <c r="J707" t="n">
        <v>2.539207767176059</v>
      </c>
      <c r="K707" t="n">
        <v>0.8924144769459651</v>
      </c>
      <c r="L707" t="n">
        <v>0.2478929102627665</v>
      </c>
      <c r="M707">
        <f>IF(OR(B707="NW",COUNT(Risk_Rank_Keys!B707)=0),0.5,(SUMPRODUCT(--ISNUMBER(Risk_Rank_Keys!$B$2:$B$800),--(Risk_Rank_Keys!$B$2:$B$800&lt;Risk_Rank_Keys!B707))+(SUMPRODUCT(--ISNUMBER(Risk_Rank_Keys!$B$2:$B$800),--(Risk_Rank_Keys!$B$2:$B$800=Risk_Rank_Keys!B707))+1)/2)/COUNT(Risk_Rank_Keys!$B$2:$B$800))</f>
        <v/>
      </c>
      <c r="N707">
        <f>IF(OR(B707="NW",COUNT(Risk_Rank_Keys!C707)=0),0.5,(SUMPRODUCT(--ISNUMBER(Risk_Rank_Keys!$C$2:$C$800),--(Risk_Rank_Keys!$C$2:$C$800&lt;Risk_Rank_Keys!C707))+(SUMPRODUCT(--ISNUMBER(Risk_Rank_Keys!$C$2:$C$800),--(Risk_Rank_Keys!$C$2:$C$800=Risk_Rank_Keys!C707))+1)/2)/COUNT(Risk_Rank_Keys!$C$2:$C$800))</f>
        <v/>
      </c>
      <c r="O707">
        <f>IF(OR(B707="NW",COUNT(Risk_Rank_Keys!D707)=0),0.5,(SUMPRODUCT(--ISNUMBER(Risk_Rank_Keys!$D$2:$D$800),--(Risk_Rank_Keys!$D$2:$D$800&lt;Risk_Rank_Keys!D707))+(SUMPRODUCT(--ISNUMBER(Risk_Rank_Keys!$D$2:$D$800),--(Risk_Rank_Keys!$D$2:$D$800=Risk_Rank_Keys!D707))+1)/2)/COUNT(Risk_Rank_Keys!$D$2:$D$800))</f>
        <v/>
      </c>
      <c r="P707">
        <f>AVERAGE(M707:O707)</f>
        <v/>
      </c>
      <c r="Q707">
        <f>0.4*H707+0.4*I707+0.2*P707</f>
        <v/>
      </c>
      <c r="R707">
        <f>PERCENTILE($Q$2:$Q$800,0.75)</f>
        <v/>
      </c>
      <c r="S707">
        <f>OR(Q707&gt;=R707,AND(B707="CW",COUNT(J707:L707)&lt;3))</f>
        <v/>
      </c>
      <c r="T707" t="n">
        <v>0.262717495070144</v>
      </c>
      <c r="U707" t="n">
        <v>5.106398904709049</v>
      </c>
      <c r="V707" t="n">
        <v>0.2409755569636383</v>
      </c>
      <c r="W707">
        <f>Q707-V707</f>
        <v/>
      </c>
    </row>
    <row r="708">
      <c r="A708" t="inlineStr">
        <is>
          <t>2025-09-17</t>
        </is>
      </c>
      <c r="B708" t="inlineStr">
        <is>
          <t>CW</t>
        </is>
      </c>
      <c r="C708" t="n">
        <v>7.691794718254015</v>
      </c>
      <c r="D708">
        <f>SUMPRODUCT(Risk_Inputs!B708:AJ708,Risk_Coefs!$B$2:$AJ$2)</f>
        <v/>
      </c>
      <c r="E708">
        <f>1/(1+EXP(-MAX(-25,MIN(25,D708))))</f>
        <v/>
      </c>
      <c r="F708">
        <f>SUMPRODUCT(Risk_Inputs!B708:AJ708,Risk_Coefs!$B$3:$AJ$3)</f>
        <v/>
      </c>
      <c r="G708">
        <f>MAX(0,F708)</f>
        <v/>
      </c>
      <c r="H708">
        <f>(SUMPRODUCT(--ISNUMBER($E$2:$E$800),--($E$2:$E$800&lt;E708))+(SUMPRODUCT(--ISNUMBER($E$2:$E$800),--($E$2:$E$800=E708))+1)/2)/COUNT($E$2:$E$800)</f>
        <v/>
      </c>
      <c r="I708">
        <f>(SUMPRODUCT(--ISNUMBER($G$2:$G$800),--($G$2:$G$800&lt;G708))+(SUMPRODUCT(--ISNUMBER($G$2:$G$800),--($G$2:$G$800=G708))+1)/2)/COUNT($G$2:$G$800)</f>
        <v/>
      </c>
      <c r="J708" t="n">
        <v>5.699949903554769</v>
      </c>
      <c r="K708" t="n">
        <v>1.929902395740903</v>
      </c>
      <c r="L708" t="n">
        <v>0.1774622892635277</v>
      </c>
      <c r="M708">
        <f>IF(OR(B708="NW",COUNT(Risk_Rank_Keys!B708)=0),0.5,(SUMPRODUCT(--ISNUMBER(Risk_Rank_Keys!$B$2:$B$800),--(Risk_Rank_Keys!$B$2:$B$800&lt;Risk_Rank_Keys!B708))+(SUMPRODUCT(--ISNUMBER(Risk_Rank_Keys!$B$2:$B$800),--(Risk_Rank_Keys!$B$2:$B$800=Risk_Rank_Keys!B708))+1)/2)/COUNT(Risk_Rank_Keys!$B$2:$B$800))</f>
        <v/>
      </c>
      <c r="N708">
        <f>IF(OR(B708="NW",COUNT(Risk_Rank_Keys!C708)=0),0.5,(SUMPRODUCT(--ISNUMBER(Risk_Rank_Keys!$C$2:$C$800),--(Risk_Rank_Keys!$C$2:$C$800&lt;Risk_Rank_Keys!C708))+(SUMPRODUCT(--ISNUMBER(Risk_Rank_Keys!$C$2:$C$800),--(Risk_Rank_Keys!$C$2:$C$800=Risk_Rank_Keys!C708))+1)/2)/COUNT(Risk_Rank_Keys!$C$2:$C$800))</f>
        <v/>
      </c>
      <c r="O708">
        <f>IF(OR(B708="NW",COUNT(Risk_Rank_Keys!D708)=0),0.5,(SUMPRODUCT(--ISNUMBER(Risk_Rank_Keys!$D$2:$D$800),--(Risk_Rank_Keys!$D$2:$D$800&lt;Risk_Rank_Keys!D708))+(SUMPRODUCT(--ISNUMBER(Risk_Rank_Keys!$D$2:$D$800),--(Risk_Rank_Keys!$D$2:$D$800=Risk_Rank_Keys!D708))+1)/2)/COUNT(Risk_Rank_Keys!$D$2:$D$800))</f>
        <v/>
      </c>
      <c r="P708">
        <f>AVERAGE(M708:O708)</f>
        <v/>
      </c>
      <c r="Q708">
        <f>0.4*H708+0.4*I708+0.2*P708</f>
        <v/>
      </c>
      <c r="R708">
        <f>PERCENTILE($Q$2:$Q$800,0.75)</f>
        <v/>
      </c>
      <c r="S708">
        <f>OR(Q708&gt;=R708,AND(B708="CW",COUNT(J708:L708)&lt;3))</f>
        <v/>
      </c>
      <c r="T708" t="n">
        <v>0.270356734162761</v>
      </c>
      <c r="U708" t="n">
        <v>8.273261094505568</v>
      </c>
      <c r="V708" t="n">
        <v>0.4308487655129117</v>
      </c>
      <c r="W708">
        <f>Q708-V708</f>
        <v/>
      </c>
    </row>
    <row r="709">
      <c r="A709" t="inlineStr">
        <is>
          <t>2025-10-09</t>
        </is>
      </c>
      <c r="B709" t="inlineStr">
        <is>
          <t>CW</t>
        </is>
      </c>
      <c r="C709" t="n">
        <v>10.98109593981587</v>
      </c>
      <c r="D709">
        <f>SUMPRODUCT(Risk_Inputs!B709:AJ709,Risk_Coefs!$B$2:$AJ$2)</f>
        <v/>
      </c>
      <c r="E709">
        <f>1/(1+EXP(-MAX(-25,MIN(25,D709))))</f>
        <v/>
      </c>
      <c r="F709">
        <f>SUMPRODUCT(Risk_Inputs!B709:AJ709,Risk_Coefs!$B$3:$AJ$3)</f>
        <v/>
      </c>
      <c r="G709">
        <f>MAX(0,F709)</f>
        <v/>
      </c>
      <c r="H709">
        <f>(SUMPRODUCT(--ISNUMBER($E$2:$E$800),--($E$2:$E$800&lt;E709))+(SUMPRODUCT(--ISNUMBER($E$2:$E$800),--($E$2:$E$800=E709))+1)/2)/COUNT($E$2:$E$800)</f>
        <v/>
      </c>
      <c r="I709">
        <f>(SUMPRODUCT(--ISNUMBER($G$2:$G$800),--($G$2:$G$800&lt;G709))+(SUMPRODUCT(--ISNUMBER($G$2:$G$800),--($G$2:$G$800=G709))+1)/2)/COUNT($G$2:$G$800)</f>
        <v/>
      </c>
      <c r="J709" t="n">
        <v>5.643183313722778</v>
      </c>
      <c r="K709" t="n">
        <v>1.358893472458133</v>
      </c>
      <c r="L709" t="n">
        <v>0.1698616840572648</v>
      </c>
      <c r="M709">
        <f>IF(OR(B709="NW",COUNT(Risk_Rank_Keys!B709)=0),0.5,(SUMPRODUCT(--ISNUMBER(Risk_Rank_Keys!$B$2:$B$800),--(Risk_Rank_Keys!$B$2:$B$800&lt;Risk_Rank_Keys!B709))+(SUMPRODUCT(--ISNUMBER(Risk_Rank_Keys!$B$2:$B$800),--(Risk_Rank_Keys!$B$2:$B$800=Risk_Rank_Keys!B709))+1)/2)/COUNT(Risk_Rank_Keys!$B$2:$B$800))</f>
        <v/>
      </c>
      <c r="N709">
        <f>IF(OR(B709="NW",COUNT(Risk_Rank_Keys!C709)=0),0.5,(SUMPRODUCT(--ISNUMBER(Risk_Rank_Keys!$C$2:$C$800),--(Risk_Rank_Keys!$C$2:$C$800&lt;Risk_Rank_Keys!C709))+(SUMPRODUCT(--ISNUMBER(Risk_Rank_Keys!$C$2:$C$800),--(Risk_Rank_Keys!$C$2:$C$800=Risk_Rank_Keys!C709))+1)/2)/COUNT(Risk_Rank_Keys!$C$2:$C$800))</f>
        <v/>
      </c>
      <c r="O709">
        <f>IF(OR(B709="NW",COUNT(Risk_Rank_Keys!D709)=0),0.5,(SUMPRODUCT(--ISNUMBER(Risk_Rank_Keys!$D$2:$D$800),--(Risk_Rank_Keys!$D$2:$D$800&lt;Risk_Rank_Keys!D709))+(SUMPRODUCT(--ISNUMBER(Risk_Rank_Keys!$D$2:$D$800),--(Risk_Rank_Keys!$D$2:$D$800=Risk_Rank_Keys!D709))+1)/2)/COUNT(Risk_Rank_Keys!$D$2:$D$800))</f>
        <v/>
      </c>
      <c r="P709">
        <f>AVERAGE(M709:O709)</f>
        <v/>
      </c>
      <c r="Q709">
        <f>0.4*H709+0.4*I709+0.2*P709</f>
        <v/>
      </c>
      <c r="R709">
        <f>PERCENTILE($Q$2:$Q$800,0.75)</f>
        <v/>
      </c>
      <c r="S709">
        <f>OR(Q709&gt;=R709,AND(B709="CW",COUNT(J709:L709)&lt;3))</f>
        <v/>
      </c>
      <c r="T709" t="n">
        <v>0.2919806187396891</v>
      </c>
      <c r="U709" t="n">
        <v>7.527962906873444</v>
      </c>
      <c r="V709" t="n">
        <v>0.4374489497273731</v>
      </c>
      <c r="W709">
        <f>Q709-V709</f>
        <v/>
      </c>
    </row>
    <row r="710">
      <c r="A710" t="inlineStr">
        <is>
          <t>2025-10-17</t>
        </is>
      </c>
      <c r="B710" t="inlineStr">
        <is>
          <t>CW</t>
        </is>
      </c>
      <c r="C710" t="n">
        <v>-39.4425653851407</v>
      </c>
      <c r="D710">
        <f>SUMPRODUCT(Risk_Inputs!B710:AJ710,Risk_Coefs!$B$2:$AJ$2)</f>
        <v/>
      </c>
      <c r="E710">
        <f>1/(1+EXP(-MAX(-25,MIN(25,D710))))</f>
        <v/>
      </c>
      <c r="F710">
        <f>SUMPRODUCT(Risk_Inputs!B710:AJ710,Risk_Coefs!$B$3:$AJ$3)</f>
        <v/>
      </c>
      <c r="G710">
        <f>MAX(0,F710)</f>
        <v/>
      </c>
      <c r="H710">
        <f>(SUMPRODUCT(--ISNUMBER($E$2:$E$800),--($E$2:$E$800&lt;E710))+(SUMPRODUCT(--ISNUMBER($E$2:$E$800),--($E$2:$E$800=E710))+1)/2)/COUNT($E$2:$E$800)</f>
        <v/>
      </c>
      <c r="I710">
        <f>(SUMPRODUCT(--ISNUMBER($G$2:$G$800),--($G$2:$G$800&lt;G710))+(SUMPRODUCT(--ISNUMBER($G$2:$G$800),--($G$2:$G$800=G710))+1)/2)/COUNT($G$2:$G$800)</f>
        <v/>
      </c>
      <c r="J710" t="n">
        <v>5.614581478923231</v>
      </c>
      <c r="K710" t="n">
        <v>2.044198895027618</v>
      </c>
      <c r="L710" t="n">
        <v>0.2209944751381246</v>
      </c>
      <c r="M710">
        <f>IF(OR(B710="NW",COUNT(Risk_Rank_Keys!B710)=0),0.5,(SUMPRODUCT(--ISNUMBER(Risk_Rank_Keys!$B$2:$B$800),--(Risk_Rank_Keys!$B$2:$B$800&lt;Risk_Rank_Keys!B710))+(SUMPRODUCT(--ISNUMBER(Risk_Rank_Keys!$B$2:$B$800),--(Risk_Rank_Keys!$B$2:$B$800=Risk_Rank_Keys!B710))+1)/2)/COUNT(Risk_Rank_Keys!$B$2:$B$800))</f>
        <v/>
      </c>
      <c r="N710">
        <f>IF(OR(B710="NW",COUNT(Risk_Rank_Keys!C710)=0),0.5,(SUMPRODUCT(--ISNUMBER(Risk_Rank_Keys!$C$2:$C$800),--(Risk_Rank_Keys!$C$2:$C$800&lt;Risk_Rank_Keys!C710))+(SUMPRODUCT(--ISNUMBER(Risk_Rank_Keys!$C$2:$C$800),--(Risk_Rank_Keys!$C$2:$C$800=Risk_Rank_Keys!C710))+1)/2)/COUNT(Risk_Rank_Keys!$C$2:$C$800))</f>
        <v/>
      </c>
      <c r="O710">
        <f>IF(OR(B710="NW",COUNT(Risk_Rank_Keys!D710)=0),0.5,(SUMPRODUCT(--ISNUMBER(Risk_Rank_Keys!$D$2:$D$800),--(Risk_Rank_Keys!$D$2:$D$800&lt;Risk_Rank_Keys!D710))+(SUMPRODUCT(--ISNUMBER(Risk_Rank_Keys!$D$2:$D$800),--(Risk_Rank_Keys!$D$2:$D$800=Risk_Rank_Keys!D710))+1)/2)/COUNT(Risk_Rank_Keys!$D$2:$D$800))</f>
        <v/>
      </c>
      <c r="P710">
        <f>AVERAGE(M710:O710)</f>
        <v/>
      </c>
      <c r="Q710">
        <f>0.4*H710+0.4*I710+0.2*P710</f>
        <v/>
      </c>
      <c r="R710">
        <f>PERCENTILE($Q$2:$Q$800,0.75)</f>
        <v/>
      </c>
      <c r="S710">
        <f>OR(Q710&gt;=R710,AND(B710="CW",COUNT(J710:L710)&lt;3))</f>
        <v/>
      </c>
      <c r="T710" t="n">
        <v>0.2558267429742044</v>
      </c>
      <c r="U710" t="n">
        <v>4.424352187794877</v>
      </c>
      <c r="V710" t="n">
        <v>0.2137214754147007</v>
      </c>
      <c r="W710">
        <f>Q710-V710</f>
        <v/>
      </c>
    </row>
    <row r="711">
      <c r="A711" t="inlineStr">
        <is>
          <t>2025-10-28</t>
        </is>
      </c>
      <c r="B711" t="inlineStr">
        <is>
          <t>CW</t>
        </is>
      </c>
      <c r="C711" t="n">
        <v>-6.830605355565746</v>
      </c>
      <c r="D711">
        <f>SUMPRODUCT(Risk_Inputs!B711:AJ711,Risk_Coefs!$B$2:$AJ$2)</f>
        <v/>
      </c>
      <c r="E711">
        <f>1/(1+EXP(-MAX(-25,MIN(25,D711))))</f>
        <v/>
      </c>
      <c r="F711">
        <f>SUMPRODUCT(Risk_Inputs!B711:AJ711,Risk_Coefs!$B$3:$AJ$3)</f>
        <v/>
      </c>
      <c r="G711">
        <f>MAX(0,F711)</f>
        <v/>
      </c>
      <c r="H711">
        <f>(SUMPRODUCT(--ISNUMBER($E$2:$E$800),--($E$2:$E$800&lt;E711))+(SUMPRODUCT(--ISNUMBER($E$2:$E$800),--($E$2:$E$800=E711))+1)/2)/COUNT($E$2:$E$800)</f>
        <v/>
      </c>
      <c r="I711">
        <f>(SUMPRODUCT(--ISNUMBER($G$2:$G$800),--($G$2:$G$800&lt;G711))+(SUMPRODUCT(--ISNUMBER($G$2:$G$800),--($G$2:$G$800=G711))+1)/2)/COUNT($G$2:$G$800)</f>
        <v/>
      </c>
      <c r="J711" t="n">
        <v>14.68073249937437</v>
      </c>
      <c r="K711" t="n">
        <v>18.31083419868466</v>
      </c>
      <c r="L711" t="n">
        <v>0.346140533056416</v>
      </c>
      <c r="M711">
        <f>IF(OR(B711="NW",COUNT(Risk_Rank_Keys!B711)=0),0.5,(SUMPRODUCT(--ISNUMBER(Risk_Rank_Keys!$B$2:$B$800),--(Risk_Rank_Keys!$B$2:$B$800&lt;Risk_Rank_Keys!B711))+(SUMPRODUCT(--ISNUMBER(Risk_Rank_Keys!$B$2:$B$800),--(Risk_Rank_Keys!$B$2:$B$800=Risk_Rank_Keys!B711))+1)/2)/COUNT(Risk_Rank_Keys!$B$2:$B$800))</f>
        <v/>
      </c>
      <c r="N711">
        <f>IF(OR(B711="NW",COUNT(Risk_Rank_Keys!C711)=0),0.5,(SUMPRODUCT(--ISNUMBER(Risk_Rank_Keys!$C$2:$C$800),--(Risk_Rank_Keys!$C$2:$C$800&lt;Risk_Rank_Keys!C711))+(SUMPRODUCT(--ISNUMBER(Risk_Rank_Keys!$C$2:$C$800),--(Risk_Rank_Keys!$C$2:$C$800=Risk_Rank_Keys!C711))+1)/2)/COUNT(Risk_Rank_Keys!$C$2:$C$800))</f>
        <v/>
      </c>
      <c r="O711">
        <f>IF(OR(B711="NW",COUNT(Risk_Rank_Keys!D711)=0),0.5,(SUMPRODUCT(--ISNUMBER(Risk_Rank_Keys!$D$2:$D$800),--(Risk_Rank_Keys!$D$2:$D$800&lt;Risk_Rank_Keys!D711))+(SUMPRODUCT(--ISNUMBER(Risk_Rank_Keys!$D$2:$D$800),--(Risk_Rank_Keys!$D$2:$D$800=Risk_Rank_Keys!D711))+1)/2)/COUNT(Risk_Rank_Keys!$D$2:$D$800))</f>
        <v/>
      </c>
      <c r="P711">
        <f>AVERAGE(M711:O711)</f>
        <v/>
      </c>
      <c r="Q711">
        <f>0.4*H711+0.4*I711+0.2*P711</f>
        <v/>
      </c>
      <c r="R711">
        <f>PERCENTILE($Q$2:$Q$800,0.75)</f>
        <v/>
      </c>
      <c r="S711">
        <f>OR(Q711&gt;=R711,AND(B711="CW",COUNT(J711:L711)&lt;3))</f>
        <v/>
      </c>
      <c r="T711" t="n">
        <v>0.1713454678695451</v>
      </c>
      <c r="U711" t="n">
        <v>3.99035189695822</v>
      </c>
      <c r="V711" t="n">
        <v>0.2029583702082275</v>
      </c>
      <c r="W711">
        <f>Q711-V711</f>
        <v/>
      </c>
    </row>
    <row r="712">
      <c r="A712" t="inlineStr">
        <is>
          <t>2025-10-30</t>
        </is>
      </c>
      <c r="B712" t="inlineStr">
        <is>
          <t>CW</t>
        </is>
      </c>
      <c r="C712" t="n">
        <v>0.6905265921510448</v>
      </c>
      <c r="D712">
        <f>SUMPRODUCT(Risk_Inputs!B712:AJ712,Risk_Coefs!$B$2:$AJ$2)</f>
        <v/>
      </c>
      <c r="E712">
        <f>1/(1+EXP(-MAX(-25,MIN(25,D712))))</f>
        <v/>
      </c>
      <c r="F712">
        <f>SUMPRODUCT(Risk_Inputs!B712:AJ712,Risk_Coefs!$B$3:$AJ$3)</f>
        <v/>
      </c>
      <c r="G712">
        <f>MAX(0,F712)</f>
        <v/>
      </c>
      <c r="H712">
        <f>(SUMPRODUCT(--ISNUMBER($E$2:$E$800),--($E$2:$E$800&lt;E712))+(SUMPRODUCT(--ISNUMBER($E$2:$E$800),--($E$2:$E$800=E712))+1)/2)/COUNT($E$2:$E$800)</f>
        <v/>
      </c>
      <c r="I712">
        <f>(SUMPRODUCT(--ISNUMBER($G$2:$G$800),--($G$2:$G$800&lt;G712))+(SUMPRODUCT(--ISNUMBER($G$2:$G$800),--($G$2:$G$800=G712))+1)/2)/COUNT($G$2:$G$800)</f>
        <v/>
      </c>
      <c r="J712" t="n">
        <v>2.689571570460052</v>
      </c>
      <c r="K712" t="n">
        <v>2.020202020202024</v>
      </c>
      <c r="L712" t="n">
        <v>0.1334095673718185</v>
      </c>
      <c r="M712">
        <f>IF(OR(B712="NW",COUNT(Risk_Rank_Keys!B712)=0),0.5,(SUMPRODUCT(--ISNUMBER(Risk_Rank_Keys!$B$2:$B$800),--(Risk_Rank_Keys!$B$2:$B$800&lt;Risk_Rank_Keys!B712))+(SUMPRODUCT(--ISNUMBER(Risk_Rank_Keys!$B$2:$B$800),--(Risk_Rank_Keys!$B$2:$B$800=Risk_Rank_Keys!B712))+1)/2)/COUNT(Risk_Rank_Keys!$B$2:$B$800))</f>
        <v/>
      </c>
      <c r="N712">
        <f>IF(OR(B712="NW",COUNT(Risk_Rank_Keys!C712)=0),0.5,(SUMPRODUCT(--ISNUMBER(Risk_Rank_Keys!$C$2:$C$800),--(Risk_Rank_Keys!$C$2:$C$800&lt;Risk_Rank_Keys!C712))+(SUMPRODUCT(--ISNUMBER(Risk_Rank_Keys!$C$2:$C$800),--(Risk_Rank_Keys!$C$2:$C$800=Risk_Rank_Keys!C712))+1)/2)/COUNT(Risk_Rank_Keys!$C$2:$C$800))</f>
        <v/>
      </c>
      <c r="O712">
        <f>IF(OR(B712="NW",COUNT(Risk_Rank_Keys!D712)=0),0.5,(SUMPRODUCT(--ISNUMBER(Risk_Rank_Keys!$D$2:$D$800),--(Risk_Rank_Keys!$D$2:$D$800&lt;Risk_Rank_Keys!D712))+(SUMPRODUCT(--ISNUMBER(Risk_Rank_Keys!$D$2:$D$800),--(Risk_Rank_Keys!$D$2:$D$800=Risk_Rank_Keys!D712))+1)/2)/COUNT(Risk_Rank_Keys!$D$2:$D$800))</f>
        <v/>
      </c>
      <c r="P712">
        <f>AVERAGE(M712:O712)</f>
        <v/>
      </c>
      <c r="Q712">
        <f>0.4*H712+0.4*I712+0.2*P712</f>
        <v/>
      </c>
      <c r="R712">
        <f>PERCENTILE($Q$2:$Q$800,0.75)</f>
        <v/>
      </c>
      <c r="S712">
        <f>OR(Q712&gt;=R712,AND(B712="CW",COUNT(J712:L712)&lt;3))</f>
        <v/>
      </c>
      <c r="T712" t="n">
        <v>0.320393466017046</v>
      </c>
      <c r="U712" t="n">
        <v>6.731239131278706</v>
      </c>
      <c r="V712" t="n">
        <v>0.4458876710718711</v>
      </c>
      <c r="W712">
        <f>Q712-V712</f>
        <v/>
      </c>
    </row>
    <row r="713">
      <c r="A713" t="inlineStr">
        <is>
          <t>2025-10-31</t>
        </is>
      </c>
      <c r="B713" t="inlineStr">
        <is>
          <t>CW</t>
        </is>
      </c>
      <c r="C713" t="n">
        <v>-4.694131147530773</v>
      </c>
      <c r="D713">
        <f>SUMPRODUCT(Risk_Inputs!B713:AJ713,Risk_Coefs!$B$2:$AJ$2)</f>
        <v/>
      </c>
      <c r="E713">
        <f>1/(1+EXP(-MAX(-25,MIN(25,D713))))</f>
        <v/>
      </c>
      <c r="F713">
        <f>SUMPRODUCT(Risk_Inputs!B713:AJ713,Risk_Coefs!$B$3:$AJ$3)</f>
        <v/>
      </c>
      <c r="G713">
        <f>MAX(0,F713)</f>
        <v/>
      </c>
      <c r="H713">
        <f>(SUMPRODUCT(--ISNUMBER($E$2:$E$800),--($E$2:$E$800&lt;E713))+(SUMPRODUCT(--ISNUMBER($E$2:$E$800),--($E$2:$E$800=E713))+1)/2)/COUNT($E$2:$E$800)</f>
        <v/>
      </c>
      <c r="I713">
        <f>(SUMPRODUCT(--ISNUMBER($G$2:$G$800),--($G$2:$G$800&lt;G713))+(SUMPRODUCT(--ISNUMBER($G$2:$G$800),--($G$2:$G$800=G713))+1)/2)/COUNT($G$2:$G$800)</f>
        <v/>
      </c>
      <c r="J713" t="n">
        <v>3.939942909454986</v>
      </c>
      <c r="K713" t="n">
        <v>0.959821428571431</v>
      </c>
      <c r="L713" t="n">
        <v>0.2008928571428584</v>
      </c>
      <c r="M713">
        <f>IF(OR(B713="NW",COUNT(Risk_Rank_Keys!B713)=0),0.5,(SUMPRODUCT(--ISNUMBER(Risk_Rank_Keys!$B$2:$B$800),--(Risk_Rank_Keys!$B$2:$B$800&lt;Risk_Rank_Keys!B713))+(SUMPRODUCT(--ISNUMBER(Risk_Rank_Keys!$B$2:$B$800),--(Risk_Rank_Keys!$B$2:$B$800=Risk_Rank_Keys!B713))+1)/2)/COUNT(Risk_Rank_Keys!$B$2:$B$800))</f>
        <v/>
      </c>
      <c r="N713">
        <f>IF(OR(B713="NW",COUNT(Risk_Rank_Keys!C713)=0),0.5,(SUMPRODUCT(--ISNUMBER(Risk_Rank_Keys!$C$2:$C$800),--(Risk_Rank_Keys!$C$2:$C$800&lt;Risk_Rank_Keys!C713))+(SUMPRODUCT(--ISNUMBER(Risk_Rank_Keys!$C$2:$C$800),--(Risk_Rank_Keys!$C$2:$C$800=Risk_Rank_Keys!C713))+1)/2)/COUNT(Risk_Rank_Keys!$C$2:$C$800))</f>
        <v/>
      </c>
      <c r="O713">
        <f>IF(OR(B713="NW",COUNT(Risk_Rank_Keys!D713)=0),0.5,(SUMPRODUCT(--ISNUMBER(Risk_Rank_Keys!$D$2:$D$800),--(Risk_Rank_Keys!$D$2:$D$800&lt;Risk_Rank_Keys!D713))+(SUMPRODUCT(--ISNUMBER(Risk_Rank_Keys!$D$2:$D$800),--(Risk_Rank_Keys!$D$2:$D$800=Risk_Rank_Keys!D713))+1)/2)/COUNT(Risk_Rank_Keys!$D$2:$D$800))</f>
        <v/>
      </c>
      <c r="P713">
        <f>AVERAGE(M713:O713)</f>
        <v/>
      </c>
      <c r="Q713">
        <f>0.4*H713+0.4*I713+0.2*P713</f>
        <v/>
      </c>
      <c r="R713">
        <f>PERCENTILE($Q$2:$Q$800,0.75)</f>
        <v/>
      </c>
      <c r="S713">
        <f>OR(Q713&gt;=R713,AND(B713="CW",COUNT(J713:L713)&lt;3))</f>
        <v/>
      </c>
      <c r="T713" t="n">
        <v>0.285048623124612</v>
      </c>
      <c r="U713" t="n">
        <v>4.593101801444126</v>
      </c>
      <c r="V713" t="n">
        <v>0.2623155746170394</v>
      </c>
      <c r="W713">
        <f>Q713-V713</f>
        <v/>
      </c>
    </row>
    <row r="714">
      <c r="A714" t="inlineStr">
        <is>
          <t>2025-11-04</t>
        </is>
      </c>
      <c r="B714" t="inlineStr">
        <is>
          <t>CW</t>
        </is>
      </c>
      <c r="C714" t="n">
        <v>22.1921309927897</v>
      </c>
      <c r="D714">
        <f>SUMPRODUCT(Risk_Inputs!B714:AJ714,Risk_Coefs!$B$2:$AJ$2)</f>
        <v/>
      </c>
      <c r="E714">
        <f>1/(1+EXP(-MAX(-25,MIN(25,D714))))</f>
        <v/>
      </c>
      <c r="F714">
        <f>SUMPRODUCT(Risk_Inputs!B714:AJ714,Risk_Coefs!$B$3:$AJ$3)</f>
        <v/>
      </c>
      <c r="G714">
        <f>MAX(0,F714)</f>
        <v/>
      </c>
      <c r="H714">
        <f>(SUMPRODUCT(--ISNUMBER($E$2:$E$800),--($E$2:$E$800&lt;E714))+(SUMPRODUCT(--ISNUMBER($E$2:$E$800),--($E$2:$E$800=E714))+1)/2)/COUNT($E$2:$E$800)</f>
        <v/>
      </c>
      <c r="I714">
        <f>(SUMPRODUCT(--ISNUMBER($G$2:$G$800),--($G$2:$G$800&lt;G714))+(SUMPRODUCT(--ISNUMBER($G$2:$G$800),--($G$2:$G$800=G714))+1)/2)/COUNT($G$2:$G$800)</f>
        <v/>
      </c>
      <c r="J714" t="n">
        <v>16.89457860537262</v>
      </c>
      <c r="K714" t="n">
        <v>6.085649887302798</v>
      </c>
      <c r="L714" t="n">
        <v>0.2629601803155479</v>
      </c>
      <c r="M714">
        <f>IF(OR(B714="NW",COUNT(Risk_Rank_Keys!B714)=0),0.5,(SUMPRODUCT(--ISNUMBER(Risk_Rank_Keys!$B$2:$B$800),--(Risk_Rank_Keys!$B$2:$B$800&lt;Risk_Rank_Keys!B714))+(SUMPRODUCT(--ISNUMBER(Risk_Rank_Keys!$B$2:$B$800),--(Risk_Rank_Keys!$B$2:$B$800=Risk_Rank_Keys!B714))+1)/2)/COUNT(Risk_Rank_Keys!$B$2:$B$800))</f>
        <v/>
      </c>
      <c r="N714">
        <f>IF(OR(B714="NW",COUNT(Risk_Rank_Keys!C714)=0),0.5,(SUMPRODUCT(--ISNUMBER(Risk_Rank_Keys!$C$2:$C$800),--(Risk_Rank_Keys!$C$2:$C$800&lt;Risk_Rank_Keys!C714))+(SUMPRODUCT(--ISNUMBER(Risk_Rank_Keys!$C$2:$C$800),--(Risk_Rank_Keys!$C$2:$C$800=Risk_Rank_Keys!C714))+1)/2)/COUNT(Risk_Rank_Keys!$C$2:$C$800))</f>
        <v/>
      </c>
      <c r="O714">
        <f>IF(OR(B714="NW",COUNT(Risk_Rank_Keys!D714)=0),0.5,(SUMPRODUCT(--ISNUMBER(Risk_Rank_Keys!$D$2:$D$800),--(Risk_Rank_Keys!$D$2:$D$800&lt;Risk_Rank_Keys!D714))+(SUMPRODUCT(--ISNUMBER(Risk_Rank_Keys!$D$2:$D$800),--(Risk_Rank_Keys!$D$2:$D$800=Risk_Rank_Keys!D714))+1)/2)/COUNT(Risk_Rank_Keys!$D$2:$D$800))</f>
        <v/>
      </c>
      <c r="P714">
        <f>AVERAGE(M714:O714)</f>
        <v/>
      </c>
      <c r="Q714">
        <f>0.4*H714+0.4*I714+0.2*P714</f>
        <v/>
      </c>
      <c r="R714">
        <f>PERCENTILE($Q$2:$Q$800,0.75)</f>
        <v/>
      </c>
      <c r="S714">
        <f>OR(Q714&gt;=R714,AND(B714="CW",COUNT(J714:L714)&lt;3))</f>
        <v/>
      </c>
      <c r="T714" t="n">
        <v>0.2342869907027668</v>
      </c>
      <c r="U714" t="n">
        <v>5.96932509875213</v>
      </c>
      <c r="V714" t="n">
        <v>0.3258603705585027</v>
      </c>
      <c r="W714">
        <f>Q714-V714</f>
        <v/>
      </c>
    </row>
    <row r="715">
      <c r="A715" t="inlineStr">
        <is>
          <t>2025-11-14</t>
        </is>
      </c>
      <c r="B715" t="inlineStr">
        <is>
          <t>CW</t>
        </is>
      </c>
      <c r="C715" t="n">
        <v>3.660440561380067</v>
      </c>
      <c r="D715">
        <f>SUMPRODUCT(Risk_Inputs!B715:AJ715,Risk_Coefs!$B$2:$AJ$2)</f>
        <v/>
      </c>
      <c r="E715">
        <f>1/(1+EXP(-MAX(-25,MIN(25,D715))))</f>
        <v/>
      </c>
      <c r="F715">
        <f>SUMPRODUCT(Risk_Inputs!B715:AJ715,Risk_Coefs!$B$3:$AJ$3)</f>
        <v/>
      </c>
      <c r="G715">
        <f>MAX(0,F715)</f>
        <v/>
      </c>
      <c r="H715">
        <f>(SUMPRODUCT(--ISNUMBER($E$2:$E$800),--($E$2:$E$800&lt;E715))+(SUMPRODUCT(--ISNUMBER($E$2:$E$800),--($E$2:$E$800=E715))+1)/2)/COUNT($E$2:$E$800)</f>
        <v/>
      </c>
      <c r="I715">
        <f>(SUMPRODUCT(--ISNUMBER($G$2:$G$800),--($G$2:$G$800&lt;G715))+(SUMPRODUCT(--ISNUMBER($G$2:$G$800),--($G$2:$G$800=G715))+1)/2)/COUNT($G$2:$G$800)</f>
        <v/>
      </c>
      <c r="J715" t="n">
        <v>7.39460271432193</v>
      </c>
      <c r="K715" t="n">
        <v>1.906941266209001</v>
      </c>
      <c r="L715" t="n">
        <v>0.1525553012967113</v>
      </c>
      <c r="M715">
        <f>IF(OR(B715="NW",COUNT(Risk_Rank_Keys!B715)=0),0.5,(SUMPRODUCT(--ISNUMBER(Risk_Rank_Keys!$B$2:$B$800),--(Risk_Rank_Keys!$B$2:$B$800&lt;Risk_Rank_Keys!B715))+(SUMPRODUCT(--ISNUMBER(Risk_Rank_Keys!$B$2:$B$800),--(Risk_Rank_Keys!$B$2:$B$800=Risk_Rank_Keys!B715))+1)/2)/COUNT(Risk_Rank_Keys!$B$2:$B$800))</f>
        <v/>
      </c>
      <c r="N715">
        <f>IF(OR(B715="NW",COUNT(Risk_Rank_Keys!C715)=0),0.5,(SUMPRODUCT(--ISNUMBER(Risk_Rank_Keys!$C$2:$C$800),--(Risk_Rank_Keys!$C$2:$C$800&lt;Risk_Rank_Keys!C715))+(SUMPRODUCT(--ISNUMBER(Risk_Rank_Keys!$C$2:$C$800),--(Risk_Rank_Keys!$C$2:$C$800=Risk_Rank_Keys!C715))+1)/2)/COUNT(Risk_Rank_Keys!$C$2:$C$800))</f>
        <v/>
      </c>
      <c r="O715">
        <f>IF(OR(B715="NW",COUNT(Risk_Rank_Keys!D715)=0),0.5,(SUMPRODUCT(--ISNUMBER(Risk_Rank_Keys!$D$2:$D$800),--(Risk_Rank_Keys!$D$2:$D$800&lt;Risk_Rank_Keys!D715))+(SUMPRODUCT(--ISNUMBER(Risk_Rank_Keys!$D$2:$D$800),--(Risk_Rank_Keys!$D$2:$D$800=Risk_Rank_Keys!D715))+1)/2)/COUNT(Risk_Rank_Keys!$D$2:$D$800))</f>
        <v/>
      </c>
      <c r="P715">
        <f>AVERAGE(M715:O715)</f>
        <v/>
      </c>
      <c r="Q715">
        <f>0.4*H715+0.4*I715+0.2*P715</f>
        <v/>
      </c>
      <c r="R715">
        <f>PERCENTILE($Q$2:$Q$800,0.75)</f>
        <v/>
      </c>
      <c r="S715">
        <f>OR(Q715&gt;=R715,AND(B715="CW",COUNT(J715:L715)&lt;3))</f>
        <v/>
      </c>
      <c r="T715" t="n">
        <v>0.31372166874923</v>
      </c>
      <c r="U715" t="n">
        <v>4.913662641711786</v>
      </c>
      <c r="V715" t="n">
        <v>0.353488117701753</v>
      </c>
      <c r="W715">
        <f>Q715-V715</f>
        <v/>
      </c>
    </row>
    <row r="716">
      <c r="A716" t="inlineStr">
        <is>
          <t>2025-11-20</t>
        </is>
      </c>
      <c r="B716" t="inlineStr">
        <is>
          <t>CW</t>
        </is>
      </c>
      <c r="C716" t="n">
        <v>6.24959067080945</v>
      </c>
      <c r="D716">
        <f>SUMPRODUCT(Risk_Inputs!B716:AJ716,Risk_Coefs!$B$2:$AJ$2)</f>
        <v/>
      </c>
      <c r="E716">
        <f>1/(1+EXP(-MAX(-25,MIN(25,D716))))</f>
        <v/>
      </c>
      <c r="F716">
        <f>SUMPRODUCT(Risk_Inputs!B716:AJ716,Risk_Coefs!$B$3:$AJ$3)</f>
        <v/>
      </c>
      <c r="G716">
        <f>MAX(0,F716)</f>
        <v/>
      </c>
      <c r="H716">
        <f>(SUMPRODUCT(--ISNUMBER($E$2:$E$800),--($E$2:$E$800&lt;E716))+(SUMPRODUCT(--ISNUMBER($E$2:$E$800),--($E$2:$E$800=E716))+1)/2)/COUNT($E$2:$E$800)</f>
        <v/>
      </c>
      <c r="I716">
        <f>(SUMPRODUCT(--ISNUMBER($G$2:$G$800),--($G$2:$G$800&lt;G716))+(SUMPRODUCT(--ISNUMBER($G$2:$G$800),--($G$2:$G$800=G716))+1)/2)/COUNT($G$2:$G$800)</f>
        <v/>
      </c>
      <c r="J716" t="n">
        <v>5.533197269014618</v>
      </c>
      <c r="K716" t="n">
        <v>1.003667245705449</v>
      </c>
      <c r="L716" t="n">
        <v>0.1544103454931502</v>
      </c>
      <c r="M716">
        <f>IF(OR(B716="NW",COUNT(Risk_Rank_Keys!B716)=0),0.5,(SUMPRODUCT(--ISNUMBER(Risk_Rank_Keys!$B$2:$B$800),--(Risk_Rank_Keys!$B$2:$B$800&lt;Risk_Rank_Keys!B716))+(SUMPRODUCT(--ISNUMBER(Risk_Rank_Keys!$B$2:$B$800),--(Risk_Rank_Keys!$B$2:$B$800=Risk_Rank_Keys!B716))+1)/2)/COUNT(Risk_Rank_Keys!$B$2:$B$800))</f>
        <v/>
      </c>
      <c r="N716">
        <f>IF(OR(B716="NW",COUNT(Risk_Rank_Keys!C716)=0),0.5,(SUMPRODUCT(--ISNUMBER(Risk_Rank_Keys!$C$2:$C$800),--(Risk_Rank_Keys!$C$2:$C$800&lt;Risk_Rank_Keys!C716))+(SUMPRODUCT(--ISNUMBER(Risk_Rank_Keys!$C$2:$C$800),--(Risk_Rank_Keys!$C$2:$C$800=Risk_Rank_Keys!C716))+1)/2)/COUNT(Risk_Rank_Keys!$C$2:$C$800))</f>
        <v/>
      </c>
      <c r="O716">
        <f>IF(OR(B716="NW",COUNT(Risk_Rank_Keys!D716)=0),0.5,(SUMPRODUCT(--ISNUMBER(Risk_Rank_Keys!$D$2:$D$800),--(Risk_Rank_Keys!$D$2:$D$800&lt;Risk_Rank_Keys!D716))+(SUMPRODUCT(--ISNUMBER(Risk_Rank_Keys!$D$2:$D$800),--(Risk_Rank_Keys!$D$2:$D$800=Risk_Rank_Keys!D716))+1)/2)/COUNT(Risk_Rank_Keys!$D$2:$D$800))</f>
        <v/>
      </c>
      <c r="P716">
        <f>AVERAGE(M716:O716)</f>
        <v/>
      </c>
      <c r="Q716">
        <f>0.4*H716+0.4*I716+0.2*P716</f>
        <v/>
      </c>
      <c r="R716">
        <f>PERCENTILE($Q$2:$Q$800,0.75)</f>
        <v/>
      </c>
      <c r="S716">
        <f>OR(Q716&gt;=R716,AND(B716="CW",COUNT(J716:L716)&lt;3))</f>
        <v/>
      </c>
      <c r="T716" t="n">
        <v>0.3301246758633834</v>
      </c>
      <c r="U716" t="n">
        <v>9.352484020330431</v>
      </c>
      <c r="V716" t="n">
        <v>0.6008311179304211</v>
      </c>
      <c r="W716">
        <f>Q716-V716</f>
        <v/>
      </c>
    </row>
    <row r="717">
      <c r="A717" t="inlineStr">
        <is>
          <t>2025-12-03</t>
        </is>
      </c>
      <c r="B717" t="inlineStr">
        <is>
          <t>CW</t>
        </is>
      </c>
      <c r="C717" t="n">
        <v>9.683267471678933</v>
      </c>
      <c r="D717">
        <f>SUMPRODUCT(Risk_Inputs!B717:AJ717,Risk_Coefs!$B$2:$AJ$2)</f>
        <v/>
      </c>
      <c r="E717">
        <f>1/(1+EXP(-MAX(-25,MIN(25,D717))))</f>
        <v/>
      </c>
      <c r="F717">
        <f>SUMPRODUCT(Risk_Inputs!B717:AJ717,Risk_Coefs!$B$3:$AJ$3)</f>
        <v/>
      </c>
      <c r="G717">
        <f>MAX(0,F717)</f>
        <v/>
      </c>
      <c r="H717">
        <f>(SUMPRODUCT(--ISNUMBER($E$2:$E$800),--($E$2:$E$800&lt;E717))+(SUMPRODUCT(--ISNUMBER($E$2:$E$800),--($E$2:$E$800=E717))+1)/2)/COUNT($E$2:$E$800)</f>
        <v/>
      </c>
      <c r="I717">
        <f>(SUMPRODUCT(--ISNUMBER($G$2:$G$800),--($G$2:$G$800&lt;G717))+(SUMPRODUCT(--ISNUMBER($G$2:$G$800),--($G$2:$G$800=G717))+1)/2)/COUNT($G$2:$G$800)</f>
        <v/>
      </c>
      <c r="J717" t="n">
        <v>3.720987327543588</v>
      </c>
      <c r="K717" t="n">
        <v>1.084923307145521</v>
      </c>
      <c r="L717" t="n">
        <v>0.2057613168724322</v>
      </c>
      <c r="M717">
        <f>IF(OR(B717="NW",COUNT(Risk_Rank_Keys!B717)=0),0.5,(SUMPRODUCT(--ISNUMBER(Risk_Rank_Keys!$B$2:$B$800),--(Risk_Rank_Keys!$B$2:$B$800&lt;Risk_Rank_Keys!B717))+(SUMPRODUCT(--ISNUMBER(Risk_Rank_Keys!$B$2:$B$800),--(Risk_Rank_Keys!$B$2:$B$800=Risk_Rank_Keys!B717))+1)/2)/COUNT(Risk_Rank_Keys!$B$2:$B$800))</f>
        <v/>
      </c>
      <c r="N717">
        <f>IF(OR(B717="NW",COUNT(Risk_Rank_Keys!C717)=0),0.5,(SUMPRODUCT(--ISNUMBER(Risk_Rank_Keys!$C$2:$C$800),--(Risk_Rank_Keys!$C$2:$C$800&lt;Risk_Rank_Keys!C717))+(SUMPRODUCT(--ISNUMBER(Risk_Rank_Keys!$C$2:$C$800),--(Risk_Rank_Keys!$C$2:$C$800=Risk_Rank_Keys!C717))+1)/2)/COUNT(Risk_Rank_Keys!$C$2:$C$800))</f>
        <v/>
      </c>
      <c r="O717">
        <f>IF(OR(B717="NW",COUNT(Risk_Rank_Keys!D717)=0),0.5,(SUMPRODUCT(--ISNUMBER(Risk_Rank_Keys!$D$2:$D$800),--(Risk_Rank_Keys!$D$2:$D$800&lt;Risk_Rank_Keys!D717))+(SUMPRODUCT(--ISNUMBER(Risk_Rank_Keys!$D$2:$D$800),--(Risk_Rank_Keys!$D$2:$D$800=Risk_Rank_Keys!D717))+1)/2)/COUNT(Risk_Rank_Keys!$D$2:$D$800))</f>
        <v/>
      </c>
      <c r="P717">
        <f>AVERAGE(M717:O717)</f>
        <v/>
      </c>
      <c r="Q717">
        <f>0.4*H717+0.4*I717+0.2*P717</f>
        <v/>
      </c>
      <c r="R717">
        <f>PERCENTILE($Q$2:$Q$800,0.75)</f>
        <v/>
      </c>
      <c r="S717">
        <f>OR(Q717&gt;=R717,AND(B717="CW",COUNT(J717:L717)&lt;3))</f>
        <v/>
      </c>
      <c r="T717" t="n">
        <v>0.2784537631903101</v>
      </c>
      <c r="U717" t="n">
        <v>4.952809148809699</v>
      </c>
      <c r="V717" t="n">
        <v>0.2661776779319105</v>
      </c>
      <c r="W717">
        <f>Q717-V717</f>
        <v/>
      </c>
    </row>
    <row r="718">
      <c r="A718" t="inlineStr">
        <is>
          <t>2025-12-04</t>
        </is>
      </c>
      <c r="B718" t="inlineStr">
        <is>
          <t>CW</t>
        </is>
      </c>
      <c r="C718" t="n">
        <v>8.679890709193645</v>
      </c>
      <c r="D718">
        <f>SUMPRODUCT(Risk_Inputs!B718:AJ718,Risk_Coefs!$B$2:$AJ$2)</f>
        <v/>
      </c>
      <c r="E718">
        <f>1/(1+EXP(-MAX(-25,MIN(25,D718))))</f>
        <v/>
      </c>
      <c r="F718">
        <f>SUMPRODUCT(Risk_Inputs!B718:AJ718,Risk_Coefs!$B$3:$AJ$3)</f>
        <v/>
      </c>
      <c r="G718">
        <f>MAX(0,F718)</f>
        <v/>
      </c>
      <c r="H718">
        <f>(SUMPRODUCT(--ISNUMBER($E$2:$E$800),--($E$2:$E$800&lt;E718))+(SUMPRODUCT(--ISNUMBER($E$2:$E$800),--($E$2:$E$800=E718))+1)/2)/COUNT($E$2:$E$800)</f>
        <v/>
      </c>
      <c r="I718">
        <f>(SUMPRODUCT(--ISNUMBER($G$2:$G$800),--($G$2:$G$800&lt;G718))+(SUMPRODUCT(--ISNUMBER($G$2:$G$800),--($G$2:$G$800=G718))+1)/2)/COUNT($G$2:$G$800)</f>
        <v/>
      </c>
      <c r="J718" t="n">
        <v>5.752367320397521</v>
      </c>
      <c r="K718" t="n">
        <v>0.8448873483535478</v>
      </c>
      <c r="L718" t="n">
        <v>0.1299826689774684</v>
      </c>
      <c r="M718">
        <f>IF(OR(B718="NW",COUNT(Risk_Rank_Keys!B718)=0),0.5,(SUMPRODUCT(--ISNUMBER(Risk_Rank_Keys!$B$2:$B$800),--(Risk_Rank_Keys!$B$2:$B$800&lt;Risk_Rank_Keys!B718))+(SUMPRODUCT(--ISNUMBER(Risk_Rank_Keys!$B$2:$B$800),--(Risk_Rank_Keys!$B$2:$B$800=Risk_Rank_Keys!B718))+1)/2)/COUNT(Risk_Rank_Keys!$B$2:$B$800))</f>
        <v/>
      </c>
      <c r="N718">
        <f>IF(OR(B718="NW",COUNT(Risk_Rank_Keys!C718)=0),0.5,(SUMPRODUCT(--ISNUMBER(Risk_Rank_Keys!$C$2:$C$800),--(Risk_Rank_Keys!$C$2:$C$800&lt;Risk_Rank_Keys!C718))+(SUMPRODUCT(--ISNUMBER(Risk_Rank_Keys!$C$2:$C$800),--(Risk_Rank_Keys!$C$2:$C$800=Risk_Rank_Keys!C718))+1)/2)/COUNT(Risk_Rank_Keys!$C$2:$C$800))</f>
        <v/>
      </c>
      <c r="O718">
        <f>IF(OR(B718="NW",COUNT(Risk_Rank_Keys!D718)=0),0.5,(SUMPRODUCT(--ISNUMBER(Risk_Rank_Keys!$D$2:$D$800),--(Risk_Rank_Keys!$D$2:$D$800&lt;Risk_Rank_Keys!D718))+(SUMPRODUCT(--ISNUMBER(Risk_Rank_Keys!$D$2:$D$800),--(Risk_Rank_Keys!$D$2:$D$800=Risk_Rank_Keys!D718))+1)/2)/COUNT(Risk_Rank_Keys!$D$2:$D$800))</f>
        <v/>
      </c>
      <c r="P718">
        <f>AVERAGE(M718:O718)</f>
        <v/>
      </c>
      <c r="Q718">
        <f>0.4*H718+0.4*I718+0.2*P718</f>
        <v/>
      </c>
      <c r="R718">
        <f>PERCENTILE($Q$2:$Q$800,0.75)</f>
        <v/>
      </c>
      <c r="S718">
        <f>OR(Q718&gt;=R718,AND(B718="CW",COUNT(J718:L718)&lt;3))</f>
        <v/>
      </c>
      <c r="T718" t="n">
        <v>0.2932196463533464</v>
      </c>
      <c r="U718" t="n">
        <v>6.225334366482952</v>
      </c>
      <c r="V718" t="n">
        <v>0.35382931593362</v>
      </c>
      <c r="W718">
        <f>Q718-V718</f>
        <v/>
      </c>
    </row>
    <row r="719">
      <c r="A719" t="inlineStr">
        <is>
          <t>2025-12-11</t>
        </is>
      </c>
      <c r="B719" t="inlineStr">
        <is>
          <t>CW</t>
        </is>
      </c>
      <c r="C719" t="n">
        <v>12.10838362928732</v>
      </c>
      <c r="D719">
        <f>SUMPRODUCT(Risk_Inputs!B719:AJ719,Risk_Coefs!$B$2:$AJ$2)</f>
        <v/>
      </c>
      <c r="E719">
        <f>1/(1+EXP(-MAX(-25,MIN(25,D719))))</f>
        <v/>
      </c>
      <c r="F719">
        <f>SUMPRODUCT(Risk_Inputs!B719:AJ719,Risk_Coefs!$B$3:$AJ$3)</f>
        <v/>
      </c>
      <c r="G719">
        <f>MAX(0,F719)</f>
        <v/>
      </c>
      <c r="H719">
        <f>(SUMPRODUCT(--ISNUMBER($E$2:$E$800),--($E$2:$E$800&lt;E719))+(SUMPRODUCT(--ISNUMBER($E$2:$E$800),--($E$2:$E$800=E719))+1)/2)/COUNT($E$2:$E$800)</f>
        <v/>
      </c>
      <c r="I719">
        <f>(SUMPRODUCT(--ISNUMBER($G$2:$G$800),--($G$2:$G$800&lt;G719))+(SUMPRODUCT(--ISNUMBER($G$2:$G$800),--($G$2:$G$800=G719))+1)/2)/COUNT($G$2:$G$800)</f>
        <v/>
      </c>
      <c r="J719" t="n">
        <v>11.6583803580536</v>
      </c>
      <c r="K719" t="n">
        <v>4.276904714541476</v>
      </c>
      <c r="L719" t="n">
        <v>0.1989258006763477</v>
      </c>
      <c r="M719">
        <f>IF(OR(B719="NW",COUNT(Risk_Rank_Keys!B719)=0),0.5,(SUMPRODUCT(--ISNUMBER(Risk_Rank_Keys!$B$2:$B$800),--(Risk_Rank_Keys!$B$2:$B$800&lt;Risk_Rank_Keys!B719))+(SUMPRODUCT(--ISNUMBER(Risk_Rank_Keys!$B$2:$B$800),--(Risk_Rank_Keys!$B$2:$B$800=Risk_Rank_Keys!B719))+1)/2)/COUNT(Risk_Rank_Keys!$B$2:$B$800))</f>
        <v/>
      </c>
      <c r="N719">
        <f>IF(OR(B719="NW",COUNT(Risk_Rank_Keys!C719)=0),0.5,(SUMPRODUCT(--ISNUMBER(Risk_Rank_Keys!$C$2:$C$800),--(Risk_Rank_Keys!$C$2:$C$800&lt;Risk_Rank_Keys!C719))+(SUMPRODUCT(--ISNUMBER(Risk_Rank_Keys!$C$2:$C$800),--(Risk_Rank_Keys!$C$2:$C$800=Risk_Rank_Keys!C719))+1)/2)/COUNT(Risk_Rank_Keys!$C$2:$C$800))</f>
        <v/>
      </c>
      <c r="O719">
        <f>IF(OR(B719="NW",COUNT(Risk_Rank_Keys!D719)=0),0.5,(SUMPRODUCT(--ISNUMBER(Risk_Rank_Keys!$D$2:$D$800),--(Risk_Rank_Keys!$D$2:$D$800&lt;Risk_Rank_Keys!D719))+(SUMPRODUCT(--ISNUMBER(Risk_Rank_Keys!$D$2:$D$800),--(Risk_Rank_Keys!$D$2:$D$800=Risk_Rank_Keys!D719))+1)/2)/COUNT(Risk_Rank_Keys!$D$2:$D$800))</f>
        <v/>
      </c>
      <c r="P719">
        <f>AVERAGE(M719:O719)</f>
        <v/>
      </c>
      <c r="Q719">
        <f>0.4*H719+0.4*I719+0.2*P719</f>
        <v/>
      </c>
      <c r="R719">
        <f>PERCENTILE($Q$2:$Q$800,0.75)</f>
        <v/>
      </c>
      <c r="S719">
        <f>OR(Q719&gt;=R719,AND(B719="CW",COUNT(J719:L719)&lt;3))</f>
        <v/>
      </c>
      <c r="T719" t="n">
        <v>0.274637071650067</v>
      </c>
      <c r="U719" t="n">
        <v>8.907540645567256</v>
      </c>
      <c r="V719" t="n">
        <v>0.5359843691178362</v>
      </c>
      <c r="W719">
        <f>Q719-V719</f>
        <v/>
      </c>
    </row>
    <row r="720">
      <c r="A720" t="inlineStr">
        <is>
          <t>2025-12-18</t>
        </is>
      </c>
      <c r="B720" t="inlineStr">
        <is>
          <t>CW</t>
        </is>
      </c>
      <c r="C720" t="n">
        <v>-2.373893243576239</v>
      </c>
      <c r="D720">
        <f>SUMPRODUCT(Risk_Inputs!B720:AJ720,Risk_Coefs!$B$2:$AJ$2)</f>
        <v/>
      </c>
      <c r="E720">
        <f>1/(1+EXP(-MAX(-25,MIN(25,D720))))</f>
        <v/>
      </c>
      <c r="F720">
        <f>SUMPRODUCT(Risk_Inputs!B720:AJ720,Risk_Coefs!$B$3:$AJ$3)</f>
        <v/>
      </c>
      <c r="G720">
        <f>MAX(0,F720)</f>
        <v/>
      </c>
      <c r="H720">
        <f>(SUMPRODUCT(--ISNUMBER($E$2:$E$800),--($E$2:$E$800&lt;E720))+(SUMPRODUCT(--ISNUMBER($E$2:$E$800),--($E$2:$E$800=E720))+1)/2)/COUNT($E$2:$E$800)</f>
        <v/>
      </c>
      <c r="I720">
        <f>(SUMPRODUCT(--ISNUMBER($G$2:$G$800),--($G$2:$G$800&lt;G720))+(SUMPRODUCT(--ISNUMBER($G$2:$G$800),--($G$2:$G$800=G720))+1)/2)/COUNT($G$2:$G$800)</f>
        <v/>
      </c>
      <c r="J720" t="n">
        <v>3.931944433682941</v>
      </c>
      <c r="K720" t="n">
        <v>1.209493382017346</v>
      </c>
      <c r="L720" t="n">
        <v>0.2282062984938384</v>
      </c>
      <c r="M720">
        <f>IF(OR(B720="NW",COUNT(Risk_Rank_Keys!B720)=0),0.5,(SUMPRODUCT(--ISNUMBER(Risk_Rank_Keys!$B$2:$B$800),--(Risk_Rank_Keys!$B$2:$B$800&lt;Risk_Rank_Keys!B720))+(SUMPRODUCT(--ISNUMBER(Risk_Rank_Keys!$B$2:$B$800),--(Risk_Rank_Keys!$B$2:$B$800=Risk_Rank_Keys!B720))+1)/2)/COUNT(Risk_Rank_Keys!$B$2:$B$800))</f>
        <v/>
      </c>
      <c r="N720">
        <f>IF(OR(B720="NW",COUNT(Risk_Rank_Keys!C720)=0),0.5,(SUMPRODUCT(--ISNUMBER(Risk_Rank_Keys!$C$2:$C$800),--(Risk_Rank_Keys!$C$2:$C$800&lt;Risk_Rank_Keys!C720))+(SUMPRODUCT(--ISNUMBER(Risk_Rank_Keys!$C$2:$C$800),--(Risk_Rank_Keys!$C$2:$C$800=Risk_Rank_Keys!C720))+1)/2)/COUNT(Risk_Rank_Keys!$C$2:$C$800))</f>
        <v/>
      </c>
      <c r="O720">
        <f>IF(OR(B720="NW",COUNT(Risk_Rank_Keys!D720)=0),0.5,(SUMPRODUCT(--ISNUMBER(Risk_Rank_Keys!$D$2:$D$800),--(Risk_Rank_Keys!$D$2:$D$800&lt;Risk_Rank_Keys!D720))+(SUMPRODUCT(--ISNUMBER(Risk_Rank_Keys!$D$2:$D$800),--(Risk_Rank_Keys!$D$2:$D$800=Risk_Rank_Keys!D720))+1)/2)/COUNT(Risk_Rank_Keys!$D$2:$D$800))</f>
        <v/>
      </c>
      <c r="P720">
        <f>AVERAGE(M720:O720)</f>
        <v/>
      </c>
      <c r="Q720">
        <f>0.4*H720+0.4*I720+0.2*P720</f>
        <v/>
      </c>
      <c r="R720">
        <f>PERCENTILE($Q$2:$Q$800,0.75)</f>
        <v/>
      </c>
      <c r="S720">
        <f>OR(Q720&gt;=R720,AND(B720="CW",COUNT(J720:L720)&lt;3))</f>
        <v/>
      </c>
      <c r="T720" t="n">
        <v>0.2948024304448013</v>
      </c>
      <c r="U720" t="n">
        <v>5.898042633921023</v>
      </c>
      <c r="V720" t="n">
        <v>0.3604249616995675</v>
      </c>
      <c r="W720">
        <f>Q720-V720</f>
        <v/>
      </c>
    </row>
    <row r="721">
      <c r="A721" t="inlineStr">
        <is>
          <t>2026-01-01</t>
        </is>
      </c>
      <c r="B721" t="inlineStr">
        <is>
          <t>CW</t>
        </is>
      </c>
      <c r="C721" t="n">
        <v>17.76162761230397</v>
      </c>
      <c r="D721">
        <f>SUMPRODUCT(Risk_Inputs!B721:AJ721,Risk_Coefs!$B$2:$AJ$2)</f>
        <v/>
      </c>
      <c r="E721">
        <f>1/(1+EXP(-MAX(-25,MIN(25,D721))))</f>
        <v/>
      </c>
      <c r="F721">
        <f>SUMPRODUCT(Risk_Inputs!B721:AJ721,Risk_Coefs!$B$3:$AJ$3)</f>
        <v/>
      </c>
      <c r="G721">
        <f>MAX(0,F721)</f>
        <v/>
      </c>
      <c r="H721">
        <f>(SUMPRODUCT(--ISNUMBER($E$2:$E$800),--($E$2:$E$800&lt;E721))+(SUMPRODUCT(--ISNUMBER($E$2:$E$800),--($E$2:$E$800=E721))+1)/2)/COUNT($E$2:$E$800)</f>
        <v/>
      </c>
      <c r="I721">
        <f>(SUMPRODUCT(--ISNUMBER($G$2:$G$800),--($G$2:$G$800&lt;G721))+(SUMPRODUCT(--ISNUMBER($G$2:$G$800),--($G$2:$G$800=G721))+1)/2)/COUNT($G$2:$G$800)</f>
        <v/>
      </c>
      <c r="J721" t="n">
        <v>3.701195257128417</v>
      </c>
      <c r="K721" t="n">
        <v>0.9655172413793104</v>
      </c>
      <c r="L721" t="n">
        <v>0.2206896551724169</v>
      </c>
      <c r="M721">
        <f>IF(OR(B721="NW",COUNT(Risk_Rank_Keys!B721)=0),0.5,(SUMPRODUCT(--ISNUMBER(Risk_Rank_Keys!$B$2:$B$800),--(Risk_Rank_Keys!$B$2:$B$800&lt;Risk_Rank_Keys!B721))+(SUMPRODUCT(--ISNUMBER(Risk_Rank_Keys!$B$2:$B$800),--(Risk_Rank_Keys!$B$2:$B$800=Risk_Rank_Keys!B721))+1)/2)/COUNT(Risk_Rank_Keys!$B$2:$B$800))</f>
        <v/>
      </c>
      <c r="N721">
        <f>IF(OR(B721="NW",COUNT(Risk_Rank_Keys!C721)=0),0.5,(SUMPRODUCT(--ISNUMBER(Risk_Rank_Keys!$C$2:$C$800),--(Risk_Rank_Keys!$C$2:$C$800&lt;Risk_Rank_Keys!C721))+(SUMPRODUCT(--ISNUMBER(Risk_Rank_Keys!$C$2:$C$800),--(Risk_Rank_Keys!$C$2:$C$800=Risk_Rank_Keys!C721))+1)/2)/COUNT(Risk_Rank_Keys!$C$2:$C$800))</f>
        <v/>
      </c>
      <c r="O721">
        <f>IF(OR(B721="NW",COUNT(Risk_Rank_Keys!D721)=0),0.5,(SUMPRODUCT(--ISNUMBER(Risk_Rank_Keys!$D$2:$D$800),--(Risk_Rank_Keys!$D$2:$D$800&lt;Risk_Rank_Keys!D721))+(SUMPRODUCT(--ISNUMBER(Risk_Rank_Keys!$D$2:$D$800),--(Risk_Rank_Keys!$D$2:$D$800=Risk_Rank_Keys!D721))+1)/2)/COUNT(Risk_Rank_Keys!$D$2:$D$800))</f>
        <v/>
      </c>
      <c r="P721">
        <f>AVERAGE(M721:O721)</f>
        <v/>
      </c>
      <c r="Q721">
        <f>0.4*H721+0.4*I721+0.2*P721</f>
        <v/>
      </c>
      <c r="R721">
        <f>PERCENTILE($Q$2:$Q$800,0.75)</f>
        <v/>
      </c>
      <c r="S721">
        <f>OR(Q721&gt;=R721,AND(B721="CW",COUNT(J721:L721)&lt;3))</f>
        <v/>
      </c>
      <c r="T721" t="n">
        <v>0.2820941271762647</v>
      </c>
      <c r="U721" t="n">
        <v>7.010932862188987</v>
      </c>
      <c r="V721" t="n">
        <v>0.3897182030769517</v>
      </c>
      <c r="W721">
        <f>Q721-V721</f>
        <v/>
      </c>
    </row>
    <row r="722">
      <c r="A722" t="inlineStr">
        <is>
          <t>2026-01-08</t>
        </is>
      </c>
      <c r="B722" t="inlineStr">
        <is>
          <t>CW</t>
        </is>
      </c>
      <c r="C722" t="n">
        <v>13.8033950160473</v>
      </c>
      <c r="D722">
        <f>SUMPRODUCT(Risk_Inputs!B722:AJ722,Risk_Coefs!$B$2:$AJ$2)</f>
        <v/>
      </c>
      <c r="E722">
        <f>1/(1+EXP(-MAX(-25,MIN(25,D722))))</f>
        <v/>
      </c>
      <c r="F722">
        <f>SUMPRODUCT(Risk_Inputs!B722:AJ722,Risk_Coefs!$B$3:$AJ$3)</f>
        <v/>
      </c>
      <c r="G722">
        <f>MAX(0,F722)</f>
        <v/>
      </c>
      <c r="H722">
        <f>(SUMPRODUCT(--ISNUMBER($E$2:$E$800),--($E$2:$E$800&lt;E722))+(SUMPRODUCT(--ISNUMBER($E$2:$E$800),--($E$2:$E$800=E722))+1)/2)/COUNT($E$2:$E$800)</f>
        <v/>
      </c>
      <c r="I722">
        <f>(SUMPRODUCT(--ISNUMBER($G$2:$G$800),--($G$2:$G$800&lt;G722))+(SUMPRODUCT(--ISNUMBER($G$2:$G$800),--($G$2:$G$800=G722))+1)/2)/COUNT($G$2:$G$800)</f>
        <v/>
      </c>
      <c r="J722" t="n">
        <v>7.955480131526029</v>
      </c>
      <c r="K722" t="n">
        <v>1.701413850946567</v>
      </c>
      <c r="L722" t="n">
        <v>0.1917086029235589</v>
      </c>
      <c r="M722">
        <f>IF(OR(B722="NW",COUNT(Risk_Rank_Keys!B722)=0),0.5,(SUMPRODUCT(--ISNUMBER(Risk_Rank_Keys!$B$2:$B$800),--(Risk_Rank_Keys!$B$2:$B$800&lt;Risk_Rank_Keys!B722))+(SUMPRODUCT(--ISNUMBER(Risk_Rank_Keys!$B$2:$B$800),--(Risk_Rank_Keys!$B$2:$B$800=Risk_Rank_Keys!B722))+1)/2)/COUNT(Risk_Rank_Keys!$B$2:$B$800))</f>
        <v/>
      </c>
      <c r="N722">
        <f>IF(OR(B722="NW",COUNT(Risk_Rank_Keys!C722)=0),0.5,(SUMPRODUCT(--ISNUMBER(Risk_Rank_Keys!$C$2:$C$800),--(Risk_Rank_Keys!$C$2:$C$800&lt;Risk_Rank_Keys!C722))+(SUMPRODUCT(--ISNUMBER(Risk_Rank_Keys!$C$2:$C$800),--(Risk_Rank_Keys!$C$2:$C$800=Risk_Rank_Keys!C722))+1)/2)/COUNT(Risk_Rank_Keys!$C$2:$C$800))</f>
        <v/>
      </c>
      <c r="O722">
        <f>IF(OR(B722="NW",COUNT(Risk_Rank_Keys!D722)=0),0.5,(SUMPRODUCT(--ISNUMBER(Risk_Rank_Keys!$D$2:$D$800),--(Risk_Rank_Keys!$D$2:$D$800&lt;Risk_Rank_Keys!D722))+(SUMPRODUCT(--ISNUMBER(Risk_Rank_Keys!$D$2:$D$800),--(Risk_Rank_Keys!$D$2:$D$800=Risk_Rank_Keys!D722))+1)/2)/COUNT(Risk_Rank_Keys!$D$2:$D$800))</f>
        <v/>
      </c>
      <c r="P722">
        <f>AVERAGE(M722:O722)</f>
        <v/>
      </c>
      <c r="Q722">
        <f>0.4*H722+0.4*I722+0.2*P722</f>
        <v/>
      </c>
      <c r="R722">
        <f>PERCENTILE($Q$2:$Q$800,0.75)</f>
        <v/>
      </c>
      <c r="S722">
        <f>OR(Q722&gt;=R722,AND(B722="CW",COUNT(J722:L722)&lt;3))</f>
        <v/>
      </c>
      <c r="T722" t="n">
        <v>0.3374494306413932</v>
      </c>
      <c r="U722" t="n">
        <v>9.96243026048143</v>
      </c>
      <c r="V722" t="n">
        <v>0.6783447929158311</v>
      </c>
      <c r="W722">
        <f>Q722-V722</f>
        <v/>
      </c>
    </row>
    <row r="723">
      <c r="A723" t="inlineStr">
        <is>
          <t>2026-01-21</t>
        </is>
      </c>
      <c r="B723" t="inlineStr">
        <is>
          <t>CW</t>
        </is>
      </c>
      <c r="C723" t="n">
        <v>26.13523514117367</v>
      </c>
      <c r="D723">
        <f>SUMPRODUCT(Risk_Inputs!B723:AJ723,Risk_Coefs!$B$2:$AJ$2)</f>
        <v/>
      </c>
      <c r="E723">
        <f>1/(1+EXP(-MAX(-25,MIN(25,D723))))</f>
        <v/>
      </c>
      <c r="F723">
        <f>SUMPRODUCT(Risk_Inputs!B723:AJ723,Risk_Coefs!$B$3:$AJ$3)</f>
        <v/>
      </c>
      <c r="G723">
        <f>MAX(0,F723)</f>
        <v/>
      </c>
      <c r="H723">
        <f>(SUMPRODUCT(--ISNUMBER($E$2:$E$800),--($E$2:$E$800&lt;E723))+(SUMPRODUCT(--ISNUMBER($E$2:$E$800),--($E$2:$E$800=E723))+1)/2)/COUNT($E$2:$E$800)</f>
        <v/>
      </c>
      <c r="I723">
        <f>(SUMPRODUCT(--ISNUMBER($G$2:$G$800),--($G$2:$G$800&lt;G723))+(SUMPRODUCT(--ISNUMBER($G$2:$G$800),--($G$2:$G$800=G723))+1)/2)/COUNT($G$2:$G$800)</f>
        <v/>
      </c>
      <c r="J723" t="n">
        <v>7.255817999569863</v>
      </c>
      <c r="K723" t="n">
        <v>1.202185792349734</v>
      </c>
      <c r="L723" t="n">
        <v>0.1405152224824409</v>
      </c>
      <c r="M723">
        <f>IF(OR(B723="NW",COUNT(Risk_Rank_Keys!B723)=0),0.5,(SUMPRODUCT(--ISNUMBER(Risk_Rank_Keys!$B$2:$B$800),--(Risk_Rank_Keys!$B$2:$B$800&lt;Risk_Rank_Keys!B723))+(SUMPRODUCT(--ISNUMBER(Risk_Rank_Keys!$B$2:$B$800),--(Risk_Rank_Keys!$B$2:$B$800=Risk_Rank_Keys!B723))+1)/2)/COUNT(Risk_Rank_Keys!$B$2:$B$800))</f>
        <v/>
      </c>
      <c r="N723">
        <f>IF(OR(B723="NW",COUNT(Risk_Rank_Keys!C723)=0),0.5,(SUMPRODUCT(--ISNUMBER(Risk_Rank_Keys!$C$2:$C$800),--(Risk_Rank_Keys!$C$2:$C$800&lt;Risk_Rank_Keys!C723))+(SUMPRODUCT(--ISNUMBER(Risk_Rank_Keys!$C$2:$C$800),--(Risk_Rank_Keys!$C$2:$C$800=Risk_Rank_Keys!C723))+1)/2)/COUNT(Risk_Rank_Keys!$C$2:$C$800))</f>
        <v/>
      </c>
      <c r="O723">
        <f>IF(OR(B723="NW",COUNT(Risk_Rank_Keys!D723)=0),0.5,(SUMPRODUCT(--ISNUMBER(Risk_Rank_Keys!$D$2:$D$800),--(Risk_Rank_Keys!$D$2:$D$800&lt;Risk_Rank_Keys!D723))+(SUMPRODUCT(--ISNUMBER(Risk_Rank_Keys!$D$2:$D$800),--(Risk_Rank_Keys!$D$2:$D$800=Risk_Rank_Keys!D723))+1)/2)/COUNT(Risk_Rank_Keys!$D$2:$D$800))</f>
        <v/>
      </c>
      <c r="P723">
        <f>AVERAGE(M723:O723)</f>
        <v/>
      </c>
      <c r="Q723">
        <f>0.4*H723+0.4*I723+0.2*P723</f>
        <v/>
      </c>
      <c r="R723">
        <f>PERCENTILE($Q$2:$Q$800,0.75)</f>
        <v/>
      </c>
      <c r="S723">
        <f>OR(Q723&gt;=R723,AND(B723="CW",COUNT(J723:L723)&lt;3))</f>
        <v/>
      </c>
      <c r="T723" t="n">
        <v>0.3175546205561932</v>
      </c>
      <c r="U723" t="n">
        <v>7.965295740151141</v>
      </c>
      <c r="V723" t="n">
        <v>0.510325959518203</v>
      </c>
      <c r="W723">
        <f>Q723-V723</f>
        <v/>
      </c>
    </row>
    <row r="724">
      <c r="A724" t="inlineStr">
        <is>
          <t>2026-01-23</t>
        </is>
      </c>
      <c r="B724" t="inlineStr">
        <is>
          <t>CW</t>
        </is>
      </c>
      <c r="C724" t="n">
        <v>31.67866670765329</v>
      </c>
      <c r="D724">
        <f>SUMPRODUCT(Risk_Inputs!B724:AJ724,Risk_Coefs!$B$2:$AJ$2)</f>
        <v/>
      </c>
      <c r="E724">
        <f>1/(1+EXP(-MAX(-25,MIN(25,D724))))</f>
        <v/>
      </c>
      <c r="F724">
        <f>SUMPRODUCT(Risk_Inputs!B724:AJ724,Risk_Coefs!$B$3:$AJ$3)</f>
        <v/>
      </c>
      <c r="G724">
        <f>MAX(0,F724)</f>
        <v/>
      </c>
      <c r="H724">
        <f>(SUMPRODUCT(--ISNUMBER($E$2:$E$800),--($E$2:$E$800&lt;E724))+(SUMPRODUCT(--ISNUMBER($E$2:$E$800),--($E$2:$E$800=E724))+1)/2)/COUNT($E$2:$E$800)</f>
        <v/>
      </c>
      <c r="I724">
        <f>(SUMPRODUCT(--ISNUMBER($G$2:$G$800),--($G$2:$G$800&lt;G724))+(SUMPRODUCT(--ISNUMBER($G$2:$G$800),--($G$2:$G$800=G724))+1)/2)/COUNT($G$2:$G$800)</f>
        <v/>
      </c>
      <c r="J724" t="n">
        <v>8.141874132949114</v>
      </c>
      <c r="K724" t="n">
        <v>1.587612700901612</v>
      </c>
      <c r="L724" t="n">
        <v>0.137201097608773</v>
      </c>
      <c r="M724">
        <f>IF(OR(B724="NW",COUNT(Risk_Rank_Keys!B724)=0),0.5,(SUMPRODUCT(--ISNUMBER(Risk_Rank_Keys!$B$2:$B$800),--(Risk_Rank_Keys!$B$2:$B$800&lt;Risk_Rank_Keys!B724))+(SUMPRODUCT(--ISNUMBER(Risk_Rank_Keys!$B$2:$B$800),--(Risk_Rank_Keys!$B$2:$B$800=Risk_Rank_Keys!B724))+1)/2)/COUNT(Risk_Rank_Keys!$B$2:$B$800))</f>
        <v/>
      </c>
      <c r="N724">
        <f>IF(OR(B724="NW",COUNT(Risk_Rank_Keys!C724)=0),0.5,(SUMPRODUCT(--ISNUMBER(Risk_Rank_Keys!$C$2:$C$800),--(Risk_Rank_Keys!$C$2:$C$800&lt;Risk_Rank_Keys!C724))+(SUMPRODUCT(--ISNUMBER(Risk_Rank_Keys!$C$2:$C$800),--(Risk_Rank_Keys!$C$2:$C$800=Risk_Rank_Keys!C724))+1)/2)/COUNT(Risk_Rank_Keys!$C$2:$C$800))</f>
        <v/>
      </c>
      <c r="O724">
        <f>IF(OR(B724="NW",COUNT(Risk_Rank_Keys!D724)=0),0.5,(SUMPRODUCT(--ISNUMBER(Risk_Rank_Keys!$D$2:$D$800),--(Risk_Rank_Keys!$D$2:$D$800&lt;Risk_Rank_Keys!D724))+(SUMPRODUCT(--ISNUMBER(Risk_Rank_Keys!$D$2:$D$800),--(Risk_Rank_Keys!$D$2:$D$800=Risk_Rank_Keys!D724))+1)/2)/COUNT(Risk_Rank_Keys!$D$2:$D$800))</f>
        <v/>
      </c>
      <c r="P724">
        <f>AVERAGE(M724:O724)</f>
        <v/>
      </c>
      <c r="Q724">
        <f>0.4*H724+0.4*I724+0.2*P724</f>
        <v/>
      </c>
      <c r="R724">
        <f>PERCENTILE($Q$2:$Q$800,0.75)</f>
        <v/>
      </c>
      <c r="S724">
        <f>OR(Q724&gt;=R724,AND(B724="CW",COUNT(J724:L724)&lt;3))</f>
        <v/>
      </c>
      <c r="T724" t="n">
        <v>0.3096654681614532</v>
      </c>
      <c r="U724" t="n">
        <v>6.027600032532106</v>
      </c>
      <c r="V724" t="n">
        <v>0.3965987237650038</v>
      </c>
      <c r="W724">
        <f>Q724-V724</f>
        <v/>
      </c>
    </row>
    <row r="725">
      <c r="A725" t="inlineStr">
        <is>
          <t>2026-01-27</t>
        </is>
      </c>
      <c r="B725" t="inlineStr">
        <is>
          <t>CW</t>
        </is>
      </c>
      <c r="C725" t="n">
        <v>-36.97017323698103</v>
      </c>
      <c r="D725">
        <f>SUMPRODUCT(Risk_Inputs!B725:AJ725,Risk_Coefs!$B$2:$AJ$2)</f>
        <v/>
      </c>
      <c r="E725">
        <f>1/(1+EXP(-MAX(-25,MIN(25,D725))))</f>
        <v/>
      </c>
      <c r="F725">
        <f>SUMPRODUCT(Risk_Inputs!B725:AJ725,Risk_Coefs!$B$3:$AJ$3)</f>
        <v/>
      </c>
      <c r="G725">
        <f>MAX(0,F725)</f>
        <v/>
      </c>
      <c r="H725">
        <f>(SUMPRODUCT(--ISNUMBER($E$2:$E$800),--($E$2:$E$800&lt;E725))+(SUMPRODUCT(--ISNUMBER($E$2:$E$800),--($E$2:$E$800=E725))+1)/2)/COUNT($E$2:$E$800)</f>
        <v/>
      </c>
      <c r="I725">
        <f>(SUMPRODUCT(--ISNUMBER($G$2:$G$800),--($G$2:$G$800&lt;G725))+(SUMPRODUCT(--ISNUMBER($G$2:$G$800),--($G$2:$G$800=G725))+1)/2)/COUNT($G$2:$G$800)</f>
        <v/>
      </c>
      <c r="J725" t="n">
        <v>35.27954164437549</v>
      </c>
      <c r="K725" t="n">
        <v>15.79092159559834</v>
      </c>
      <c r="L725" t="n">
        <v>0.1100412654745467</v>
      </c>
      <c r="M725">
        <f>IF(OR(B725="NW",COUNT(Risk_Rank_Keys!B725)=0),0.5,(SUMPRODUCT(--ISNUMBER(Risk_Rank_Keys!$B$2:$B$800),--(Risk_Rank_Keys!$B$2:$B$800&lt;Risk_Rank_Keys!B725))+(SUMPRODUCT(--ISNUMBER(Risk_Rank_Keys!$B$2:$B$800),--(Risk_Rank_Keys!$B$2:$B$800=Risk_Rank_Keys!B725))+1)/2)/COUNT(Risk_Rank_Keys!$B$2:$B$800))</f>
        <v/>
      </c>
      <c r="N725">
        <f>IF(OR(B725="NW",COUNT(Risk_Rank_Keys!C725)=0),0.5,(SUMPRODUCT(--ISNUMBER(Risk_Rank_Keys!$C$2:$C$800),--(Risk_Rank_Keys!$C$2:$C$800&lt;Risk_Rank_Keys!C725))+(SUMPRODUCT(--ISNUMBER(Risk_Rank_Keys!$C$2:$C$800),--(Risk_Rank_Keys!$C$2:$C$800=Risk_Rank_Keys!C725))+1)/2)/COUNT(Risk_Rank_Keys!$C$2:$C$800))</f>
        <v/>
      </c>
      <c r="O725">
        <f>IF(OR(B725="NW",COUNT(Risk_Rank_Keys!D725)=0),0.5,(SUMPRODUCT(--ISNUMBER(Risk_Rank_Keys!$D$2:$D$800),--(Risk_Rank_Keys!$D$2:$D$800&lt;Risk_Rank_Keys!D725))+(SUMPRODUCT(--ISNUMBER(Risk_Rank_Keys!$D$2:$D$800),--(Risk_Rank_Keys!$D$2:$D$800=Risk_Rank_Keys!D725))+1)/2)/COUNT(Risk_Rank_Keys!$D$2:$D$800))</f>
        <v/>
      </c>
      <c r="P725">
        <f>AVERAGE(M725:O725)</f>
        <v/>
      </c>
      <c r="Q725">
        <f>0.4*H725+0.4*I725+0.2*P725</f>
        <v/>
      </c>
      <c r="R725">
        <f>PERCENTILE($Q$2:$Q$800,0.75)</f>
        <v/>
      </c>
      <c r="S725">
        <f>OR(Q725&gt;=R725,AND(B725="CW",COUNT(J725:L725)&lt;3))</f>
        <v/>
      </c>
      <c r="T725" t="n">
        <v>0.2363880007227904</v>
      </c>
      <c r="U725" t="n">
        <v>8.529509233268813</v>
      </c>
      <c r="V725" t="n">
        <v>0.4539550542315505</v>
      </c>
      <c r="W725">
        <f>Q725-V725</f>
        <v/>
      </c>
    </row>
    <row r="726">
      <c r="A726" t="inlineStr">
        <is>
          <t>2026-01-28</t>
        </is>
      </c>
      <c r="B726" t="inlineStr">
        <is>
          <t>CW</t>
        </is>
      </c>
      <c r="C726" t="n">
        <v>35.14219732444345</v>
      </c>
      <c r="D726">
        <f>SUMPRODUCT(Risk_Inputs!B726:AJ726,Risk_Coefs!$B$2:$AJ$2)</f>
        <v/>
      </c>
      <c r="E726">
        <f>1/(1+EXP(-MAX(-25,MIN(25,D726))))</f>
        <v/>
      </c>
      <c r="F726">
        <f>SUMPRODUCT(Risk_Inputs!B726:AJ726,Risk_Coefs!$B$3:$AJ$3)</f>
        <v/>
      </c>
      <c r="G726">
        <f>MAX(0,F726)</f>
        <v/>
      </c>
      <c r="H726">
        <f>(SUMPRODUCT(--ISNUMBER($E$2:$E$800),--($E$2:$E$800&lt;E726))+(SUMPRODUCT(--ISNUMBER($E$2:$E$800),--($E$2:$E$800=E726))+1)/2)/COUNT($E$2:$E$800)</f>
        <v/>
      </c>
      <c r="I726">
        <f>(SUMPRODUCT(--ISNUMBER($G$2:$G$800),--($G$2:$G$800&lt;G726))+(SUMPRODUCT(--ISNUMBER($G$2:$G$800),--($G$2:$G$800=G726))+1)/2)/COUNT($G$2:$G$800)</f>
        <v/>
      </c>
      <c r="J726" t="n">
        <v>9.147164871731553</v>
      </c>
      <c r="K726" t="n">
        <v>2.731677146685909</v>
      </c>
      <c r="L726" t="n">
        <v>0.123698587774455</v>
      </c>
      <c r="M726">
        <f>IF(OR(B726="NW",COUNT(Risk_Rank_Keys!B726)=0),0.5,(SUMPRODUCT(--ISNUMBER(Risk_Rank_Keys!$B$2:$B$800),--(Risk_Rank_Keys!$B$2:$B$800&lt;Risk_Rank_Keys!B726))+(SUMPRODUCT(--ISNUMBER(Risk_Rank_Keys!$B$2:$B$800),--(Risk_Rank_Keys!$B$2:$B$800=Risk_Rank_Keys!B726))+1)/2)/COUNT(Risk_Rank_Keys!$B$2:$B$800))</f>
        <v/>
      </c>
      <c r="N726">
        <f>IF(OR(B726="NW",COUNT(Risk_Rank_Keys!C726)=0),0.5,(SUMPRODUCT(--ISNUMBER(Risk_Rank_Keys!$C$2:$C$800),--(Risk_Rank_Keys!$C$2:$C$800&lt;Risk_Rank_Keys!C726))+(SUMPRODUCT(--ISNUMBER(Risk_Rank_Keys!$C$2:$C$800),--(Risk_Rank_Keys!$C$2:$C$800=Risk_Rank_Keys!C726))+1)/2)/COUNT(Risk_Rank_Keys!$C$2:$C$800))</f>
        <v/>
      </c>
      <c r="O726">
        <f>IF(OR(B726="NW",COUNT(Risk_Rank_Keys!D726)=0),0.5,(SUMPRODUCT(--ISNUMBER(Risk_Rank_Keys!$D$2:$D$800),--(Risk_Rank_Keys!$D$2:$D$800&lt;Risk_Rank_Keys!D726))+(SUMPRODUCT(--ISNUMBER(Risk_Rank_Keys!$D$2:$D$800),--(Risk_Rank_Keys!$D$2:$D$800=Risk_Rank_Keys!D726))+1)/2)/COUNT(Risk_Rank_Keys!$D$2:$D$800))</f>
        <v/>
      </c>
      <c r="P726">
        <f>AVERAGE(M726:O726)</f>
        <v/>
      </c>
      <c r="Q726">
        <f>0.4*H726+0.4*I726+0.2*P726</f>
        <v/>
      </c>
      <c r="R726">
        <f>PERCENTILE($Q$2:$Q$800,0.75)</f>
        <v/>
      </c>
      <c r="S726">
        <f>OR(Q726&gt;=R726,AND(B726="CW",COUNT(J726:L726)&lt;3))</f>
        <v/>
      </c>
      <c r="T726" t="n">
        <v>0.3058351259630006</v>
      </c>
      <c r="U726" t="n">
        <v>10.1581549123048</v>
      </c>
      <c r="V726" t="n">
        <v>0.6239057538799371</v>
      </c>
      <c r="W726">
        <f>Q726-V726</f>
        <v/>
      </c>
    </row>
    <row r="727">
      <c r="A727" t="inlineStr">
        <is>
          <t>2026-01-29</t>
        </is>
      </c>
      <c r="B727" t="inlineStr">
        <is>
          <t>CW</t>
        </is>
      </c>
      <c r="C727" t="n">
        <v>13.89045135237859</v>
      </c>
      <c r="D727">
        <f>SUMPRODUCT(Risk_Inputs!B727:AJ727,Risk_Coefs!$B$2:$AJ$2)</f>
        <v/>
      </c>
      <c r="E727">
        <f>1/(1+EXP(-MAX(-25,MIN(25,D727))))</f>
        <v/>
      </c>
      <c r="F727">
        <f>SUMPRODUCT(Risk_Inputs!B727:AJ727,Risk_Coefs!$B$3:$AJ$3)</f>
        <v/>
      </c>
      <c r="G727">
        <f>MAX(0,F727)</f>
        <v/>
      </c>
      <c r="H727">
        <f>(SUMPRODUCT(--ISNUMBER($E$2:$E$800),--($E$2:$E$800&lt;E727))+(SUMPRODUCT(--ISNUMBER($E$2:$E$800),--($E$2:$E$800=E727))+1)/2)/COUNT($E$2:$E$800)</f>
        <v/>
      </c>
      <c r="I727">
        <f>(SUMPRODUCT(--ISNUMBER($G$2:$G$800),--($G$2:$G$800&lt;G727))+(SUMPRODUCT(--ISNUMBER($G$2:$G$800),--($G$2:$G$800=G727))+1)/2)/COUNT($G$2:$G$800)</f>
        <v/>
      </c>
      <c r="J727" t="n">
        <v>9.346015988998754</v>
      </c>
      <c r="K727" t="n">
        <v>1.051859099804322</v>
      </c>
      <c r="L727" t="n">
        <v>0.07338551859099381</v>
      </c>
      <c r="M727">
        <f>IF(OR(B727="NW",COUNT(Risk_Rank_Keys!B727)=0),0.5,(SUMPRODUCT(--ISNUMBER(Risk_Rank_Keys!$B$2:$B$800),--(Risk_Rank_Keys!$B$2:$B$800&lt;Risk_Rank_Keys!B727))+(SUMPRODUCT(--ISNUMBER(Risk_Rank_Keys!$B$2:$B$800),--(Risk_Rank_Keys!$B$2:$B$800=Risk_Rank_Keys!B727))+1)/2)/COUNT(Risk_Rank_Keys!$B$2:$B$800))</f>
        <v/>
      </c>
      <c r="N727">
        <f>IF(OR(B727="NW",COUNT(Risk_Rank_Keys!C727)=0),0.5,(SUMPRODUCT(--ISNUMBER(Risk_Rank_Keys!$C$2:$C$800),--(Risk_Rank_Keys!$C$2:$C$800&lt;Risk_Rank_Keys!C727))+(SUMPRODUCT(--ISNUMBER(Risk_Rank_Keys!$C$2:$C$800),--(Risk_Rank_Keys!$C$2:$C$800=Risk_Rank_Keys!C727))+1)/2)/COUNT(Risk_Rank_Keys!$C$2:$C$800))</f>
        <v/>
      </c>
      <c r="O727">
        <f>IF(OR(B727="NW",COUNT(Risk_Rank_Keys!D727)=0),0.5,(SUMPRODUCT(--ISNUMBER(Risk_Rank_Keys!$D$2:$D$800),--(Risk_Rank_Keys!$D$2:$D$800&lt;Risk_Rank_Keys!D727))+(SUMPRODUCT(--ISNUMBER(Risk_Rank_Keys!$D$2:$D$800),--(Risk_Rank_Keys!$D$2:$D$800=Risk_Rank_Keys!D727))+1)/2)/COUNT(Risk_Rank_Keys!$D$2:$D$800))</f>
        <v/>
      </c>
      <c r="P727">
        <f>AVERAGE(M727:O727)</f>
        <v/>
      </c>
      <c r="Q727">
        <f>0.4*H727+0.4*I727+0.2*P727</f>
        <v/>
      </c>
      <c r="R727">
        <f>PERCENTILE($Q$2:$Q$800,0.75)</f>
        <v/>
      </c>
      <c r="S727">
        <f>OR(Q727&gt;=R727,AND(B727="CW",COUNT(J727:L727)&lt;3))</f>
        <v/>
      </c>
      <c r="T727" t="n">
        <v>0.3712862989342792</v>
      </c>
      <c r="U727" t="n">
        <v>11.54883748889485</v>
      </c>
      <c r="V727" t="n">
        <v>0.7472721887948034</v>
      </c>
      <c r="W727">
        <f>Q727-V727</f>
        <v/>
      </c>
    </row>
    <row r="728">
      <c r="A728" t="inlineStr">
        <is>
          <t>2026-01-30</t>
        </is>
      </c>
      <c r="B728" t="inlineStr">
        <is>
          <t>CW</t>
        </is>
      </c>
      <c r="C728" t="n">
        <v>2.787091788842136</v>
      </c>
      <c r="D728">
        <f>SUMPRODUCT(Risk_Inputs!B728:AJ728,Risk_Coefs!$B$2:$AJ$2)</f>
        <v/>
      </c>
      <c r="E728">
        <f>1/(1+EXP(-MAX(-25,MIN(25,D728))))</f>
        <v/>
      </c>
      <c r="F728">
        <f>SUMPRODUCT(Risk_Inputs!B728:AJ728,Risk_Coefs!$B$3:$AJ$3)</f>
        <v/>
      </c>
      <c r="G728">
        <f>MAX(0,F728)</f>
        <v/>
      </c>
      <c r="H728">
        <f>(SUMPRODUCT(--ISNUMBER($E$2:$E$800),--($E$2:$E$800&lt;E728))+(SUMPRODUCT(--ISNUMBER($E$2:$E$800),--($E$2:$E$800=E728))+1)/2)/COUNT($E$2:$E$800)</f>
        <v/>
      </c>
      <c r="I728">
        <f>(SUMPRODUCT(--ISNUMBER($G$2:$G$800),--($G$2:$G$800&lt;G728))+(SUMPRODUCT(--ISNUMBER($G$2:$G$800),--($G$2:$G$800=G728))+1)/2)/COUNT($G$2:$G$800)</f>
        <v/>
      </c>
      <c r="J728" t="n">
        <v>16.94318792901597</v>
      </c>
      <c r="K728" t="n">
        <v>4.027529951567696</v>
      </c>
      <c r="L728" t="n">
        <v>0.2039255671679793</v>
      </c>
      <c r="M728">
        <f>IF(OR(B728="NW",COUNT(Risk_Rank_Keys!B728)=0),0.5,(SUMPRODUCT(--ISNUMBER(Risk_Rank_Keys!$B$2:$B$800),--(Risk_Rank_Keys!$B$2:$B$800&lt;Risk_Rank_Keys!B728))+(SUMPRODUCT(--ISNUMBER(Risk_Rank_Keys!$B$2:$B$800),--(Risk_Rank_Keys!$B$2:$B$800=Risk_Rank_Keys!B728))+1)/2)/COUNT(Risk_Rank_Keys!$B$2:$B$800))</f>
        <v/>
      </c>
      <c r="N728">
        <f>IF(OR(B728="NW",COUNT(Risk_Rank_Keys!C728)=0),0.5,(SUMPRODUCT(--ISNUMBER(Risk_Rank_Keys!$C$2:$C$800),--(Risk_Rank_Keys!$C$2:$C$800&lt;Risk_Rank_Keys!C728))+(SUMPRODUCT(--ISNUMBER(Risk_Rank_Keys!$C$2:$C$800),--(Risk_Rank_Keys!$C$2:$C$800=Risk_Rank_Keys!C728))+1)/2)/COUNT(Risk_Rank_Keys!$C$2:$C$800))</f>
        <v/>
      </c>
      <c r="O728">
        <f>IF(OR(B728="NW",COUNT(Risk_Rank_Keys!D728)=0),0.5,(SUMPRODUCT(--ISNUMBER(Risk_Rank_Keys!$D$2:$D$800),--(Risk_Rank_Keys!$D$2:$D$800&lt;Risk_Rank_Keys!D728))+(SUMPRODUCT(--ISNUMBER(Risk_Rank_Keys!$D$2:$D$800),--(Risk_Rank_Keys!$D$2:$D$800=Risk_Rank_Keys!D728))+1)/2)/COUNT(Risk_Rank_Keys!$D$2:$D$800))</f>
        <v/>
      </c>
      <c r="P728">
        <f>AVERAGE(M728:O728)</f>
        <v/>
      </c>
      <c r="Q728">
        <f>0.4*H728+0.4*I728+0.2*P728</f>
        <v/>
      </c>
      <c r="R728">
        <f>PERCENTILE($Q$2:$Q$800,0.75)</f>
        <v/>
      </c>
      <c r="S728">
        <f>OR(Q728&gt;=R728,AND(B728="CW",COUNT(J728:L728)&lt;3))</f>
        <v/>
      </c>
      <c r="T728" t="n">
        <v>0.3013351630387004</v>
      </c>
      <c r="U728" t="n">
        <v>8.956166253977743</v>
      </c>
      <c r="V728" t="n">
        <v>0.6130386134690679</v>
      </c>
      <c r="W728">
        <f>Q728-V728</f>
        <v/>
      </c>
    </row>
    <row r="729">
      <c r="A729" t="inlineStr">
        <is>
          <t>2026-02-01</t>
        </is>
      </c>
      <c r="B729" t="inlineStr">
        <is>
          <t>CW</t>
        </is>
      </c>
      <c r="C729" t="n">
        <v>-13.38268451760931</v>
      </c>
      <c r="D729">
        <f>SUMPRODUCT(Risk_Inputs!B729:AJ729,Risk_Coefs!$B$2:$AJ$2)</f>
        <v/>
      </c>
      <c r="E729">
        <f>1/(1+EXP(-MAX(-25,MIN(25,D729))))</f>
        <v/>
      </c>
      <c r="F729">
        <f>SUMPRODUCT(Risk_Inputs!B729:AJ729,Risk_Coefs!$B$3:$AJ$3)</f>
        <v/>
      </c>
      <c r="G729">
        <f>MAX(0,F729)</f>
        <v/>
      </c>
      <c r="H729">
        <f>(SUMPRODUCT(--ISNUMBER($E$2:$E$800),--($E$2:$E$800&lt;E729))+(SUMPRODUCT(--ISNUMBER($E$2:$E$800),--($E$2:$E$800=E729))+1)/2)/COUNT($E$2:$E$800)</f>
        <v/>
      </c>
      <c r="I729">
        <f>(SUMPRODUCT(--ISNUMBER($G$2:$G$800),--($G$2:$G$800&lt;G729))+(SUMPRODUCT(--ISNUMBER($G$2:$G$800),--($G$2:$G$800=G729))+1)/2)/COUNT($G$2:$G$800)</f>
        <v/>
      </c>
      <c r="J729" t="n">
        <v>7.683601535138982</v>
      </c>
      <c r="K729" t="n">
        <v>0.729467991447611</v>
      </c>
      <c r="L729" t="n">
        <v>0.1509244120236434</v>
      </c>
      <c r="M729">
        <f>IF(OR(B729="NW",COUNT(Risk_Rank_Keys!B729)=0),0.5,(SUMPRODUCT(--ISNUMBER(Risk_Rank_Keys!$B$2:$B$800),--(Risk_Rank_Keys!$B$2:$B$800&lt;Risk_Rank_Keys!B729))+(SUMPRODUCT(--ISNUMBER(Risk_Rank_Keys!$B$2:$B$800),--(Risk_Rank_Keys!$B$2:$B$800=Risk_Rank_Keys!B729))+1)/2)/COUNT(Risk_Rank_Keys!$B$2:$B$800))</f>
        <v/>
      </c>
      <c r="N729">
        <f>IF(OR(B729="NW",COUNT(Risk_Rank_Keys!C729)=0),0.5,(SUMPRODUCT(--ISNUMBER(Risk_Rank_Keys!$C$2:$C$800),--(Risk_Rank_Keys!$C$2:$C$800&lt;Risk_Rank_Keys!C729))+(SUMPRODUCT(--ISNUMBER(Risk_Rank_Keys!$C$2:$C$800),--(Risk_Rank_Keys!$C$2:$C$800=Risk_Rank_Keys!C729))+1)/2)/COUNT(Risk_Rank_Keys!$C$2:$C$800))</f>
        <v/>
      </c>
      <c r="O729">
        <f>IF(OR(B729="NW",COUNT(Risk_Rank_Keys!D729)=0),0.5,(SUMPRODUCT(--ISNUMBER(Risk_Rank_Keys!$D$2:$D$800),--(Risk_Rank_Keys!$D$2:$D$800&lt;Risk_Rank_Keys!D729))+(SUMPRODUCT(--ISNUMBER(Risk_Rank_Keys!$D$2:$D$800),--(Risk_Rank_Keys!$D$2:$D$800=Risk_Rank_Keys!D729))+1)/2)/COUNT(Risk_Rank_Keys!$D$2:$D$800))</f>
        <v/>
      </c>
      <c r="P729">
        <f>AVERAGE(M729:O729)</f>
        <v/>
      </c>
      <c r="Q729">
        <f>0.4*H729+0.4*I729+0.2*P729</f>
        <v/>
      </c>
      <c r="R729">
        <f>PERCENTILE($Q$2:$Q$800,0.75)</f>
        <v/>
      </c>
      <c r="S729">
        <f>OR(Q729&gt;=R729,AND(B729="CW",COUNT(J729:L729)&lt;3))</f>
        <v/>
      </c>
      <c r="T729" t="n">
        <v>0.537064335208131</v>
      </c>
      <c r="U729" t="n">
        <v>14.40452256996464</v>
      </c>
      <c r="V729" t="n">
        <v>0.823567464909938</v>
      </c>
      <c r="W729">
        <f>Q729-V729</f>
        <v/>
      </c>
    </row>
    <row r="730">
      <c r="A730" t="inlineStr">
        <is>
          <t>2026-02-02</t>
        </is>
      </c>
      <c r="B730" t="inlineStr">
        <is>
          <t>CW</t>
        </is>
      </c>
      <c r="C730" t="n">
        <v>68.69274371212875</v>
      </c>
      <c r="D730">
        <f>SUMPRODUCT(Risk_Inputs!B730:AJ730,Risk_Coefs!$B$2:$AJ$2)</f>
        <v/>
      </c>
      <c r="E730">
        <f>1/(1+EXP(-MAX(-25,MIN(25,D730))))</f>
        <v/>
      </c>
      <c r="F730">
        <f>SUMPRODUCT(Risk_Inputs!B730:AJ730,Risk_Coefs!$B$3:$AJ$3)</f>
        <v/>
      </c>
      <c r="G730">
        <f>MAX(0,F730)</f>
        <v/>
      </c>
      <c r="H730">
        <f>(SUMPRODUCT(--ISNUMBER($E$2:$E$800),--($E$2:$E$800&lt;E730))+(SUMPRODUCT(--ISNUMBER($E$2:$E$800),--($E$2:$E$800=E730))+1)/2)/COUNT($E$2:$E$800)</f>
        <v/>
      </c>
      <c r="I730">
        <f>(SUMPRODUCT(--ISNUMBER($G$2:$G$800),--($G$2:$G$800&lt;G730))+(SUMPRODUCT(--ISNUMBER($G$2:$G$800),--($G$2:$G$800=G730))+1)/2)/COUNT($G$2:$G$800)</f>
        <v/>
      </c>
      <c r="J730" t="n">
        <v>22.92534706428224</v>
      </c>
      <c r="K730" t="n">
        <v>9.047619047619076</v>
      </c>
      <c r="L730" t="n">
        <v>0.1636904761904711</v>
      </c>
      <c r="M730">
        <f>IF(OR(B730="NW",COUNT(Risk_Rank_Keys!B730)=0),0.5,(SUMPRODUCT(--ISNUMBER(Risk_Rank_Keys!$B$2:$B$800),--(Risk_Rank_Keys!$B$2:$B$800&lt;Risk_Rank_Keys!B730))+(SUMPRODUCT(--ISNUMBER(Risk_Rank_Keys!$B$2:$B$800),--(Risk_Rank_Keys!$B$2:$B$800=Risk_Rank_Keys!B730))+1)/2)/COUNT(Risk_Rank_Keys!$B$2:$B$800))</f>
        <v/>
      </c>
      <c r="N730">
        <f>IF(OR(B730="NW",COUNT(Risk_Rank_Keys!C730)=0),0.5,(SUMPRODUCT(--ISNUMBER(Risk_Rank_Keys!$C$2:$C$800),--(Risk_Rank_Keys!$C$2:$C$800&lt;Risk_Rank_Keys!C730))+(SUMPRODUCT(--ISNUMBER(Risk_Rank_Keys!$C$2:$C$800),--(Risk_Rank_Keys!$C$2:$C$800=Risk_Rank_Keys!C730))+1)/2)/COUNT(Risk_Rank_Keys!$C$2:$C$800))</f>
        <v/>
      </c>
      <c r="O730">
        <f>IF(OR(B730="NW",COUNT(Risk_Rank_Keys!D730)=0),0.5,(SUMPRODUCT(--ISNUMBER(Risk_Rank_Keys!$D$2:$D$800),--(Risk_Rank_Keys!$D$2:$D$800&lt;Risk_Rank_Keys!D730))+(SUMPRODUCT(--ISNUMBER(Risk_Rank_Keys!$D$2:$D$800),--(Risk_Rank_Keys!$D$2:$D$800=Risk_Rank_Keys!D730))+1)/2)/COUNT(Risk_Rank_Keys!$D$2:$D$800))</f>
        <v/>
      </c>
      <c r="P730">
        <f>AVERAGE(M730:O730)</f>
        <v/>
      </c>
      <c r="Q730">
        <f>0.4*H730+0.4*I730+0.2*P730</f>
        <v/>
      </c>
      <c r="R730">
        <f>PERCENTILE($Q$2:$Q$800,0.75)</f>
        <v/>
      </c>
      <c r="S730">
        <f>OR(Q730&gt;=R730,AND(B730="CW",COUNT(J730:L730)&lt;3))</f>
        <v/>
      </c>
      <c r="T730" t="n">
        <v>0.3241226089909849</v>
      </c>
      <c r="U730" t="n">
        <v>9.746102538815851</v>
      </c>
      <c r="V730" t="n">
        <v>0.7054047685129425</v>
      </c>
      <c r="W730">
        <f>Q730-V730</f>
        <v/>
      </c>
    </row>
    <row r="731">
      <c r="A731" t="inlineStr">
        <is>
          <t>2026-02-03</t>
        </is>
      </c>
      <c r="B731" t="inlineStr">
        <is>
          <t>CW</t>
        </is>
      </c>
      <c r="C731" t="n">
        <v>103.6979996720015</v>
      </c>
      <c r="D731">
        <f>SUMPRODUCT(Risk_Inputs!B731:AJ731,Risk_Coefs!$B$2:$AJ$2)</f>
        <v/>
      </c>
      <c r="E731">
        <f>1/(1+EXP(-MAX(-25,MIN(25,D731))))</f>
        <v/>
      </c>
      <c r="F731">
        <f>SUMPRODUCT(Risk_Inputs!B731:AJ731,Risk_Coefs!$B$3:$AJ$3)</f>
        <v/>
      </c>
      <c r="G731">
        <f>MAX(0,F731)</f>
        <v/>
      </c>
      <c r="H731">
        <f>(SUMPRODUCT(--ISNUMBER($E$2:$E$800),--($E$2:$E$800&lt;E731))+(SUMPRODUCT(--ISNUMBER($E$2:$E$800),--($E$2:$E$800=E731))+1)/2)/COUNT($E$2:$E$800)</f>
        <v/>
      </c>
      <c r="I731">
        <f>(SUMPRODUCT(--ISNUMBER($G$2:$G$800),--($G$2:$G$800&lt;G731))+(SUMPRODUCT(--ISNUMBER($G$2:$G$800),--($G$2:$G$800=G731))+1)/2)/COUNT($G$2:$G$800)</f>
        <v/>
      </c>
      <c r="J731" t="n">
        <v>55.04686947637379</v>
      </c>
      <c r="K731" t="n">
        <v>47.38562091503268</v>
      </c>
      <c r="L731" t="n">
        <v>0.0980392156862782</v>
      </c>
      <c r="M731">
        <f>IF(OR(B731="NW",COUNT(Risk_Rank_Keys!B731)=0),0.5,(SUMPRODUCT(--ISNUMBER(Risk_Rank_Keys!$B$2:$B$800),--(Risk_Rank_Keys!$B$2:$B$800&lt;Risk_Rank_Keys!B731))+(SUMPRODUCT(--ISNUMBER(Risk_Rank_Keys!$B$2:$B$800),--(Risk_Rank_Keys!$B$2:$B$800=Risk_Rank_Keys!B731))+1)/2)/COUNT(Risk_Rank_Keys!$B$2:$B$800))</f>
        <v/>
      </c>
      <c r="N731">
        <f>IF(OR(B731="NW",COUNT(Risk_Rank_Keys!C731)=0),0.5,(SUMPRODUCT(--ISNUMBER(Risk_Rank_Keys!$C$2:$C$800),--(Risk_Rank_Keys!$C$2:$C$800&lt;Risk_Rank_Keys!C731))+(SUMPRODUCT(--ISNUMBER(Risk_Rank_Keys!$C$2:$C$800),--(Risk_Rank_Keys!$C$2:$C$800=Risk_Rank_Keys!C731))+1)/2)/COUNT(Risk_Rank_Keys!$C$2:$C$800))</f>
        <v/>
      </c>
      <c r="O731">
        <f>IF(OR(B731="NW",COUNT(Risk_Rank_Keys!D731)=0),0.5,(SUMPRODUCT(--ISNUMBER(Risk_Rank_Keys!$D$2:$D$800),--(Risk_Rank_Keys!$D$2:$D$800&lt;Risk_Rank_Keys!D731))+(SUMPRODUCT(--ISNUMBER(Risk_Rank_Keys!$D$2:$D$800),--(Risk_Rank_Keys!$D$2:$D$800=Risk_Rank_Keys!D731))+1)/2)/COUNT(Risk_Rank_Keys!$D$2:$D$800))</f>
        <v/>
      </c>
      <c r="P731">
        <f>AVERAGE(M731:O731)</f>
        <v/>
      </c>
      <c r="Q731">
        <f>0.4*H731+0.4*I731+0.2*P731</f>
        <v/>
      </c>
      <c r="R731">
        <f>PERCENTILE($Q$2:$Q$800,0.75)</f>
        <v/>
      </c>
      <c r="S731">
        <f>OR(Q731&gt;=R731,AND(B731="CW",COUNT(J731:L731)&lt;3))</f>
        <v/>
      </c>
      <c r="T731" t="n">
        <v>0.2203484715257512</v>
      </c>
      <c r="U731" t="n">
        <v>12.37808887497032</v>
      </c>
      <c r="V731" t="n">
        <v>0.5653733833959116</v>
      </c>
      <c r="W731">
        <f>Q731-V731</f>
        <v/>
      </c>
    </row>
    <row r="732">
      <c r="A732" t="inlineStr">
        <is>
          <t>2026-02-06</t>
        </is>
      </c>
      <c r="B732" t="inlineStr">
        <is>
          <t>CW</t>
        </is>
      </c>
      <c r="C732" t="n">
        <v>31.69539382383196</v>
      </c>
      <c r="D732">
        <f>SUMPRODUCT(Risk_Inputs!B732:AJ732,Risk_Coefs!$B$2:$AJ$2)</f>
        <v/>
      </c>
      <c r="E732">
        <f>1/(1+EXP(-MAX(-25,MIN(25,D732))))</f>
        <v/>
      </c>
      <c r="F732">
        <f>SUMPRODUCT(Risk_Inputs!B732:AJ732,Risk_Coefs!$B$3:$AJ$3)</f>
        <v/>
      </c>
      <c r="G732">
        <f>MAX(0,F732)</f>
        <v/>
      </c>
      <c r="H732">
        <f>(SUMPRODUCT(--ISNUMBER($E$2:$E$800),--($E$2:$E$800&lt;E732))+(SUMPRODUCT(--ISNUMBER($E$2:$E$800),--($E$2:$E$800=E732))+1)/2)/COUNT($E$2:$E$800)</f>
        <v/>
      </c>
      <c r="I732">
        <f>(SUMPRODUCT(--ISNUMBER($G$2:$G$800),--($G$2:$G$800&lt;G732))+(SUMPRODUCT(--ISNUMBER($G$2:$G$800),--($G$2:$G$800=G732))+1)/2)/COUNT($G$2:$G$800)</f>
        <v/>
      </c>
      <c r="J732" t="n">
        <v>7.463969737705374</v>
      </c>
      <c r="K732" t="n">
        <v>2.273176517098241</v>
      </c>
      <c r="L732" t="n">
        <v>0.197667523225934</v>
      </c>
      <c r="M732">
        <f>IF(OR(B732="NW",COUNT(Risk_Rank_Keys!B732)=0),0.5,(SUMPRODUCT(--ISNUMBER(Risk_Rank_Keys!$B$2:$B$800),--(Risk_Rank_Keys!$B$2:$B$800&lt;Risk_Rank_Keys!B732))+(SUMPRODUCT(--ISNUMBER(Risk_Rank_Keys!$B$2:$B$800),--(Risk_Rank_Keys!$B$2:$B$800=Risk_Rank_Keys!B732))+1)/2)/COUNT(Risk_Rank_Keys!$B$2:$B$800))</f>
        <v/>
      </c>
      <c r="N732">
        <f>IF(OR(B732="NW",COUNT(Risk_Rank_Keys!C732)=0),0.5,(SUMPRODUCT(--ISNUMBER(Risk_Rank_Keys!$C$2:$C$800),--(Risk_Rank_Keys!$C$2:$C$800&lt;Risk_Rank_Keys!C732))+(SUMPRODUCT(--ISNUMBER(Risk_Rank_Keys!$C$2:$C$800),--(Risk_Rank_Keys!$C$2:$C$800=Risk_Rank_Keys!C732))+1)/2)/COUNT(Risk_Rank_Keys!$C$2:$C$800))</f>
        <v/>
      </c>
      <c r="O732">
        <f>IF(OR(B732="NW",COUNT(Risk_Rank_Keys!D732)=0),0.5,(SUMPRODUCT(--ISNUMBER(Risk_Rank_Keys!$D$2:$D$800),--(Risk_Rank_Keys!$D$2:$D$800&lt;Risk_Rank_Keys!D732))+(SUMPRODUCT(--ISNUMBER(Risk_Rank_Keys!$D$2:$D$800),--(Risk_Rank_Keys!$D$2:$D$800=Risk_Rank_Keys!D732))+1)/2)/COUNT(Risk_Rank_Keys!$D$2:$D$800))</f>
        <v/>
      </c>
      <c r="P732">
        <f>AVERAGE(M732:O732)</f>
        <v/>
      </c>
      <c r="Q732">
        <f>0.4*H732+0.4*I732+0.2*P732</f>
        <v/>
      </c>
      <c r="R732">
        <f>PERCENTILE($Q$2:$Q$800,0.75)</f>
        <v/>
      </c>
      <c r="S732">
        <f>OR(Q732&gt;=R732,AND(B732="CW",COUNT(J732:L732)&lt;3))</f>
        <v/>
      </c>
      <c r="T732" t="n">
        <v>0.290108944643239</v>
      </c>
      <c r="U732" t="n">
        <v>6.60613600642507</v>
      </c>
      <c r="V732" t="n">
        <v>0.4201799203909583</v>
      </c>
      <c r="W732">
        <f>Q732-V732</f>
        <v/>
      </c>
    </row>
    <row r="733">
      <c r="A733" t="inlineStr">
        <is>
          <t>2026-02-12</t>
        </is>
      </c>
      <c r="B733" t="inlineStr">
        <is>
          <t>CW</t>
        </is>
      </c>
      <c r="C733" t="n">
        <v>7.671950995651815</v>
      </c>
      <c r="D733">
        <f>SUMPRODUCT(Risk_Inputs!B733:AJ733,Risk_Coefs!$B$2:$AJ$2)</f>
        <v/>
      </c>
      <c r="E733">
        <f>1/(1+EXP(-MAX(-25,MIN(25,D733))))</f>
        <v/>
      </c>
      <c r="F733">
        <f>SUMPRODUCT(Risk_Inputs!B733:AJ733,Risk_Coefs!$B$3:$AJ$3)</f>
        <v/>
      </c>
      <c r="G733">
        <f>MAX(0,F733)</f>
        <v/>
      </c>
      <c r="H733">
        <f>(SUMPRODUCT(--ISNUMBER($E$2:$E$800),--($E$2:$E$800&lt;E733))+(SUMPRODUCT(--ISNUMBER($E$2:$E$800),--($E$2:$E$800=E733))+1)/2)/COUNT($E$2:$E$800)</f>
        <v/>
      </c>
      <c r="I733">
        <f>(SUMPRODUCT(--ISNUMBER($G$2:$G$800),--($G$2:$G$800&lt;G733))+(SUMPRODUCT(--ISNUMBER($G$2:$G$800),--($G$2:$G$800=G733))+1)/2)/COUNT($G$2:$G$800)</f>
        <v/>
      </c>
      <c r="J733" t="n">
        <v>3.784726312150815</v>
      </c>
      <c r="K733" t="n">
        <v>1.273885350318461</v>
      </c>
      <c r="L733" t="n">
        <v>0.1976718647045916</v>
      </c>
      <c r="M733">
        <f>IF(OR(B733="NW",COUNT(Risk_Rank_Keys!B733)=0),0.5,(SUMPRODUCT(--ISNUMBER(Risk_Rank_Keys!$B$2:$B$800),--(Risk_Rank_Keys!$B$2:$B$800&lt;Risk_Rank_Keys!B733))+(SUMPRODUCT(--ISNUMBER(Risk_Rank_Keys!$B$2:$B$800),--(Risk_Rank_Keys!$B$2:$B$800=Risk_Rank_Keys!B733))+1)/2)/COUNT(Risk_Rank_Keys!$B$2:$B$800))</f>
        <v/>
      </c>
      <c r="N733">
        <f>IF(OR(B733="NW",COUNT(Risk_Rank_Keys!C733)=0),0.5,(SUMPRODUCT(--ISNUMBER(Risk_Rank_Keys!$C$2:$C$800),--(Risk_Rank_Keys!$C$2:$C$800&lt;Risk_Rank_Keys!C733))+(SUMPRODUCT(--ISNUMBER(Risk_Rank_Keys!$C$2:$C$800),--(Risk_Rank_Keys!$C$2:$C$800=Risk_Rank_Keys!C733))+1)/2)/COUNT(Risk_Rank_Keys!$C$2:$C$800))</f>
        <v/>
      </c>
      <c r="O733">
        <f>IF(OR(B733="NW",COUNT(Risk_Rank_Keys!D733)=0),0.5,(SUMPRODUCT(--ISNUMBER(Risk_Rank_Keys!$D$2:$D$800),--(Risk_Rank_Keys!$D$2:$D$800&lt;Risk_Rank_Keys!D733))+(SUMPRODUCT(--ISNUMBER(Risk_Rank_Keys!$D$2:$D$800),--(Risk_Rank_Keys!$D$2:$D$800=Risk_Rank_Keys!D733))+1)/2)/COUNT(Risk_Rank_Keys!$D$2:$D$800))</f>
        <v/>
      </c>
      <c r="P733">
        <f>AVERAGE(M733:O733)</f>
        <v/>
      </c>
      <c r="Q733">
        <f>0.4*H733+0.4*I733+0.2*P733</f>
        <v/>
      </c>
      <c r="R733">
        <f>PERCENTILE($Q$2:$Q$800,0.75)</f>
        <v/>
      </c>
      <c r="S733">
        <f>OR(Q733&gt;=R733,AND(B733="CW",COUNT(J733:L733)&lt;3))</f>
        <v/>
      </c>
      <c r="T733" t="n">
        <v>0.2781563799247596</v>
      </c>
      <c r="U733" t="n">
        <v>5.29915419754926</v>
      </c>
      <c r="V733" t="n">
        <v>0.2802524541078487</v>
      </c>
      <c r="W733">
        <f>Q733-V733</f>
        <v/>
      </c>
    </row>
    <row r="734">
      <c r="A734" t="inlineStr">
        <is>
          <t>2026-02-17</t>
        </is>
      </c>
      <c r="B734" t="inlineStr">
        <is>
          <t>NW</t>
        </is>
      </c>
      <c r="C734" t="n">
        <v>-3.952221604077879</v>
      </c>
      <c r="D734">
        <f>SUMPRODUCT(Risk_Inputs!B734:AJ734,Risk_Coefs!$B$2:$AJ$2)</f>
        <v/>
      </c>
      <c r="E734">
        <f>1/(1+EXP(-MAX(-25,MIN(25,D734))))</f>
        <v/>
      </c>
      <c r="F734">
        <f>SUMPRODUCT(Risk_Inputs!B734:AJ734,Risk_Coefs!$B$3:$AJ$3)</f>
        <v/>
      </c>
      <c r="G734">
        <f>MAX(0,F734)</f>
        <v/>
      </c>
      <c r="H734">
        <f>(SUMPRODUCT(--ISNUMBER($E$2:$E$800),--($E$2:$E$800&lt;E734))+(SUMPRODUCT(--ISNUMBER($E$2:$E$800),--($E$2:$E$800=E734))+1)/2)/COUNT($E$2:$E$800)</f>
        <v/>
      </c>
      <c r="I734">
        <f>(SUMPRODUCT(--ISNUMBER($G$2:$G$800),--($G$2:$G$800&lt;G734))+(SUMPRODUCT(--ISNUMBER($G$2:$G$800),--($G$2:$G$800=G734))+1)/2)/COUNT($G$2:$G$800)</f>
        <v/>
      </c>
      <c r="M734">
        <f>IF(OR(B734="NW",COUNT(Risk_Rank_Keys!B734)=0),0.5,(SUMPRODUCT(--ISNUMBER(Risk_Rank_Keys!$B$2:$B$800),--(Risk_Rank_Keys!$B$2:$B$800&lt;Risk_Rank_Keys!B734))+(SUMPRODUCT(--ISNUMBER(Risk_Rank_Keys!$B$2:$B$800),--(Risk_Rank_Keys!$B$2:$B$800=Risk_Rank_Keys!B734))+1)/2)/COUNT(Risk_Rank_Keys!$B$2:$B$800))</f>
        <v/>
      </c>
      <c r="N734">
        <f>IF(OR(B734="NW",COUNT(Risk_Rank_Keys!C734)=0),0.5,(SUMPRODUCT(--ISNUMBER(Risk_Rank_Keys!$C$2:$C$800),--(Risk_Rank_Keys!$C$2:$C$800&lt;Risk_Rank_Keys!C734))+(SUMPRODUCT(--ISNUMBER(Risk_Rank_Keys!$C$2:$C$800),--(Risk_Rank_Keys!$C$2:$C$800=Risk_Rank_Keys!C734))+1)/2)/COUNT(Risk_Rank_Keys!$C$2:$C$800))</f>
        <v/>
      </c>
      <c r="O734">
        <f>IF(OR(B734="NW",COUNT(Risk_Rank_Keys!D734)=0),0.5,(SUMPRODUCT(--ISNUMBER(Risk_Rank_Keys!$D$2:$D$800),--(Risk_Rank_Keys!$D$2:$D$800&lt;Risk_Rank_Keys!D734))+(SUMPRODUCT(--ISNUMBER(Risk_Rank_Keys!$D$2:$D$800),--(Risk_Rank_Keys!$D$2:$D$800=Risk_Rank_Keys!D734))+1)/2)/COUNT(Risk_Rank_Keys!$D$2:$D$800))</f>
        <v/>
      </c>
      <c r="P734">
        <f>AVERAGE(M734:O734)</f>
        <v/>
      </c>
      <c r="Q734">
        <f>0.4*H734+0.4*I734+0.2*P734</f>
        <v/>
      </c>
      <c r="R734">
        <f>PERCENTILE($Q$2:$Q$800,0.75)</f>
        <v/>
      </c>
      <c r="S734">
        <f>OR(Q734&gt;=R734,AND(B734="CW",COUNT(J734:L734)&lt;3))</f>
        <v/>
      </c>
      <c r="T734" t="n">
        <v>0.3222213511441753</v>
      </c>
      <c r="U734" t="n">
        <v>8.380508623813324</v>
      </c>
      <c r="V734" t="n">
        <v>0.6086357947434293</v>
      </c>
      <c r="W734">
        <f>Q734-V734</f>
        <v/>
      </c>
    </row>
    <row r="735">
      <c r="A735" t="inlineStr">
        <is>
          <t>2026-02-23</t>
        </is>
      </c>
      <c r="B735" t="inlineStr">
        <is>
          <t>NW</t>
        </is>
      </c>
      <c r="C735" t="n">
        <v>7.5795901088763</v>
      </c>
      <c r="D735">
        <f>SUMPRODUCT(Risk_Inputs!B735:AJ735,Risk_Coefs!$B$2:$AJ$2)</f>
        <v/>
      </c>
      <c r="E735">
        <f>1/(1+EXP(-MAX(-25,MIN(25,D735))))</f>
        <v/>
      </c>
      <c r="F735">
        <f>SUMPRODUCT(Risk_Inputs!B735:AJ735,Risk_Coefs!$B$3:$AJ$3)</f>
        <v/>
      </c>
      <c r="G735">
        <f>MAX(0,F735)</f>
        <v/>
      </c>
      <c r="H735">
        <f>(SUMPRODUCT(--ISNUMBER($E$2:$E$800),--($E$2:$E$800&lt;E735))+(SUMPRODUCT(--ISNUMBER($E$2:$E$800),--($E$2:$E$800=E735))+1)/2)/COUNT($E$2:$E$800)</f>
        <v/>
      </c>
      <c r="I735">
        <f>(SUMPRODUCT(--ISNUMBER($G$2:$G$800),--($G$2:$G$800&lt;G735))+(SUMPRODUCT(--ISNUMBER($G$2:$G$800),--($G$2:$G$800=G735))+1)/2)/COUNT($G$2:$G$800)</f>
        <v/>
      </c>
      <c r="M735">
        <f>IF(OR(B735="NW",COUNT(Risk_Rank_Keys!B735)=0),0.5,(SUMPRODUCT(--ISNUMBER(Risk_Rank_Keys!$B$2:$B$800),--(Risk_Rank_Keys!$B$2:$B$800&lt;Risk_Rank_Keys!B735))+(SUMPRODUCT(--ISNUMBER(Risk_Rank_Keys!$B$2:$B$800),--(Risk_Rank_Keys!$B$2:$B$800=Risk_Rank_Keys!B735))+1)/2)/COUNT(Risk_Rank_Keys!$B$2:$B$800))</f>
        <v/>
      </c>
      <c r="N735">
        <f>IF(OR(B735="NW",COUNT(Risk_Rank_Keys!C735)=0),0.5,(SUMPRODUCT(--ISNUMBER(Risk_Rank_Keys!$C$2:$C$800),--(Risk_Rank_Keys!$C$2:$C$800&lt;Risk_Rank_Keys!C735))+(SUMPRODUCT(--ISNUMBER(Risk_Rank_Keys!$C$2:$C$800),--(Risk_Rank_Keys!$C$2:$C$800=Risk_Rank_Keys!C735))+1)/2)/COUNT(Risk_Rank_Keys!$C$2:$C$800))</f>
        <v/>
      </c>
      <c r="O735">
        <f>IF(OR(B735="NW",COUNT(Risk_Rank_Keys!D735)=0),0.5,(SUMPRODUCT(--ISNUMBER(Risk_Rank_Keys!$D$2:$D$800),--(Risk_Rank_Keys!$D$2:$D$800&lt;Risk_Rank_Keys!D735))+(SUMPRODUCT(--ISNUMBER(Risk_Rank_Keys!$D$2:$D$800),--(Risk_Rank_Keys!$D$2:$D$800=Risk_Rank_Keys!D735))+1)/2)/COUNT(Risk_Rank_Keys!$D$2:$D$800))</f>
        <v/>
      </c>
      <c r="P735">
        <f>AVERAGE(M735:O735)</f>
        <v/>
      </c>
      <c r="Q735">
        <f>0.4*H735+0.4*I735+0.2*P735</f>
        <v/>
      </c>
      <c r="R735">
        <f>PERCENTILE($Q$2:$Q$800,0.75)</f>
        <v/>
      </c>
      <c r="S735">
        <f>OR(Q735&gt;=R735,AND(B735="CW",COUNT(J735:L735)&lt;3))</f>
        <v/>
      </c>
      <c r="T735" t="n">
        <v>0.3480917679424554</v>
      </c>
      <c r="U735" t="n">
        <v>9.676426235767735</v>
      </c>
      <c r="V735" t="n">
        <v>0.7222778473091364</v>
      </c>
      <c r="W735">
        <f>Q735-V735</f>
        <v/>
      </c>
    </row>
    <row r="736">
      <c r="A736" t="inlineStr">
        <is>
          <t>2026-02-24</t>
        </is>
      </c>
      <c r="B736" t="inlineStr">
        <is>
          <t>CW</t>
        </is>
      </c>
      <c r="C736" t="n">
        <v>-1.5772480006039</v>
      </c>
      <c r="D736">
        <f>SUMPRODUCT(Risk_Inputs!B736:AJ736,Risk_Coefs!$B$2:$AJ$2)</f>
        <v/>
      </c>
      <c r="E736">
        <f>1/(1+EXP(-MAX(-25,MIN(25,D736))))</f>
        <v/>
      </c>
      <c r="F736">
        <f>SUMPRODUCT(Risk_Inputs!B736:AJ736,Risk_Coefs!$B$3:$AJ$3)</f>
        <v/>
      </c>
      <c r="G736">
        <f>MAX(0,F736)</f>
        <v/>
      </c>
      <c r="H736">
        <f>(SUMPRODUCT(--ISNUMBER($E$2:$E$800),--($E$2:$E$800&lt;E736))+(SUMPRODUCT(--ISNUMBER($E$2:$E$800),--($E$2:$E$800=E736))+1)/2)/COUNT($E$2:$E$800)</f>
        <v/>
      </c>
      <c r="I736">
        <f>(SUMPRODUCT(--ISNUMBER($G$2:$G$800),--($G$2:$G$800&lt;G736))+(SUMPRODUCT(--ISNUMBER($G$2:$G$800),--($G$2:$G$800=G736))+1)/2)/COUNT($G$2:$G$800)</f>
        <v/>
      </c>
      <c r="J736" t="n">
        <v>8.982006697452819</v>
      </c>
      <c r="K736" t="n">
        <v>5.030721966205847</v>
      </c>
      <c r="L736" t="n">
        <v>0.1920122887864769</v>
      </c>
      <c r="M736">
        <f>IF(OR(B736="NW",COUNT(Risk_Rank_Keys!B736)=0),0.5,(SUMPRODUCT(--ISNUMBER(Risk_Rank_Keys!$B$2:$B$800),--(Risk_Rank_Keys!$B$2:$B$800&lt;Risk_Rank_Keys!B736))+(SUMPRODUCT(--ISNUMBER(Risk_Rank_Keys!$B$2:$B$800),--(Risk_Rank_Keys!$B$2:$B$800=Risk_Rank_Keys!B736))+1)/2)/COUNT(Risk_Rank_Keys!$B$2:$B$800))</f>
        <v/>
      </c>
      <c r="N736">
        <f>IF(OR(B736="NW",COUNT(Risk_Rank_Keys!C736)=0),0.5,(SUMPRODUCT(--ISNUMBER(Risk_Rank_Keys!$C$2:$C$800),--(Risk_Rank_Keys!$C$2:$C$800&lt;Risk_Rank_Keys!C736))+(SUMPRODUCT(--ISNUMBER(Risk_Rank_Keys!$C$2:$C$800),--(Risk_Rank_Keys!$C$2:$C$800=Risk_Rank_Keys!C736))+1)/2)/COUNT(Risk_Rank_Keys!$C$2:$C$800))</f>
        <v/>
      </c>
      <c r="O736">
        <f>IF(OR(B736="NW",COUNT(Risk_Rank_Keys!D736)=0),0.5,(SUMPRODUCT(--ISNUMBER(Risk_Rank_Keys!$D$2:$D$800),--(Risk_Rank_Keys!$D$2:$D$800&lt;Risk_Rank_Keys!D736))+(SUMPRODUCT(--ISNUMBER(Risk_Rank_Keys!$D$2:$D$800),--(Risk_Rank_Keys!$D$2:$D$800=Risk_Rank_Keys!D736))+1)/2)/COUNT(Risk_Rank_Keys!$D$2:$D$800))</f>
        <v/>
      </c>
      <c r="P736">
        <f>AVERAGE(M736:O736)</f>
        <v/>
      </c>
      <c r="Q736">
        <f>0.4*H736+0.4*I736+0.2*P736</f>
        <v/>
      </c>
      <c r="R736">
        <f>PERCENTILE($Q$2:$Q$800,0.75)</f>
        <v/>
      </c>
      <c r="S736">
        <f>OR(Q736&gt;=R736,AND(B736="CW",COUNT(J736:L736)&lt;3))</f>
        <v/>
      </c>
      <c r="T736" t="n">
        <v>0.2402229472020256</v>
      </c>
      <c r="U736" t="n">
        <v>3.859738527524113</v>
      </c>
      <c r="V736" t="n">
        <v>0.2010794525234647</v>
      </c>
      <c r="W736">
        <f>Q736-V736</f>
        <v/>
      </c>
    </row>
    <row r="737">
      <c r="A737" t="inlineStr">
        <is>
          <t>2026-03-02</t>
        </is>
      </c>
      <c r="B737" t="inlineStr">
        <is>
          <t>CW</t>
        </is>
      </c>
      <c r="C737" t="n">
        <v>25.82367077644975</v>
      </c>
      <c r="D737">
        <f>SUMPRODUCT(Risk_Inputs!B737:AJ737,Risk_Coefs!$B$2:$AJ$2)</f>
        <v/>
      </c>
      <c r="E737">
        <f>1/(1+EXP(-MAX(-25,MIN(25,D737))))</f>
        <v/>
      </c>
      <c r="F737">
        <f>SUMPRODUCT(Risk_Inputs!B737:AJ737,Risk_Coefs!$B$3:$AJ$3)</f>
        <v/>
      </c>
      <c r="G737">
        <f>MAX(0,F737)</f>
        <v/>
      </c>
      <c r="H737">
        <f>(SUMPRODUCT(--ISNUMBER($E$2:$E$800),--($E$2:$E$800&lt;E737))+(SUMPRODUCT(--ISNUMBER($E$2:$E$800),--($E$2:$E$800=E737))+1)/2)/COUNT($E$2:$E$800)</f>
        <v/>
      </c>
      <c r="I737">
        <f>(SUMPRODUCT(--ISNUMBER($G$2:$G$800),--($G$2:$G$800&lt;G737))+(SUMPRODUCT(--ISNUMBER($G$2:$G$800),--($G$2:$G$800=G737))+1)/2)/COUNT($G$2:$G$800)</f>
        <v/>
      </c>
      <c r="J737" t="n">
        <v>24.58374339713621</v>
      </c>
      <c r="K737" t="n">
        <v>12.60089686098654</v>
      </c>
      <c r="L737" t="n">
        <v>0.1345291479820615</v>
      </c>
      <c r="M737">
        <f>IF(OR(B737="NW",COUNT(Risk_Rank_Keys!B737)=0),0.5,(SUMPRODUCT(--ISNUMBER(Risk_Rank_Keys!$B$2:$B$800),--(Risk_Rank_Keys!$B$2:$B$800&lt;Risk_Rank_Keys!B737))+(SUMPRODUCT(--ISNUMBER(Risk_Rank_Keys!$B$2:$B$800),--(Risk_Rank_Keys!$B$2:$B$800=Risk_Rank_Keys!B737))+1)/2)/COUNT(Risk_Rank_Keys!$B$2:$B$800))</f>
        <v/>
      </c>
      <c r="N737">
        <f>IF(OR(B737="NW",COUNT(Risk_Rank_Keys!C737)=0),0.5,(SUMPRODUCT(--ISNUMBER(Risk_Rank_Keys!$C$2:$C$800),--(Risk_Rank_Keys!$C$2:$C$800&lt;Risk_Rank_Keys!C737))+(SUMPRODUCT(--ISNUMBER(Risk_Rank_Keys!$C$2:$C$800),--(Risk_Rank_Keys!$C$2:$C$800=Risk_Rank_Keys!C737))+1)/2)/COUNT(Risk_Rank_Keys!$C$2:$C$800))</f>
        <v/>
      </c>
      <c r="O737">
        <f>IF(OR(B737="NW",COUNT(Risk_Rank_Keys!D737)=0),0.5,(SUMPRODUCT(--ISNUMBER(Risk_Rank_Keys!$D$2:$D$800),--(Risk_Rank_Keys!$D$2:$D$800&lt;Risk_Rank_Keys!D737))+(SUMPRODUCT(--ISNUMBER(Risk_Rank_Keys!$D$2:$D$800),--(Risk_Rank_Keys!$D$2:$D$800=Risk_Rank_Keys!D737))+1)/2)/COUNT(Risk_Rank_Keys!$D$2:$D$800))</f>
        <v/>
      </c>
      <c r="P737">
        <f>AVERAGE(M737:O737)</f>
        <v/>
      </c>
      <c r="Q737">
        <f>0.4*H737+0.4*I737+0.2*P737</f>
        <v/>
      </c>
      <c r="R737">
        <f>PERCENTILE($Q$2:$Q$800,0.75)</f>
        <v/>
      </c>
      <c r="S737">
        <f>OR(Q737&gt;=R737,AND(B737="CW",COUNT(J737:L737)&lt;3))</f>
        <v/>
      </c>
      <c r="T737" t="n">
        <v>0.3023249429862831</v>
      </c>
      <c r="U737" t="n">
        <v>4.245489606517265</v>
      </c>
      <c r="V737" t="n">
        <v>0.381185221647934</v>
      </c>
      <c r="W737">
        <f>Q737-V737</f>
        <v/>
      </c>
    </row>
    <row r="738">
      <c r="A738" t="inlineStr">
        <is>
          <t>2026-03-06</t>
        </is>
      </c>
      <c r="B738" t="inlineStr">
        <is>
          <t>CW</t>
        </is>
      </c>
      <c r="C738" t="n">
        <v>-15.67011015224174</v>
      </c>
      <c r="D738">
        <f>SUMPRODUCT(Risk_Inputs!B738:AJ738,Risk_Coefs!$B$2:$AJ$2)</f>
        <v/>
      </c>
      <c r="E738">
        <f>1/(1+EXP(-MAX(-25,MIN(25,D738))))</f>
        <v/>
      </c>
      <c r="F738">
        <f>SUMPRODUCT(Risk_Inputs!B738:AJ738,Risk_Coefs!$B$3:$AJ$3)</f>
        <v/>
      </c>
      <c r="G738">
        <f>MAX(0,F738)</f>
        <v/>
      </c>
      <c r="H738">
        <f>(SUMPRODUCT(--ISNUMBER($E$2:$E$800),--($E$2:$E$800&lt;E738))+(SUMPRODUCT(--ISNUMBER($E$2:$E$800),--($E$2:$E$800=E738))+1)/2)/COUNT($E$2:$E$800)</f>
        <v/>
      </c>
      <c r="I738">
        <f>(SUMPRODUCT(--ISNUMBER($G$2:$G$800),--($G$2:$G$800&lt;G738))+(SUMPRODUCT(--ISNUMBER($G$2:$G$800),--($G$2:$G$800=G738))+1)/2)/COUNT($G$2:$G$800)</f>
        <v/>
      </c>
      <c r="J738" t="n">
        <v>8.286569055758234</v>
      </c>
      <c r="K738" t="n">
        <v>1.845695288318242</v>
      </c>
      <c r="L738" t="n">
        <v>0.194887080132987</v>
      </c>
      <c r="M738">
        <f>IF(OR(B738="NW",COUNT(Risk_Rank_Keys!B738)=0),0.5,(SUMPRODUCT(--ISNUMBER(Risk_Rank_Keys!$B$2:$B$800),--(Risk_Rank_Keys!$B$2:$B$800&lt;Risk_Rank_Keys!B738))+(SUMPRODUCT(--ISNUMBER(Risk_Rank_Keys!$B$2:$B$800),--(Risk_Rank_Keys!$B$2:$B$800=Risk_Rank_Keys!B738))+1)/2)/COUNT(Risk_Rank_Keys!$B$2:$B$800))</f>
        <v/>
      </c>
      <c r="N738">
        <f>IF(OR(B738="NW",COUNT(Risk_Rank_Keys!C738)=0),0.5,(SUMPRODUCT(--ISNUMBER(Risk_Rank_Keys!$C$2:$C$800),--(Risk_Rank_Keys!$C$2:$C$800&lt;Risk_Rank_Keys!C738))+(SUMPRODUCT(--ISNUMBER(Risk_Rank_Keys!$C$2:$C$800),--(Risk_Rank_Keys!$C$2:$C$800=Risk_Rank_Keys!C738))+1)/2)/COUNT(Risk_Rank_Keys!$C$2:$C$800))</f>
        <v/>
      </c>
      <c r="O738">
        <f>IF(OR(B738="NW",COUNT(Risk_Rank_Keys!D738)=0),0.5,(SUMPRODUCT(--ISNUMBER(Risk_Rank_Keys!$D$2:$D$800),--(Risk_Rank_Keys!$D$2:$D$800&lt;Risk_Rank_Keys!D738))+(SUMPRODUCT(--ISNUMBER(Risk_Rank_Keys!$D$2:$D$800),--(Risk_Rank_Keys!$D$2:$D$800=Risk_Rank_Keys!D738))+1)/2)/COUNT(Risk_Rank_Keys!$D$2:$D$800))</f>
        <v/>
      </c>
      <c r="P738">
        <f>AVERAGE(M738:O738)</f>
        <v/>
      </c>
      <c r="Q738">
        <f>0.4*H738+0.4*I738+0.2*P738</f>
        <v/>
      </c>
      <c r="R738">
        <f>PERCENTILE($Q$2:$Q$800,0.75)</f>
        <v/>
      </c>
      <c r="S738">
        <f>OR(Q738&gt;=R738,AND(B738="CW",COUNT(J738:L738)&lt;3))</f>
        <v/>
      </c>
      <c r="T738" t="n">
        <v>0.3714827039990138</v>
      </c>
      <c r="U738" t="n">
        <v>5.303387196807775</v>
      </c>
      <c r="V738" t="n">
        <v>0.4821498746980914</v>
      </c>
      <c r="W738">
        <f>Q738-V738</f>
        <v/>
      </c>
    </row>
    <row r="739">
      <c r="A739" t="inlineStr">
        <is>
          <t>2026-03-09</t>
        </is>
      </c>
      <c r="B739" t="inlineStr">
        <is>
          <t>CW</t>
        </is>
      </c>
      <c r="C739" t="n">
        <v>24.63755606831653</v>
      </c>
      <c r="D739">
        <f>SUMPRODUCT(Risk_Inputs!B739:AJ739,Risk_Coefs!$B$2:$AJ$2)</f>
        <v/>
      </c>
      <c r="E739">
        <f>1/(1+EXP(-MAX(-25,MIN(25,D739))))</f>
        <v/>
      </c>
      <c r="F739">
        <f>SUMPRODUCT(Risk_Inputs!B739:AJ739,Risk_Coefs!$B$3:$AJ$3)</f>
        <v/>
      </c>
      <c r="G739">
        <f>MAX(0,F739)</f>
        <v/>
      </c>
      <c r="H739">
        <f>(SUMPRODUCT(--ISNUMBER($E$2:$E$800),--($E$2:$E$800&lt;E739))+(SUMPRODUCT(--ISNUMBER($E$2:$E$800),--($E$2:$E$800=E739))+1)/2)/COUNT($E$2:$E$800)</f>
        <v/>
      </c>
      <c r="I739">
        <f>(SUMPRODUCT(--ISNUMBER($G$2:$G$800),--($G$2:$G$800&lt;G739))+(SUMPRODUCT(--ISNUMBER($G$2:$G$800),--($G$2:$G$800=G739))+1)/2)/COUNT($G$2:$G$800)</f>
        <v/>
      </c>
      <c r="J739" t="n">
        <v>19.85690421407634</v>
      </c>
      <c r="K739" t="n">
        <v>3.543944916970433</v>
      </c>
      <c r="L739" t="n">
        <v>0.2025111381125962</v>
      </c>
      <c r="M739">
        <f>IF(OR(B739="NW",COUNT(Risk_Rank_Keys!B739)=0),0.5,(SUMPRODUCT(--ISNUMBER(Risk_Rank_Keys!$B$2:$B$800),--(Risk_Rank_Keys!$B$2:$B$800&lt;Risk_Rank_Keys!B739))+(SUMPRODUCT(--ISNUMBER(Risk_Rank_Keys!$B$2:$B$800),--(Risk_Rank_Keys!$B$2:$B$800=Risk_Rank_Keys!B739))+1)/2)/COUNT(Risk_Rank_Keys!$B$2:$B$800))</f>
        <v/>
      </c>
      <c r="N739">
        <f>IF(OR(B739="NW",COUNT(Risk_Rank_Keys!C739)=0),0.5,(SUMPRODUCT(--ISNUMBER(Risk_Rank_Keys!$C$2:$C$800),--(Risk_Rank_Keys!$C$2:$C$800&lt;Risk_Rank_Keys!C739))+(SUMPRODUCT(--ISNUMBER(Risk_Rank_Keys!$C$2:$C$800),--(Risk_Rank_Keys!$C$2:$C$800=Risk_Rank_Keys!C739))+1)/2)/COUNT(Risk_Rank_Keys!$C$2:$C$800))</f>
        <v/>
      </c>
      <c r="O739">
        <f>IF(OR(B739="NW",COUNT(Risk_Rank_Keys!D739)=0),0.5,(SUMPRODUCT(--ISNUMBER(Risk_Rank_Keys!$D$2:$D$800),--(Risk_Rank_Keys!$D$2:$D$800&lt;Risk_Rank_Keys!D739))+(SUMPRODUCT(--ISNUMBER(Risk_Rank_Keys!$D$2:$D$800),--(Risk_Rank_Keys!$D$2:$D$800=Risk_Rank_Keys!D739))+1)/2)/COUNT(Risk_Rank_Keys!$D$2:$D$800))</f>
        <v/>
      </c>
      <c r="P739">
        <f>AVERAGE(M739:O739)</f>
        <v/>
      </c>
      <c r="Q739">
        <f>0.4*H739+0.4*I739+0.2*P739</f>
        <v/>
      </c>
      <c r="R739">
        <f>PERCENTILE($Q$2:$Q$800,0.75)</f>
        <v/>
      </c>
      <c r="S739">
        <f>OR(Q739&gt;=R739,AND(B739="CW",COUNT(J739:L739)&lt;3))</f>
        <v/>
      </c>
      <c r="T739" t="n">
        <v>0.485118504998715</v>
      </c>
      <c r="U739" t="n">
        <v>11.83174084378591</v>
      </c>
      <c r="V739" t="n">
        <v>0.8716688515223294</v>
      </c>
      <c r="W739">
        <f>Q739-V739</f>
        <v/>
      </c>
    </row>
    <row r="740">
      <c r="A740" t="inlineStr">
        <is>
          <t>2026-03-10</t>
        </is>
      </c>
      <c r="B740" t="inlineStr">
        <is>
          <t>NW</t>
        </is>
      </c>
      <c r="C740" t="n">
        <v>75.59908134047865</v>
      </c>
      <c r="D740">
        <f>SUMPRODUCT(Risk_Inputs!B740:AJ740,Risk_Coefs!$B$2:$AJ$2)</f>
        <v/>
      </c>
      <c r="E740">
        <f>1/(1+EXP(-MAX(-25,MIN(25,D740))))</f>
        <v/>
      </c>
      <c r="F740">
        <f>SUMPRODUCT(Risk_Inputs!B740:AJ740,Risk_Coefs!$B$3:$AJ$3)</f>
        <v/>
      </c>
      <c r="G740">
        <f>MAX(0,F740)</f>
        <v/>
      </c>
      <c r="H740">
        <f>(SUMPRODUCT(--ISNUMBER($E$2:$E$800),--($E$2:$E$800&lt;E740))+(SUMPRODUCT(--ISNUMBER($E$2:$E$800),--($E$2:$E$800=E740))+1)/2)/COUNT($E$2:$E$800)</f>
        <v/>
      </c>
      <c r="I740">
        <f>(SUMPRODUCT(--ISNUMBER($G$2:$G$800),--($G$2:$G$800&lt;G740))+(SUMPRODUCT(--ISNUMBER($G$2:$G$800),--($G$2:$G$800=G740))+1)/2)/COUNT($G$2:$G$800)</f>
        <v/>
      </c>
      <c r="M740">
        <f>IF(OR(B740="NW",COUNT(Risk_Rank_Keys!B740)=0),0.5,(SUMPRODUCT(--ISNUMBER(Risk_Rank_Keys!$B$2:$B$800),--(Risk_Rank_Keys!$B$2:$B$800&lt;Risk_Rank_Keys!B740))+(SUMPRODUCT(--ISNUMBER(Risk_Rank_Keys!$B$2:$B$800),--(Risk_Rank_Keys!$B$2:$B$800=Risk_Rank_Keys!B740))+1)/2)/COUNT(Risk_Rank_Keys!$B$2:$B$800))</f>
        <v/>
      </c>
      <c r="N740">
        <f>IF(OR(B740="NW",COUNT(Risk_Rank_Keys!C740)=0),0.5,(SUMPRODUCT(--ISNUMBER(Risk_Rank_Keys!$C$2:$C$800),--(Risk_Rank_Keys!$C$2:$C$800&lt;Risk_Rank_Keys!C740))+(SUMPRODUCT(--ISNUMBER(Risk_Rank_Keys!$C$2:$C$800),--(Risk_Rank_Keys!$C$2:$C$800=Risk_Rank_Keys!C740))+1)/2)/COUNT(Risk_Rank_Keys!$C$2:$C$800))</f>
        <v/>
      </c>
      <c r="O740">
        <f>IF(OR(B740="NW",COUNT(Risk_Rank_Keys!D740)=0),0.5,(SUMPRODUCT(--ISNUMBER(Risk_Rank_Keys!$D$2:$D$800),--(Risk_Rank_Keys!$D$2:$D$800&lt;Risk_Rank_Keys!D740))+(SUMPRODUCT(--ISNUMBER(Risk_Rank_Keys!$D$2:$D$800),--(Risk_Rank_Keys!$D$2:$D$800=Risk_Rank_Keys!D740))+1)/2)/COUNT(Risk_Rank_Keys!$D$2:$D$800))</f>
        <v/>
      </c>
      <c r="P740">
        <f>AVERAGE(M740:O740)</f>
        <v/>
      </c>
      <c r="Q740">
        <f>0.4*H740+0.4*I740+0.2*P740</f>
        <v/>
      </c>
      <c r="R740">
        <f>PERCENTILE($Q$2:$Q$800,0.75)</f>
        <v/>
      </c>
      <c r="S740">
        <f>OR(Q740&gt;=R740,AND(B740="CW",COUNT(J740:L740)&lt;3))</f>
        <v/>
      </c>
      <c r="T740" t="n">
        <v>0.4651569667295405</v>
      </c>
      <c r="U740" t="n">
        <v>16.78871722652632</v>
      </c>
      <c r="V740" t="n">
        <v>0.8924906132665832</v>
      </c>
      <c r="W740">
        <f>Q740-V740</f>
        <v/>
      </c>
    </row>
    <row r="741">
      <c r="A741" t="inlineStr">
        <is>
          <t>2026-03-12</t>
        </is>
      </c>
      <c r="B741" t="inlineStr">
        <is>
          <t>CW</t>
        </is>
      </c>
      <c r="C741" t="n">
        <v>15.42829269673272</v>
      </c>
      <c r="D741">
        <f>SUMPRODUCT(Risk_Inputs!B741:AJ741,Risk_Coefs!$B$2:$AJ$2)</f>
        <v/>
      </c>
      <c r="E741">
        <f>1/(1+EXP(-MAX(-25,MIN(25,D741))))</f>
        <v/>
      </c>
      <c r="F741">
        <f>SUMPRODUCT(Risk_Inputs!B741:AJ741,Risk_Coefs!$B$3:$AJ$3)</f>
        <v/>
      </c>
      <c r="G741">
        <f>MAX(0,F741)</f>
        <v/>
      </c>
      <c r="H741">
        <f>(SUMPRODUCT(--ISNUMBER($E$2:$E$800),--($E$2:$E$800&lt;E741))+(SUMPRODUCT(--ISNUMBER($E$2:$E$800),--($E$2:$E$800=E741))+1)/2)/COUNT($E$2:$E$800)</f>
        <v/>
      </c>
      <c r="I741">
        <f>(SUMPRODUCT(--ISNUMBER($G$2:$G$800),--($G$2:$G$800&lt;G741))+(SUMPRODUCT(--ISNUMBER($G$2:$G$800),--($G$2:$G$800=G741))+1)/2)/COUNT($G$2:$G$800)</f>
        <v/>
      </c>
      <c r="J741" t="n">
        <v>11.63567000476902</v>
      </c>
      <c r="K741" t="n">
        <v>2.792070856178839</v>
      </c>
      <c r="L741" t="n">
        <v>0.1265288907633814</v>
      </c>
      <c r="M741">
        <f>IF(OR(B741="NW",COUNT(Risk_Rank_Keys!B741)=0),0.5,(SUMPRODUCT(--ISNUMBER(Risk_Rank_Keys!$B$2:$B$800),--(Risk_Rank_Keys!$B$2:$B$800&lt;Risk_Rank_Keys!B741))+(SUMPRODUCT(--ISNUMBER(Risk_Rank_Keys!$B$2:$B$800),--(Risk_Rank_Keys!$B$2:$B$800=Risk_Rank_Keys!B741))+1)/2)/COUNT(Risk_Rank_Keys!$B$2:$B$800))</f>
        <v/>
      </c>
      <c r="N741">
        <f>IF(OR(B741="NW",COUNT(Risk_Rank_Keys!C741)=0),0.5,(SUMPRODUCT(--ISNUMBER(Risk_Rank_Keys!$C$2:$C$800),--(Risk_Rank_Keys!$C$2:$C$800&lt;Risk_Rank_Keys!C741))+(SUMPRODUCT(--ISNUMBER(Risk_Rank_Keys!$C$2:$C$800),--(Risk_Rank_Keys!$C$2:$C$800=Risk_Rank_Keys!C741))+1)/2)/COUNT(Risk_Rank_Keys!$C$2:$C$800))</f>
        <v/>
      </c>
      <c r="O741">
        <f>IF(OR(B741="NW",COUNT(Risk_Rank_Keys!D741)=0),0.5,(SUMPRODUCT(--ISNUMBER(Risk_Rank_Keys!$D$2:$D$800),--(Risk_Rank_Keys!$D$2:$D$800&lt;Risk_Rank_Keys!D741))+(SUMPRODUCT(--ISNUMBER(Risk_Rank_Keys!$D$2:$D$800),--(Risk_Rank_Keys!$D$2:$D$800=Risk_Rank_Keys!D741))+1)/2)/COUNT(Risk_Rank_Keys!$D$2:$D$800))</f>
        <v/>
      </c>
      <c r="P741">
        <f>AVERAGE(M741:O741)</f>
        <v/>
      </c>
      <c r="Q741">
        <f>0.4*H741+0.4*I741+0.2*P741</f>
        <v/>
      </c>
      <c r="R741">
        <f>PERCENTILE($Q$2:$Q$800,0.75)</f>
        <v/>
      </c>
      <c r="S741">
        <f>OR(Q741&gt;=R741,AND(B741="CW",COUNT(J741:L741)&lt;3))</f>
        <v/>
      </c>
      <c r="T741" t="n">
        <v>0.4521999308760973</v>
      </c>
      <c r="U741" t="n">
        <v>10.62153870080064</v>
      </c>
      <c r="V741" t="n">
        <v>0.8053832981603575</v>
      </c>
      <c r="W741">
        <f>Q741-V741</f>
        <v/>
      </c>
    </row>
    <row r="742">
      <c r="A742" t="inlineStr">
        <is>
          <t>2026-03-13</t>
        </is>
      </c>
      <c r="B742" t="inlineStr">
        <is>
          <t>CW</t>
        </is>
      </c>
      <c r="C742" t="n">
        <v>-12.96825505434786</v>
      </c>
      <c r="D742">
        <f>SUMPRODUCT(Risk_Inputs!B742:AJ742,Risk_Coefs!$B$2:$AJ$2)</f>
        <v/>
      </c>
      <c r="E742">
        <f>1/(1+EXP(-MAX(-25,MIN(25,D742))))</f>
        <v/>
      </c>
      <c r="F742">
        <f>SUMPRODUCT(Risk_Inputs!B742:AJ742,Risk_Coefs!$B$3:$AJ$3)</f>
        <v/>
      </c>
      <c r="G742">
        <f>MAX(0,F742)</f>
        <v/>
      </c>
      <c r="H742">
        <f>(SUMPRODUCT(--ISNUMBER($E$2:$E$800),--($E$2:$E$800&lt;E742))+(SUMPRODUCT(--ISNUMBER($E$2:$E$800),--($E$2:$E$800=E742))+1)/2)/COUNT($E$2:$E$800)</f>
        <v/>
      </c>
      <c r="I742">
        <f>(SUMPRODUCT(--ISNUMBER($G$2:$G$800),--($G$2:$G$800&lt;G742))+(SUMPRODUCT(--ISNUMBER($G$2:$G$800),--($G$2:$G$800=G742))+1)/2)/COUNT($G$2:$G$800)</f>
        <v/>
      </c>
      <c r="J742" t="n">
        <v>6.222311247680882</v>
      </c>
      <c r="K742" t="n">
        <v>1.394276129573338</v>
      </c>
      <c r="L742" t="n">
        <v>0.1153160708669695</v>
      </c>
      <c r="M742">
        <f>IF(OR(B742="NW",COUNT(Risk_Rank_Keys!B742)=0),0.5,(SUMPRODUCT(--ISNUMBER(Risk_Rank_Keys!$B$2:$B$800),--(Risk_Rank_Keys!$B$2:$B$800&lt;Risk_Rank_Keys!B742))+(SUMPRODUCT(--ISNUMBER(Risk_Rank_Keys!$B$2:$B$800),--(Risk_Rank_Keys!$B$2:$B$800=Risk_Rank_Keys!B742))+1)/2)/COUNT(Risk_Rank_Keys!$B$2:$B$800))</f>
        <v/>
      </c>
      <c r="N742">
        <f>IF(OR(B742="NW",COUNT(Risk_Rank_Keys!C742)=0),0.5,(SUMPRODUCT(--ISNUMBER(Risk_Rank_Keys!$C$2:$C$800),--(Risk_Rank_Keys!$C$2:$C$800&lt;Risk_Rank_Keys!C742))+(SUMPRODUCT(--ISNUMBER(Risk_Rank_Keys!$C$2:$C$800),--(Risk_Rank_Keys!$C$2:$C$800=Risk_Rank_Keys!C742))+1)/2)/COUNT(Risk_Rank_Keys!$C$2:$C$800))</f>
        <v/>
      </c>
      <c r="O742">
        <f>IF(OR(B742="NW",COUNT(Risk_Rank_Keys!D742)=0),0.5,(SUMPRODUCT(--ISNUMBER(Risk_Rank_Keys!$D$2:$D$800),--(Risk_Rank_Keys!$D$2:$D$800&lt;Risk_Rank_Keys!D742))+(SUMPRODUCT(--ISNUMBER(Risk_Rank_Keys!$D$2:$D$800),--(Risk_Rank_Keys!$D$2:$D$800=Risk_Rank_Keys!D742))+1)/2)/COUNT(Risk_Rank_Keys!$D$2:$D$800))</f>
        <v/>
      </c>
      <c r="P742">
        <f>AVERAGE(M742:O742)</f>
        <v/>
      </c>
      <c r="Q742">
        <f>0.4*H742+0.4*I742+0.2*P742</f>
        <v/>
      </c>
      <c r="R742">
        <f>PERCENTILE($Q$2:$Q$800,0.75)</f>
        <v/>
      </c>
      <c r="S742">
        <f>OR(Q742&gt;=R742,AND(B742="CW",COUNT(J742:L742)&lt;3))</f>
        <v/>
      </c>
      <c r="T742" t="n">
        <v>0.3974759697634782</v>
      </c>
      <c r="U742" t="n">
        <v>6.356806751442845</v>
      </c>
      <c r="V742" t="n">
        <v>0.5287913937051719</v>
      </c>
      <c r="W742">
        <f>Q742-V742</f>
        <v/>
      </c>
    </row>
    <row r="743">
      <c r="A743" t="inlineStr">
        <is>
          <t>2026-03-16</t>
        </is>
      </c>
      <c r="B743" t="inlineStr">
        <is>
          <t>NW</t>
        </is>
      </c>
      <c r="C743" t="n">
        <v>-39.2760772080976</v>
      </c>
      <c r="D743">
        <f>SUMPRODUCT(Risk_Inputs!B743:AJ743,Risk_Coefs!$B$2:$AJ$2)</f>
        <v/>
      </c>
      <c r="E743">
        <f>1/(1+EXP(-MAX(-25,MIN(25,D743))))</f>
        <v/>
      </c>
      <c r="F743">
        <f>SUMPRODUCT(Risk_Inputs!B743:AJ743,Risk_Coefs!$B$3:$AJ$3)</f>
        <v/>
      </c>
      <c r="G743">
        <f>MAX(0,F743)</f>
        <v/>
      </c>
      <c r="H743">
        <f>(SUMPRODUCT(--ISNUMBER($E$2:$E$800),--($E$2:$E$800&lt;E743))+(SUMPRODUCT(--ISNUMBER($E$2:$E$800),--($E$2:$E$800=E743))+1)/2)/COUNT($E$2:$E$800)</f>
        <v/>
      </c>
      <c r="I743">
        <f>(SUMPRODUCT(--ISNUMBER($G$2:$G$800),--($G$2:$G$800&lt;G743))+(SUMPRODUCT(--ISNUMBER($G$2:$G$800),--($G$2:$G$800=G743))+1)/2)/COUNT($G$2:$G$800)</f>
        <v/>
      </c>
      <c r="M743">
        <f>IF(OR(B743="NW",COUNT(Risk_Rank_Keys!B743)=0),0.5,(SUMPRODUCT(--ISNUMBER(Risk_Rank_Keys!$B$2:$B$800),--(Risk_Rank_Keys!$B$2:$B$800&lt;Risk_Rank_Keys!B743))+(SUMPRODUCT(--ISNUMBER(Risk_Rank_Keys!$B$2:$B$800),--(Risk_Rank_Keys!$B$2:$B$800=Risk_Rank_Keys!B743))+1)/2)/COUNT(Risk_Rank_Keys!$B$2:$B$800))</f>
        <v/>
      </c>
      <c r="N743">
        <f>IF(OR(B743="NW",COUNT(Risk_Rank_Keys!C743)=0),0.5,(SUMPRODUCT(--ISNUMBER(Risk_Rank_Keys!$C$2:$C$800),--(Risk_Rank_Keys!$C$2:$C$800&lt;Risk_Rank_Keys!C743))+(SUMPRODUCT(--ISNUMBER(Risk_Rank_Keys!$C$2:$C$800),--(Risk_Rank_Keys!$C$2:$C$800=Risk_Rank_Keys!C743))+1)/2)/COUNT(Risk_Rank_Keys!$C$2:$C$800))</f>
        <v/>
      </c>
      <c r="O743">
        <f>IF(OR(B743="NW",COUNT(Risk_Rank_Keys!D743)=0),0.5,(SUMPRODUCT(--ISNUMBER(Risk_Rank_Keys!$D$2:$D$800),--(Risk_Rank_Keys!$D$2:$D$800&lt;Risk_Rank_Keys!D743))+(SUMPRODUCT(--ISNUMBER(Risk_Rank_Keys!$D$2:$D$800),--(Risk_Rank_Keys!$D$2:$D$800=Risk_Rank_Keys!D743))+1)/2)/COUNT(Risk_Rank_Keys!$D$2:$D$800))</f>
        <v/>
      </c>
      <c r="P743">
        <f>AVERAGE(M743:O743)</f>
        <v/>
      </c>
      <c r="Q743">
        <f>0.4*H743+0.4*I743+0.2*P743</f>
        <v/>
      </c>
      <c r="R743">
        <f>PERCENTILE($Q$2:$Q$800,0.75)</f>
        <v/>
      </c>
      <c r="S743">
        <f>OR(Q743&gt;=R743,AND(B743="CW",COUNT(J743:L743)&lt;3))</f>
        <v/>
      </c>
      <c r="T743" t="n">
        <v>0.4613993170411269</v>
      </c>
      <c r="U743" t="n">
        <v>16.95951454097377</v>
      </c>
      <c r="V743" t="n">
        <v>0.8914893617021277</v>
      </c>
      <c r="W743">
        <f>Q743-V743</f>
        <v/>
      </c>
    </row>
    <row r="744">
      <c r="A744" t="inlineStr">
        <is>
          <t>2026-03-17</t>
        </is>
      </c>
      <c r="B744" t="inlineStr">
        <is>
          <t>NW</t>
        </is>
      </c>
      <c r="C744" t="n">
        <v>42.69274592040735</v>
      </c>
      <c r="D744">
        <f>SUMPRODUCT(Risk_Inputs!B744:AJ744,Risk_Coefs!$B$2:$AJ$2)</f>
        <v/>
      </c>
      <c r="E744">
        <f>1/(1+EXP(-MAX(-25,MIN(25,D744))))</f>
        <v/>
      </c>
      <c r="F744">
        <f>SUMPRODUCT(Risk_Inputs!B744:AJ744,Risk_Coefs!$B$3:$AJ$3)</f>
        <v/>
      </c>
      <c r="G744">
        <f>MAX(0,F744)</f>
        <v/>
      </c>
      <c r="H744">
        <f>(SUMPRODUCT(--ISNUMBER($E$2:$E$800),--($E$2:$E$800&lt;E744))+(SUMPRODUCT(--ISNUMBER($E$2:$E$800),--($E$2:$E$800=E744))+1)/2)/COUNT($E$2:$E$800)</f>
        <v/>
      </c>
      <c r="I744">
        <f>(SUMPRODUCT(--ISNUMBER($G$2:$G$800),--($G$2:$G$800&lt;G744))+(SUMPRODUCT(--ISNUMBER($G$2:$G$800),--($G$2:$G$800=G744))+1)/2)/COUNT($G$2:$G$800)</f>
        <v/>
      </c>
      <c r="M744">
        <f>IF(OR(B744="NW",COUNT(Risk_Rank_Keys!B744)=0),0.5,(SUMPRODUCT(--ISNUMBER(Risk_Rank_Keys!$B$2:$B$800),--(Risk_Rank_Keys!$B$2:$B$800&lt;Risk_Rank_Keys!B744))+(SUMPRODUCT(--ISNUMBER(Risk_Rank_Keys!$B$2:$B$800),--(Risk_Rank_Keys!$B$2:$B$800=Risk_Rank_Keys!B744))+1)/2)/COUNT(Risk_Rank_Keys!$B$2:$B$800))</f>
        <v/>
      </c>
      <c r="N744">
        <f>IF(OR(B744="NW",COUNT(Risk_Rank_Keys!C744)=0),0.5,(SUMPRODUCT(--ISNUMBER(Risk_Rank_Keys!$C$2:$C$800),--(Risk_Rank_Keys!$C$2:$C$800&lt;Risk_Rank_Keys!C744))+(SUMPRODUCT(--ISNUMBER(Risk_Rank_Keys!$C$2:$C$800),--(Risk_Rank_Keys!$C$2:$C$800=Risk_Rank_Keys!C744))+1)/2)/COUNT(Risk_Rank_Keys!$C$2:$C$800))</f>
        <v/>
      </c>
      <c r="O744">
        <f>IF(OR(B744="NW",COUNT(Risk_Rank_Keys!D744)=0),0.5,(SUMPRODUCT(--ISNUMBER(Risk_Rank_Keys!$D$2:$D$800),--(Risk_Rank_Keys!$D$2:$D$800&lt;Risk_Rank_Keys!D744))+(SUMPRODUCT(--ISNUMBER(Risk_Rank_Keys!$D$2:$D$800),--(Risk_Rank_Keys!$D$2:$D$800=Risk_Rank_Keys!D744))+1)/2)/COUNT(Risk_Rank_Keys!$D$2:$D$800))</f>
        <v/>
      </c>
      <c r="P744">
        <f>AVERAGE(M744:O744)</f>
        <v/>
      </c>
      <c r="Q744">
        <f>0.4*H744+0.4*I744+0.2*P744</f>
        <v/>
      </c>
      <c r="R744">
        <f>PERCENTILE($Q$2:$Q$800,0.75)</f>
        <v/>
      </c>
      <c r="S744">
        <f>OR(Q744&gt;=R744,AND(B744="CW",COUNT(J744:L744)&lt;3))</f>
        <v/>
      </c>
      <c r="T744" t="n">
        <v>0.4241084633098134</v>
      </c>
      <c r="U744" t="n">
        <v>15.05199413155863</v>
      </c>
      <c r="V744" t="n">
        <v>0.8804755944931164</v>
      </c>
      <c r="W744">
        <f>Q744-V744</f>
        <v/>
      </c>
    </row>
    <row r="745">
      <c r="A745" t="inlineStr">
        <is>
          <t>2026-03-19</t>
        </is>
      </c>
      <c r="B745" t="inlineStr">
        <is>
          <t>CW</t>
        </is>
      </c>
      <c r="C745" t="n">
        <v>-10.45694191820462</v>
      </c>
      <c r="D745">
        <f>SUMPRODUCT(Risk_Inputs!B745:AJ745,Risk_Coefs!$B$2:$AJ$2)</f>
        <v/>
      </c>
      <c r="E745">
        <f>1/(1+EXP(-MAX(-25,MIN(25,D745))))</f>
        <v/>
      </c>
      <c r="F745">
        <f>SUMPRODUCT(Risk_Inputs!B745:AJ745,Risk_Coefs!$B$3:$AJ$3)</f>
        <v/>
      </c>
      <c r="G745">
        <f>MAX(0,F745)</f>
        <v/>
      </c>
      <c r="H745">
        <f>(SUMPRODUCT(--ISNUMBER($E$2:$E$800),--($E$2:$E$800&lt;E745))+(SUMPRODUCT(--ISNUMBER($E$2:$E$800),--($E$2:$E$800=E745))+1)/2)/COUNT($E$2:$E$800)</f>
        <v/>
      </c>
      <c r="I745">
        <f>(SUMPRODUCT(--ISNUMBER($G$2:$G$800),--($G$2:$G$800&lt;G745))+(SUMPRODUCT(--ISNUMBER($G$2:$G$800),--($G$2:$G$800=G745))+1)/2)/COUNT($G$2:$G$800)</f>
        <v/>
      </c>
      <c r="J745" t="n">
        <v>9.443965091672412</v>
      </c>
      <c r="K745" t="n">
        <v>1.666666666666669</v>
      </c>
      <c r="L745" t="n">
        <v>0.1709401709401673</v>
      </c>
      <c r="M745">
        <f>IF(OR(B745="NW",COUNT(Risk_Rank_Keys!B745)=0),0.5,(SUMPRODUCT(--ISNUMBER(Risk_Rank_Keys!$B$2:$B$800),--(Risk_Rank_Keys!$B$2:$B$800&lt;Risk_Rank_Keys!B745))+(SUMPRODUCT(--ISNUMBER(Risk_Rank_Keys!$B$2:$B$800),--(Risk_Rank_Keys!$B$2:$B$800=Risk_Rank_Keys!B745))+1)/2)/COUNT(Risk_Rank_Keys!$B$2:$B$800))</f>
        <v/>
      </c>
      <c r="N745">
        <f>IF(OR(B745="NW",COUNT(Risk_Rank_Keys!C745)=0),0.5,(SUMPRODUCT(--ISNUMBER(Risk_Rank_Keys!$C$2:$C$800),--(Risk_Rank_Keys!$C$2:$C$800&lt;Risk_Rank_Keys!C745))+(SUMPRODUCT(--ISNUMBER(Risk_Rank_Keys!$C$2:$C$800),--(Risk_Rank_Keys!$C$2:$C$800=Risk_Rank_Keys!C745))+1)/2)/COUNT(Risk_Rank_Keys!$C$2:$C$800))</f>
        <v/>
      </c>
      <c r="O745">
        <f>IF(OR(B745="NW",COUNT(Risk_Rank_Keys!D745)=0),0.5,(SUMPRODUCT(--ISNUMBER(Risk_Rank_Keys!$D$2:$D$800),--(Risk_Rank_Keys!$D$2:$D$800&lt;Risk_Rank_Keys!D745))+(SUMPRODUCT(--ISNUMBER(Risk_Rank_Keys!$D$2:$D$800),--(Risk_Rank_Keys!$D$2:$D$800=Risk_Rank_Keys!D745))+1)/2)/COUNT(Risk_Rank_Keys!$D$2:$D$800))</f>
        <v/>
      </c>
      <c r="P745">
        <f>AVERAGE(M745:O745)</f>
        <v/>
      </c>
      <c r="Q745">
        <f>0.4*H745+0.4*I745+0.2*P745</f>
        <v/>
      </c>
      <c r="R745">
        <f>PERCENTILE($Q$2:$Q$800,0.75)</f>
        <v/>
      </c>
      <c r="S745">
        <f>OR(Q745&gt;=R745,AND(B745="CW",COUNT(J745:L745)&lt;3))</f>
        <v/>
      </c>
      <c r="T745" t="n">
        <v>0.3930357134762876</v>
      </c>
      <c r="U745" t="n">
        <v>5.250059153938848</v>
      </c>
      <c r="V745" t="n">
        <v>0.4924051391529044</v>
      </c>
      <c r="W745">
        <f>Q745-V745</f>
        <v/>
      </c>
    </row>
    <row r="746">
      <c r="A746" t="inlineStr">
        <is>
          <t>2026-03-23</t>
        </is>
      </c>
      <c r="B746" t="inlineStr">
        <is>
          <t>CW</t>
        </is>
      </c>
      <c r="C746" t="n">
        <v>73.72205874650699</v>
      </c>
      <c r="D746">
        <f>SUMPRODUCT(Risk_Inputs!B746:AJ746,Risk_Coefs!$B$2:$AJ$2)</f>
        <v/>
      </c>
      <c r="E746">
        <f>1/(1+EXP(-MAX(-25,MIN(25,D746))))</f>
        <v/>
      </c>
      <c r="F746">
        <f>SUMPRODUCT(Risk_Inputs!B746:AJ746,Risk_Coefs!$B$3:$AJ$3)</f>
        <v/>
      </c>
      <c r="G746">
        <f>MAX(0,F746)</f>
        <v/>
      </c>
      <c r="H746">
        <f>(SUMPRODUCT(--ISNUMBER($E$2:$E$800),--($E$2:$E$800&lt;E746))+(SUMPRODUCT(--ISNUMBER($E$2:$E$800),--($E$2:$E$800=E746))+1)/2)/COUNT($E$2:$E$800)</f>
        <v/>
      </c>
      <c r="I746">
        <f>(SUMPRODUCT(--ISNUMBER($G$2:$G$800),--($G$2:$G$800&lt;G746))+(SUMPRODUCT(--ISNUMBER($G$2:$G$800),--($G$2:$G$800=G746))+1)/2)/COUNT($G$2:$G$800)</f>
        <v/>
      </c>
      <c r="J746" t="n">
        <v>11.41517155940945</v>
      </c>
      <c r="K746" t="n">
        <v>1.544485534043947</v>
      </c>
      <c r="L746" t="n">
        <v>0.1849031977376537</v>
      </c>
      <c r="M746">
        <f>IF(OR(B746="NW",COUNT(Risk_Rank_Keys!B746)=0),0.5,(SUMPRODUCT(--ISNUMBER(Risk_Rank_Keys!$B$2:$B$800),--(Risk_Rank_Keys!$B$2:$B$800&lt;Risk_Rank_Keys!B746))+(SUMPRODUCT(--ISNUMBER(Risk_Rank_Keys!$B$2:$B$800),--(Risk_Rank_Keys!$B$2:$B$800=Risk_Rank_Keys!B746))+1)/2)/COUNT(Risk_Rank_Keys!$B$2:$B$800))</f>
        <v/>
      </c>
      <c r="N746">
        <f>IF(OR(B746="NW",COUNT(Risk_Rank_Keys!C746)=0),0.5,(SUMPRODUCT(--ISNUMBER(Risk_Rank_Keys!$C$2:$C$800),--(Risk_Rank_Keys!$C$2:$C$800&lt;Risk_Rank_Keys!C746))+(SUMPRODUCT(--ISNUMBER(Risk_Rank_Keys!$C$2:$C$800),--(Risk_Rank_Keys!$C$2:$C$800=Risk_Rank_Keys!C746))+1)/2)/COUNT(Risk_Rank_Keys!$C$2:$C$800))</f>
        <v/>
      </c>
      <c r="O746">
        <f>IF(OR(B746="NW",COUNT(Risk_Rank_Keys!D746)=0),0.5,(SUMPRODUCT(--ISNUMBER(Risk_Rank_Keys!$D$2:$D$800),--(Risk_Rank_Keys!$D$2:$D$800&lt;Risk_Rank_Keys!D746))+(SUMPRODUCT(--ISNUMBER(Risk_Rank_Keys!$D$2:$D$800),--(Risk_Rank_Keys!$D$2:$D$800=Risk_Rank_Keys!D746))+1)/2)/COUNT(Risk_Rank_Keys!$D$2:$D$800))</f>
        <v/>
      </c>
      <c r="P746">
        <f>AVERAGE(M746:O746)</f>
        <v/>
      </c>
      <c r="Q746">
        <f>0.4*H746+0.4*I746+0.2*P746</f>
        <v/>
      </c>
      <c r="R746">
        <f>PERCENTILE($Q$2:$Q$800,0.75)</f>
        <v/>
      </c>
      <c r="S746">
        <f>OR(Q746&gt;=R746,AND(B746="CW",COUNT(J746:L746)&lt;3))</f>
        <v/>
      </c>
      <c r="T746" t="n">
        <v>0.4999461966134234</v>
      </c>
      <c r="U746" t="n">
        <v>15.1511748412364</v>
      </c>
      <c r="V746" t="n">
        <v>0.8553450995520319</v>
      </c>
      <c r="W746">
        <f>Q746-V746</f>
        <v/>
      </c>
    </row>
    <row r="747">
      <c r="A747" t="inlineStr">
        <is>
          <t>2026-03-24</t>
        </is>
      </c>
      <c r="B747" t="inlineStr">
        <is>
          <t>NW</t>
        </is>
      </c>
      <c r="C747" t="n">
        <v>55.728603852728</v>
      </c>
      <c r="D747">
        <f>SUMPRODUCT(Risk_Inputs!B747:AJ747,Risk_Coefs!$B$2:$AJ$2)</f>
        <v/>
      </c>
      <c r="E747">
        <f>1/(1+EXP(-MAX(-25,MIN(25,D747))))</f>
        <v/>
      </c>
      <c r="F747">
        <f>SUMPRODUCT(Risk_Inputs!B747:AJ747,Risk_Coefs!$B$3:$AJ$3)</f>
        <v/>
      </c>
      <c r="G747">
        <f>MAX(0,F747)</f>
        <v/>
      </c>
      <c r="H747">
        <f>(SUMPRODUCT(--ISNUMBER($E$2:$E$800),--($E$2:$E$800&lt;E747))+(SUMPRODUCT(--ISNUMBER($E$2:$E$800),--($E$2:$E$800=E747))+1)/2)/COUNT($E$2:$E$800)</f>
        <v/>
      </c>
      <c r="I747">
        <f>(SUMPRODUCT(--ISNUMBER($G$2:$G$800),--($G$2:$G$800&lt;G747))+(SUMPRODUCT(--ISNUMBER($G$2:$G$800),--($G$2:$G$800=G747))+1)/2)/COUNT($G$2:$G$800)</f>
        <v/>
      </c>
      <c r="M747">
        <f>IF(OR(B747="NW",COUNT(Risk_Rank_Keys!B747)=0),0.5,(SUMPRODUCT(--ISNUMBER(Risk_Rank_Keys!$B$2:$B$800),--(Risk_Rank_Keys!$B$2:$B$800&lt;Risk_Rank_Keys!B747))+(SUMPRODUCT(--ISNUMBER(Risk_Rank_Keys!$B$2:$B$800),--(Risk_Rank_Keys!$B$2:$B$800=Risk_Rank_Keys!B747))+1)/2)/COUNT(Risk_Rank_Keys!$B$2:$B$800))</f>
        <v/>
      </c>
      <c r="N747">
        <f>IF(OR(B747="NW",COUNT(Risk_Rank_Keys!C747)=0),0.5,(SUMPRODUCT(--ISNUMBER(Risk_Rank_Keys!$C$2:$C$800),--(Risk_Rank_Keys!$C$2:$C$800&lt;Risk_Rank_Keys!C747))+(SUMPRODUCT(--ISNUMBER(Risk_Rank_Keys!$C$2:$C$800),--(Risk_Rank_Keys!$C$2:$C$800=Risk_Rank_Keys!C747))+1)/2)/COUNT(Risk_Rank_Keys!$C$2:$C$800))</f>
        <v/>
      </c>
      <c r="O747">
        <f>IF(OR(B747="NW",COUNT(Risk_Rank_Keys!D747)=0),0.5,(SUMPRODUCT(--ISNUMBER(Risk_Rank_Keys!$D$2:$D$800),--(Risk_Rank_Keys!$D$2:$D$800&lt;Risk_Rank_Keys!D747))+(SUMPRODUCT(--ISNUMBER(Risk_Rank_Keys!$D$2:$D$800),--(Risk_Rank_Keys!$D$2:$D$800=Risk_Rank_Keys!D747))+1)/2)/COUNT(Risk_Rank_Keys!$D$2:$D$800))</f>
        <v/>
      </c>
      <c r="P747">
        <f>AVERAGE(M747:O747)</f>
        <v/>
      </c>
      <c r="Q747">
        <f>0.4*H747+0.4*I747+0.2*P747</f>
        <v/>
      </c>
      <c r="R747">
        <f>PERCENTILE($Q$2:$Q$800,0.75)</f>
        <v/>
      </c>
      <c r="S747">
        <f>OR(Q747&gt;=R747,AND(B747="CW",COUNT(J747:L747)&lt;3))</f>
        <v/>
      </c>
      <c r="T747" t="n">
        <v>0.4888337515994761</v>
      </c>
      <c r="U747" t="n">
        <v>18.1449188446752</v>
      </c>
      <c r="V747" t="n">
        <v>0.8949937421777222</v>
      </c>
      <c r="W747">
        <f>Q747-V747</f>
        <v/>
      </c>
    </row>
    <row r="748">
      <c r="A748" t="inlineStr">
        <is>
          <t>2026-03-27</t>
        </is>
      </c>
      <c r="B748" t="inlineStr">
        <is>
          <t>CW</t>
        </is>
      </c>
      <c r="C748" t="n">
        <v>71.40375288928453</v>
      </c>
      <c r="D748">
        <f>SUMPRODUCT(Risk_Inputs!B748:AJ748,Risk_Coefs!$B$2:$AJ$2)</f>
        <v/>
      </c>
      <c r="E748">
        <f>1/(1+EXP(-MAX(-25,MIN(25,D748))))</f>
        <v/>
      </c>
      <c r="F748">
        <f>SUMPRODUCT(Risk_Inputs!B748:AJ748,Risk_Coefs!$B$3:$AJ$3)</f>
        <v/>
      </c>
      <c r="G748">
        <f>MAX(0,F748)</f>
        <v/>
      </c>
      <c r="H748">
        <f>(SUMPRODUCT(--ISNUMBER($E$2:$E$800),--($E$2:$E$800&lt;E748))+(SUMPRODUCT(--ISNUMBER($E$2:$E$800),--($E$2:$E$800=E748))+1)/2)/COUNT($E$2:$E$800)</f>
        <v/>
      </c>
      <c r="I748">
        <f>(SUMPRODUCT(--ISNUMBER($G$2:$G$800),--($G$2:$G$800&lt;G748))+(SUMPRODUCT(--ISNUMBER($G$2:$G$800),--($G$2:$G$800=G748))+1)/2)/COUNT($G$2:$G$800)</f>
        <v/>
      </c>
      <c r="J748" t="n">
        <v>35.79053120683223</v>
      </c>
      <c r="K748" t="n">
        <v>9.972271736977611</v>
      </c>
      <c r="L748" t="n">
        <v>0.1782531194295967</v>
      </c>
      <c r="M748">
        <f>IF(OR(B748="NW",COUNT(Risk_Rank_Keys!B748)=0),0.5,(SUMPRODUCT(--ISNUMBER(Risk_Rank_Keys!$B$2:$B$800),--(Risk_Rank_Keys!$B$2:$B$800&lt;Risk_Rank_Keys!B748))+(SUMPRODUCT(--ISNUMBER(Risk_Rank_Keys!$B$2:$B$800),--(Risk_Rank_Keys!$B$2:$B$800=Risk_Rank_Keys!B748))+1)/2)/COUNT(Risk_Rank_Keys!$B$2:$B$800))</f>
        <v/>
      </c>
      <c r="N748">
        <f>IF(OR(B748="NW",COUNT(Risk_Rank_Keys!C748)=0),0.5,(SUMPRODUCT(--ISNUMBER(Risk_Rank_Keys!$C$2:$C$800),--(Risk_Rank_Keys!$C$2:$C$800&lt;Risk_Rank_Keys!C748))+(SUMPRODUCT(--ISNUMBER(Risk_Rank_Keys!$C$2:$C$800),--(Risk_Rank_Keys!$C$2:$C$800=Risk_Rank_Keys!C748))+1)/2)/COUNT(Risk_Rank_Keys!$C$2:$C$800))</f>
        <v/>
      </c>
      <c r="O748">
        <f>IF(OR(B748="NW",COUNT(Risk_Rank_Keys!D748)=0),0.5,(SUMPRODUCT(--ISNUMBER(Risk_Rank_Keys!$D$2:$D$800),--(Risk_Rank_Keys!$D$2:$D$800&lt;Risk_Rank_Keys!D748))+(SUMPRODUCT(--ISNUMBER(Risk_Rank_Keys!$D$2:$D$800),--(Risk_Rank_Keys!$D$2:$D$800=Risk_Rank_Keys!D748))+1)/2)/COUNT(Risk_Rank_Keys!$D$2:$D$800))</f>
        <v/>
      </c>
      <c r="P748">
        <f>AVERAGE(M748:O748)</f>
        <v/>
      </c>
      <c r="Q748">
        <f>0.4*H748+0.4*I748+0.2*P748</f>
        <v/>
      </c>
      <c r="R748">
        <f>PERCENTILE($Q$2:$Q$800,0.75)</f>
        <v/>
      </c>
      <c r="S748">
        <f>OR(Q748&gt;=R748,AND(B748="CW",COUNT(J748:L748)&lt;3))</f>
        <v/>
      </c>
      <c r="T748" t="n">
        <v>0.2608701726284196</v>
      </c>
      <c r="U748" t="n">
        <v>8.625034905535109</v>
      </c>
      <c r="V748" t="n">
        <v>0.5203385915332335</v>
      </c>
      <c r="W748">
        <f>Q748-V748</f>
        <v/>
      </c>
    </row>
    <row r="749">
      <c r="A749" t="inlineStr">
        <is>
          <t>2026-04-06</t>
        </is>
      </c>
      <c r="B749" t="inlineStr">
        <is>
          <t>CW</t>
        </is>
      </c>
      <c r="C749" t="n">
        <v>19.77418680340085</v>
      </c>
      <c r="D749">
        <f>SUMPRODUCT(Risk_Inputs!B749:AJ749,Risk_Coefs!$B$2:$AJ$2)</f>
        <v/>
      </c>
      <c r="E749">
        <f>1/(1+EXP(-MAX(-25,MIN(25,D749))))</f>
        <v/>
      </c>
      <c r="F749">
        <f>SUMPRODUCT(Risk_Inputs!B749:AJ749,Risk_Coefs!$B$3:$AJ$3)</f>
        <v/>
      </c>
      <c r="G749">
        <f>MAX(0,F749)</f>
        <v/>
      </c>
      <c r="H749">
        <f>(SUMPRODUCT(--ISNUMBER($E$2:$E$800),--($E$2:$E$800&lt;E749))+(SUMPRODUCT(--ISNUMBER($E$2:$E$800),--($E$2:$E$800=E749))+1)/2)/COUNT($E$2:$E$800)</f>
        <v/>
      </c>
      <c r="I749">
        <f>(SUMPRODUCT(--ISNUMBER($G$2:$G$800),--($G$2:$G$800&lt;G749))+(SUMPRODUCT(--ISNUMBER($G$2:$G$800),--($G$2:$G$800=G749))+1)/2)/COUNT($G$2:$G$800)</f>
        <v/>
      </c>
      <c r="J749" t="n">
        <v>11.53832577348604</v>
      </c>
      <c r="K749" t="n">
        <v>2.559144676979072</v>
      </c>
      <c r="L749" t="n">
        <v>0.1933575978161952</v>
      </c>
      <c r="M749">
        <f>IF(OR(B749="NW",COUNT(Risk_Rank_Keys!B749)=0),0.5,(SUMPRODUCT(--ISNUMBER(Risk_Rank_Keys!$B$2:$B$800),--(Risk_Rank_Keys!$B$2:$B$800&lt;Risk_Rank_Keys!B749))+(SUMPRODUCT(--ISNUMBER(Risk_Rank_Keys!$B$2:$B$800),--(Risk_Rank_Keys!$B$2:$B$800=Risk_Rank_Keys!B749))+1)/2)/COUNT(Risk_Rank_Keys!$B$2:$B$800))</f>
        <v/>
      </c>
      <c r="N749">
        <f>IF(OR(B749="NW",COUNT(Risk_Rank_Keys!C749)=0),0.5,(SUMPRODUCT(--ISNUMBER(Risk_Rank_Keys!$C$2:$C$800),--(Risk_Rank_Keys!$C$2:$C$800&lt;Risk_Rank_Keys!C749))+(SUMPRODUCT(--ISNUMBER(Risk_Rank_Keys!$C$2:$C$800),--(Risk_Rank_Keys!$C$2:$C$800=Risk_Rank_Keys!C749))+1)/2)/COUNT(Risk_Rank_Keys!$C$2:$C$800))</f>
        <v/>
      </c>
      <c r="O749">
        <f>IF(OR(B749="NW",COUNT(Risk_Rank_Keys!D749)=0),0.5,(SUMPRODUCT(--ISNUMBER(Risk_Rank_Keys!$D$2:$D$800),--(Risk_Rank_Keys!$D$2:$D$800&lt;Risk_Rank_Keys!D749))+(SUMPRODUCT(--ISNUMBER(Risk_Rank_Keys!$D$2:$D$800),--(Risk_Rank_Keys!$D$2:$D$800=Risk_Rank_Keys!D749))+1)/2)/COUNT(Risk_Rank_Keys!$D$2:$D$800))</f>
        <v/>
      </c>
      <c r="P749">
        <f>AVERAGE(M749:O749)</f>
        <v/>
      </c>
      <c r="Q749">
        <f>0.4*H749+0.4*I749+0.2*P749</f>
        <v/>
      </c>
      <c r="R749">
        <f>PERCENTILE($Q$2:$Q$800,0.75)</f>
        <v/>
      </c>
      <c r="S749">
        <f>OR(Q749&gt;=R749,AND(B749="CW",COUNT(J749:L749)&lt;3))</f>
        <v/>
      </c>
      <c r="T749" t="n">
        <v>0.3791814323777677</v>
      </c>
      <c r="U749" t="n">
        <v>12.63094214100907</v>
      </c>
      <c r="V749" t="n">
        <v>0.8205459055339397</v>
      </c>
      <c r="W749">
        <f>Q749-V749</f>
        <v/>
      </c>
    </row>
    <row r="750">
      <c r="A750" t="inlineStr">
        <is>
          <t>2026-04-07</t>
        </is>
      </c>
      <c r="B750" t="inlineStr">
        <is>
          <t>NW</t>
        </is>
      </c>
      <c r="C750" t="n">
        <v>21.96818288573418</v>
      </c>
      <c r="D750">
        <f>SUMPRODUCT(Risk_Inputs!B750:AJ750,Risk_Coefs!$B$2:$AJ$2)</f>
        <v/>
      </c>
      <c r="E750">
        <f>1/(1+EXP(-MAX(-25,MIN(25,D750))))</f>
        <v/>
      </c>
      <c r="F750">
        <f>SUMPRODUCT(Risk_Inputs!B750:AJ750,Risk_Coefs!$B$3:$AJ$3)</f>
        <v/>
      </c>
      <c r="G750">
        <f>MAX(0,F750)</f>
        <v/>
      </c>
      <c r="H750">
        <f>(SUMPRODUCT(--ISNUMBER($E$2:$E$800),--($E$2:$E$800&lt;E750))+(SUMPRODUCT(--ISNUMBER($E$2:$E$800),--($E$2:$E$800=E750))+1)/2)/COUNT($E$2:$E$800)</f>
        <v/>
      </c>
      <c r="I750">
        <f>(SUMPRODUCT(--ISNUMBER($G$2:$G$800),--($G$2:$G$800&lt;G750))+(SUMPRODUCT(--ISNUMBER($G$2:$G$800),--($G$2:$G$800=G750))+1)/2)/COUNT($G$2:$G$800)</f>
        <v/>
      </c>
      <c r="M750">
        <f>IF(OR(B750="NW",COUNT(Risk_Rank_Keys!B750)=0),0.5,(SUMPRODUCT(--ISNUMBER(Risk_Rank_Keys!$B$2:$B$800),--(Risk_Rank_Keys!$B$2:$B$800&lt;Risk_Rank_Keys!B750))+(SUMPRODUCT(--ISNUMBER(Risk_Rank_Keys!$B$2:$B$800),--(Risk_Rank_Keys!$B$2:$B$800=Risk_Rank_Keys!B750))+1)/2)/COUNT(Risk_Rank_Keys!$B$2:$B$800))</f>
        <v/>
      </c>
      <c r="N750">
        <f>IF(OR(B750="NW",COUNT(Risk_Rank_Keys!C750)=0),0.5,(SUMPRODUCT(--ISNUMBER(Risk_Rank_Keys!$C$2:$C$800),--(Risk_Rank_Keys!$C$2:$C$800&lt;Risk_Rank_Keys!C750))+(SUMPRODUCT(--ISNUMBER(Risk_Rank_Keys!$C$2:$C$800),--(Risk_Rank_Keys!$C$2:$C$800=Risk_Rank_Keys!C750))+1)/2)/COUNT(Risk_Rank_Keys!$C$2:$C$800))</f>
        <v/>
      </c>
      <c r="O750">
        <f>IF(OR(B750="NW",COUNT(Risk_Rank_Keys!D750)=0),0.5,(SUMPRODUCT(--ISNUMBER(Risk_Rank_Keys!$D$2:$D$800),--(Risk_Rank_Keys!$D$2:$D$800&lt;Risk_Rank_Keys!D750))+(SUMPRODUCT(--ISNUMBER(Risk_Rank_Keys!$D$2:$D$800),--(Risk_Rank_Keys!$D$2:$D$800=Risk_Rank_Keys!D750))+1)/2)/COUNT(Risk_Rank_Keys!$D$2:$D$800))</f>
        <v/>
      </c>
      <c r="P750">
        <f>AVERAGE(M750:O750)</f>
        <v/>
      </c>
      <c r="Q750">
        <f>0.4*H750+0.4*I750+0.2*P750</f>
        <v/>
      </c>
      <c r="R750">
        <f>PERCENTILE($Q$2:$Q$800,0.75)</f>
        <v/>
      </c>
      <c r="S750">
        <f>OR(Q750&gt;=R750,AND(B750="CW",COUNT(J750:L750)&lt;3))</f>
        <v/>
      </c>
      <c r="T750" t="n">
        <v>0.4920409774917739</v>
      </c>
      <c r="U750" t="n">
        <v>18.63334243636708</v>
      </c>
      <c r="V750" t="n">
        <v>0.8959949937421777</v>
      </c>
      <c r="W750">
        <f>Q750-V750</f>
        <v/>
      </c>
    </row>
    <row r="751">
      <c r="A751" t="inlineStr">
        <is>
          <t>2026-04-13</t>
        </is>
      </c>
      <c r="B751" t="inlineStr">
        <is>
          <t>CW</t>
        </is>
      </c>
      <c r="C751" t="n">
        <v>13.86799925228275</v>
      </c>
      <c r="D751">
        <f>SUMPRODUCT(Risk_Inputs!B751:AJ751,Risk_Coefs!$B$2:$AJ$2)</f>
        <v/>
      </c>
      <c r="E751">
        <f>1/(1+EXP(-MAX(-25,MIN(25,D751))))</f>
        <v/>
      </c>
      <c r="F751">
        <f>SUMPRODUCT(Risk_Inputs!B751:AJ751,Risk_Coefs!$B$3:$AJ$3)</f>
        <v/>
      </c>
      <c r="G751">
        <f>MAX(0,F751)</f>
        <v/>
      </c>
      <c r="H751">
        <f>(SUMPRODUCT(--ISNUMBER($E$2:$E$800),--($E$2:$E$800&lt;E751))+(SUMPRODUCT(--ISNUMBER($E$2:$E$800),--($E$2:$E$800=E751))+1)/2)/COUNT($E$2:$E$800)</f>
        <v/>
      </c>
      <c r="I751">
        <f>(SUMPRODUCT(--ISNUMBER($G$2:$G$800),--($G$2:$G$800&lt;G751))+(SUMPRODUCT(--ISNUMBER($G$2:$G$800),--($G$2:$G$800=G751))+1)/2)/COUNT($G$2:$G$800)</f>
        <v/>
      </c>
      <c r="J751" t="n">
        <v>8.543493377201727</v>
      </c>
      <c r="K751" t="n">
        <v>3.926553672316393</v>
      </c>
      <c r="L751" t="n">
        <v>0.2542372881355948</v>
      </c>
      <c r="M751">
        <f>IF(OR(B751="NW",COUNT(Risk_Rank_Keys!B751)=0),0.5,(SUMPRODUCT(--ISNUMBER(Risk_Rank_Keys!$B$2:$B$800),--(Risk_Rank_Keys!$B$2:$B$800&lt;Risk_Rank_Keys!B751))+(SUMPRODUCT(--ISNUMBER(Risk_Rank_Keys!$B$2:$B$800),--(Risk_Rank_Keys!$B$2:$B$800=Risk_Rank_Keys!B751))+1)/2)/COUNT(Risk_Rank_Keys!$B$2:$B$800))</f>
        <v/>
      </c>
      <c r="N751">
        <f>IF(OR(B751="NW",COUNT(Risk_Rank_Keys!C751)=0),0.5,(SUMPRODUCT(--ISNUMBER(Risk_Rank_Keys!$C$2:$C$800),--(Risk_Rank_Keys!$C$2:$C$800&lt;Risk_Rank_Keys!C751))+(SUMPRODUCT(--ISNUMBER(Risk_Rank_Keys!$C$2:$C$800),--(Risk_Rank_Keys!$C$2:$C$800=Risk_Rank_Keys!C751))+1)/2)/COUNT(Risk_Rank_Keys!$C$2:$C$800))</f>
        <v/>
      </c>
      <c r="O751">
        <f>IF(OR(B751="NW",COUNT(Risk_Rank_Keys!D751)=0),0.5,(SUMPRODUCT(--ISNUMBER(Risk_Rank_Keys!$D$2:$D$800),--(Risk_Rank_Keys!$D$2:$D$800&lt;Risk_Rank_Keys!D751))+(SUMPRODUCT(--ISNUMBER(Risk_Rank_Keys!$D$2:$D$800),--(Risk_Rank_Keys!$D$2:$D$800=Risk_Rank_Keys!D751))+1)/2)/COUNT(Risk_Rank_Keys!$D$2:$D$800))</f>
        <v/>
      </c>
      <c r="P751">
        <f>AVERAGE(M751:O751)</f>
        <v/>
      </c>
      <c r="Q751">
        <f>0.4*H751+0.4*I751+0.2*P751</f>
        <v/>
      </c>
      <c r="R751">
        <f>PERCENTILE($Q$2:$Q$800,0.75)</f>
        <v/>
      </c>
      <c r="S751">
        <f>OR(Q751&gt;=R751,AND(B751="CW",COUNT(J751:L751)&lt;3))</f>
        <v/>
      </c>
      <c r="T751" t="n">
        <v>0.3257414920510722</v>
      </c>
      <c r="U751" t="n">
        <v>4.924222085431045</v>
      </c>
      <c r="V751" t="n">
        <v>0.4442773364427524</v>
      </c>
      <c r="W751">
        <f>Q751-V751</f>
        <v/>
      </c>
    </row>
    <row r="752">
      <c r="A752" t="inlineStr">
        <is>
          <t>2026-04-17</t>
        </is>
      </c>
      <c r="B752" t="inlineStr">
        <is>
          <t>CW</t>
        </is>
      </c>
      <c r="C752" t="n">
        <v>2.814293057052748</v>
      </c>
      <c r="D752">
        <f>SUMPRODUCT(Risk_Inputs!B752:AJ752,Risk_Coefs!$B$2:$AJ$2)</f>
        <v/>
      </c>
      <c r="E752">
        <f>1/(1+EXP(-MAX(-25,MIN(25,D752))))</f>
        <v/>
      </c>
      <c r="F752">
        <f>SUMPRODUCT(Risk_Inputs!B752:AJ752,Risk_Coefs!$B$3:$AJ$3)</f>
        <v/>
      </c>
      <c r="G752">
        <f>MAX(0,F752)</f>
        <v/>
      </c>
      <c r="H752">
        <f>(SUMPRODUCT(--ISNUMBER($E$2:$E$800),--($E$2:$E$800&lt;E752))+(SUMPRODUCT(--ISNUMBER($E$2:$E$800),--($E$2:$E$800=E752))+1)/2)/COUNT($E$2:$E$800)</f>
        <v/>
      </c>
      <c r="I752">
        <f>(SUMPRODUCT(--ISNUMBER($G$2:$G$800),--($G$2:$G$800&lt;G752))+(SUMPRODUCT(--ISNUMBER($G$2:$G$800),--($G$2:$G$800=G752))+1)/2)/COUNT($G$2:$G$800)</f>
        <v/>
      </c>
      <c r="J752" t="n">
        <v>23.03904217200475</v>
      </c>
      <c r="K752" t="n">
        <v>3.080466388369093</v>
      </c>
      <c r="L752" t="n">
        <v>0.0863682164963244</v>
      </c>
      <c r="M752">
        <f>IF(OR(B752="NW",COUNT(Risk_Rank_Keys!B752)=0),0.5,(SUMPRODUCT(--ISNUMBER(Risk_Rank_Keys!$B$2:$B$800),--(Risk_Rank_Keys!$B$2:$B$800&lt;Risk_Rank_Keys!B752))+(SUMPRODUCT(--ISNUMBER(Risk_Rank_Keys!$B$2:$B$800),--(Risk_Rank_Keys!$B$2:$B$800=Risk_Rank_Keys!B752))+1)/2)/COUNT(Risk_Rank_Keys!$B$2:$B$800))</f>
        <v/>
      </c>
      <c r="N752">
        <f>IF(OR(B752="NW",COUNT(Risk_Rank_Keys!C752)=0),0.5,(SUMPRODUCT(--ISNUMBER(Risk_Rank_Keys!$C$2:$C$800),--(Risk_Rank_Keys!$C$2:$C$800&lt;Risk_Rank_Keys!C752))+(SUMPRODUCT(--ISNUMBER(Risk_Rank_Keys!$C$2:$C$800),--(Risk_Rank_Keys!$C$2:$C$800=Risk_Rank_Keys!C752))+1)/2)/COUNT(Risk_Rank_Keys!$C$2:$C$800))</f>
        <v/>
      </c>
      <c r="O752">
        <f>IF(OR(B752="NW",COUNT(Risk_Rank_Keys!D752)=0),0.5,(SUMPRODUCT(--ISNUMBER(Risk_Rank_Keys!$D$2:$D$800),--(Risk_Rank_Keys!$D$2:$D$800&lt;Risk_Rank_Keys!D752))+(SUMPRODUCT(--ISNUMBER(Risk_Rank_Keys!$D$2:$D$800),--(Risk_Rank_Keys!$D$2:$D$800=Risk_Rank_Keys!D752))+1)/2)/COUNT(Risk_Rank_Keys!$D$2:$D$800))</f>
        <v/>
      </c>
      <c r="P752">
        <f>AVERAGE(M752:O752)</f>
        <v/>
      </c>
      <c r="Q752">
        <f>0.4*H752+0.4*I752+0.2*P752</f>
        <v/>
      </c>
      <c r="R752">
        <f>PERCENTILE($Q$2:$Q$800,0.75)</f>
        <v/>
      </c>
      <c r="S752">
        <f>OR(Q752&gt;=R752,AND(B752="CW",COUNT(J752:L752)&lt;3))</f>
        <v/>
      </c>
      <c r="T752" t="n">
        <v>0.2844765378065676</v>
      </c>
      <c r="U752" t="n">
        <v>7.551437733826201</v>
      </c>
      <c r="V752" t="n">
        <v>0.4781325331699492</v>
      </c>
      <c r="W752">
        <f>Q752-V752</f>
        <v/>
      </c>
    </row>
    <row r="753">
      <c r="A753" t="inlineStr">
        <is>
          <t>2026-04-20</t>
        </is>
      </c>
      <c r="B753" t="inlineStr">
        <is>
          <t>CW</t>
        </is>
      </c>
      <c r="C753" t="n">
        <v>-39.93100238550339</v>
      </c>
      <c r="D753">
        <f>SUMPRODUCT(Risk_Inputs!B753:AJ753,Risk_Coefs!$B$2:$AJ$2)</f>
        <v/>
      </c>
      <c r="E753">
        <f>1/(1+EXP(-MAX(-25,MIN(25,D753))))</f>
        <v/>
      </c>
      <c r="F753">
        <f>SUMPRODUCT(Risk_Inputs!B753:AJ753,Risk_Coefs!$B$3:$AJ$3)</f>
        <v/>
      </c>
      <c r="G753">
        <f>MAX(0,F753)</f>
        <v/>
      </c>
      <c r="H753">
        <f>(SUMPRODUCT(--ISNUMBER($E$2:$E$800),--($E$2:$E$800&lt;E753))+(SUMPRODUCT(--ISNUMBER($E$2:$E$800),--($E$2:$E$800=E753))+1)/2)/COUNT($E$2:$E$800)</f>
        <v/>
      </c>
      <c r="I753">
        <f>(SUMPRODUCT(--ISNUMBER($G$2:$G$800),--($G$2:$G$800&lt;G753))+(SUMPRODUCT(--ISNUMBER($G$2:$G$800),--($G$2:$G$800=G753))+1)/2)/COUNT($G$2:$G$800)</f>
        <v/>
      </c>
      <c r="J753" t="n">
        <v>19.40883411009817</v>
      </c>
      <c r="K753" t="n">
        <v>3.997799376489998</v>
      </c>
      <c r="L753" t="n">
        <v>0.2750779387493123</v>
      </c>
      <c r="M753">
        <f>IF(OR(B753="NW",COUNT(Risk_Rank_Keys!B753)=0),0.5,(SUMPRODUCT(--ISNUMBER(Risk_Rank_Keys!$B$2:$B$800),--(Risk_Rank_Keys!$B$2:$B$800&lt;Risk_Rank_Keys!B753))+(SUMPRODUCT(--ISNUMBER(Risk_Rank_Keys!$B$2:$B$800),--(Risk_Rank_Keys!$B$2:$B$800=Risk_Rank_Keys!B753))+1)/2)/COUNT(Risk_Rank_Keys!$B$2:$B$800))</f>
        <v/>
      </c>
      <c r="N753">
        <f>IF(OR(B753="NW",COUNT(Risk_Rank_Keys!C753)=0),0.5,(SUMPRODUCT(--ISNUMBER(Risk_Rank_Keys!$C$2:$C$800),--(Risk_Rank_Keys!$C$2:$C$800&lt;Risk_Rank_Keys!C753))+(SUMPRODUCT(--ISNUMBER(Risk_Rank_Keys!$C$2:$C$800),--(Risk_Rank_Keys!$C$2:$C$800=Risk_Rank_Keys!C753))+1)/2)/COUNT(Risk_Rank_Keys!$C$2:$C$800))</f>
        <v/>
      </c>
      <c r="O753">
        <f>IF(OR(B753="NW",COUNT(Risk_Rank_Keys!D753)=0),0.5,(SUMPRODUCT(--ISNUMBER(Risk_Rank_Keys!$D$2:$D$800),--(Risk_Rank_Keys!$D$2:$D$800&lt;Risk_Rank_Keys!D753))+(SUMPRODUCT(--ISNUMBER(Risk_Rank_Keys!$D$2:$D$800),--(Risk_Rank_Keys!$D$2:$D$800=Risk_Rank_Keys!D753))+1)/2)/COUNT(Risk_Rank_Keys!$D$2:$D$800))</f>
        <v/>
      </c>
      <c r="P753">
        <f>AVERAGE(M753:O753)</f>
        <v/>
      </c>
      <c r="Q753">
        <f>0.4*H753+0.4*I753+0.2*P753</f>
        <v/>
      </c>
      <c r="R753">
        <f>PERCENTILE($Q$2:$Q$800,0.75)</f>
        <v/>
      </c>
      <c r="S753">
        <f>OR(Q753&gt;=R753,AND(B753="CW",COUNT(J753:L753)&lt;3))</f>
        <v/>
      </c>
      <c r="T753" t="n">
        <v>0.2867936619540866</v>
      </c>
      <c r="U753" t="n">
        <v>7.61723647242244</v>
      </c>
      <c r="V753" t="n">
        <v>0.5387403710705329</v>
      </c>
      <c r="W753">
        <f>Q753-V753</f>
        <v/>
      </c>
    </row>
    <row r="754">
      <c r="A754" t="inlineStr">
        <is>
          <t>2026-04-21</t>
        </is>
      </c>
      <c r="B754" t="inlineStr">
        <is>
          <t>NW</t>
        </is>
      </c>
      <c r="C754" t="n">
        <v>19.47878869835166</v>
      </c>
      <c r="D754">
        <f>SUMPRODUCT(Risk_Inputs!B754:AJ754,Risk_Coefs!$B$2:$AJ$2)</f>
        <v/>
      </c>
      <c r="E754">
        <f>1/(1+EXP(-MAX(-25,MIN(25,D754))))</f>
        <v/>
      </c>
      <c r="F754">
        <f>SUMPRODUCT(Risk_Inputs!B754:AJ754,Risk_Coefs!$B$3:$AJ$3)</f>
        <v/>
      </c>
      <c r="G754">
        <f>MAX(0,F754)</f>
        <v/>
      </c>
      <c r="H754">
        <f>(SUMPRODUCT(--ISNUMBER($E$2:$E$800),--($E$2:$E$800&lt;E754))+(SUMPRODUCT(--ISNUMBER($E$2:$E$800),--($E$2:$E$800=E754))+1)/2)/COUNT($E$2:$E$800)</f>
        <v/>
      </c>
      <c r="I754">
        <f>(SUMPRODUCT(--ISNUMBER($G$2:$G$800),--($G$2:$G$800&lt;G754))+(SUMPRODUCT(--ISNUMBER($G$2:$G$800),--($G$2:$G$800=G754))+1)/2)/COUNT($G$2:$G$800)</f>
        <v/>
      </c>
      <c r="M754">
        <f>IF(OR(B754="NW",COUNT(Risk_Rank_Keys!B754)=0),0.5,(SUMPRODUCT(--ISNUMBER(Risk_Rank_Keys!$B$2:$B$800),--(Risk_Rank_Keys!$B$2:$B$800&lt;Risk_Rank_Keys!B754))+(SUMPRODUCT(--ISNUMBER(Risk_Rank_Keys!$B$2:$B$800),--(Risk_Rank_Keys!$B$2:$B$800=Risk_Rank_Keys!B754))+1)/2)/COUNT(Risk_Rank_Keys!$B$2:$B$800))</f>
        <v/>
      </c>
      <c r="N754">
        <f>IF(OR(B754="NW",COUNT(Risk_Rank_Keys!C754)=0),0.5,(SUMPRODUCT(--ISNUMBER(Risk_Rank_Keys!$C$2:$C$800),--(Risk_Rank_Keys!$C$2:$C$800&lt;Risk_Rank_Keys!C754))+(SUMPRODUCT(--ISNUMBER(Risk_Rank_Keys!$C$2:$C$800),--(Risk_Rank_Keys!$C$2:$C$800=Risk_Rank_Keys!C754))+1)/2)/COUNT(Risk_Rank_Keys!$C$2:$C$800))</f>
        <v/>
      </c>
      <c r="O754">
        <f>IF(OR(B754="NW",COUNT(Risk_Rank_Keys!D754)=0),0.5,(SUMPRODUCT(--ISNUMBER(Risk_Rank_Keys!$D$2:$D$800),--(Risk_Rank_Keys!$D$2:$D$800&lt;Risk_Rank_Keys!D754))+(SUMPRODUCT(--ISNUMBER(Risk_Rank_Keys!$D$2:$D$800),--(Risk_Rank_Keys!$D$2:$D$800=Risk_Rank_Keys!D754))+1)/2)/COUNT(Risk_Rank_Keys!$D$2:$D$800))</f>
        <v/>
      </c>
      <c r="P754">
        <f>AVERAGE(M754:O754)</f>
        <v/>
      </c>
      <c r="Q754">
        <f>0.4*H754+0.4*I754+0.2*P754</f>
        <v/>
      </c>
      <c r="R754">
        <f>PERCENTILE($Q$2:$Q$800,0.75)</f>
        <v/>
      </c>
      <c r="S754">
        <f>OR(Q754&gt;=R754,AND(B754="CW",COUNT(J754:L754)&lt;3))</f>
        <v/>
      </c>
      <c r="T754" t="n">
        <v>0.3862742603471572</v>
      </c>
      <c r="U754" t="n">
        <v>11.75699825432994</v>
      </c>
      <c r="V754" t="n">
        <v>0.8314142678347934</v>
      </c>
      <c r="W754">
        <f>Q754-V754</f>
        <v/>
      </c>
    </row>
    <row r="755">
      <c r="A755" t="inlineStr">
        <is>
          <t>2026-04-22</t>
        </is>
      </c>
      <c r="B755" t="inlineStr">
        <is>
          <t>CW</t>
        </is>
      </c>
      <c r="C755" t="n">
        <v>16.71197099405046</v>
      </c>
      <c r="D755">
        <f>SUMPRODUCT(Risk_Inputs!B755:AJ755,Risk_Coefs!$B$2:$AJ$2)</f>
        <v/>
      </c>
      <c r="E755">
        <f>1/(1+EXP(-MAX(-25,MIN(25,D755))))</f>
        <v/>
      </c>
      <c r="F755">
        <f>SUMPRODUCT(Risk_Inputs!B755:AJ755,Risk_Coefs!$B$3:$AJ$3)</f>
        <v/>
      </c>
      <c r="G755">
        <f>MAX(0,F755)</f>
        <v/>
      </c>
      <c r="H755">
        <f>(SUMPRODUCT(--ISNUMBER($E$2:$E$800),--($E$2:$E$800&lt;E755))+(SUMPRODUCT(--ISNUMBER($E$2:$E$800),--($E$2:$E$800=E755))+1)/2)/COUNT($E$2:$E$800)</f>
        <v/>
      </c>
      <c r="I755">
        <f>(SUMPRODUCT(--ISNUMBER($G$2:$G$800),--($G$2:$G$800&lt;G755))+(SUMPRODUCT(--ISNUMBER($G$2:$G$800),--($G$2:$G$800=G755))+1)/2)/COUNT($G$2:$G$800)</f>
        <v/>
      </c>
      <c r="J755" t="n">
        <v>12.7076744547135</v>
      </c>
      <c r="K755" t="n">
        <v>2.552376900989046</v>
      </c>
      <c r="L755" t="n">
        <v>0.2020631713283031</v>
      </c>
      <c r="M755">
        <f>IF(OR(B755="NW",COUNT(Risk_Rank_Keys!B755)=0),0.5,(SUMPRODUCT(--ISNUMBER(Risk_Rank_Keys!$B$2:$B$800),--(Risk_Rank_Keys!$B$2:$B$800&lt;Risk_Rank_Keys!B755))+(SUMPRODUCT(--ISNUMBER(Risk_Rank_Keys!$B$2:$B$800),--(Risk_Rank_Keys!$B$2:$B$800=Risk_Rank_Keys!B755))+1)/2)/COUNT(Risk_Rank_Keys!$B$2:$B$800))</f>
        <v/>
      </c>
      <c r="N755">
        <f>IF(OR(B755="NW",COUNT(Risk_Rank_Keys!C755)=0),0.5,(SUMPRODUCT(--ISNUMBER(Risk_Rank_Keys!$C$2:$C$800),--(Risk_Rank_Keys!$C$2:$C$800&lt;Risk_Rank_Keys!C755))+(SUMPRODUCT(--ISNUMBER(Risk_Rank_Keys!$C$2:$C$800),--(Risk_Rank_Keys!$C$2:$C$800=Risk_Rank_Keys!C755))+1)/2)/COUNT(Risk_Rank_Keys!$C$2:$C$800))</f>
        <v/>
      </c>
      <c r="O755">
        <f>IF(OR(B755="NW",COUNT(Risk_Rank_Keys!D755)=0),0.5,(SUMPRODUCT(--ISNUMBER(Risk_Rank_Keys!$D$2:$D$800),--(Risk_Rank_Keys!$D$2:$D$800&lt;Risk_Rank_Keys!D755))+(SUMPRODUCT(--ISNUMBER(Risk_Rank_Keys!$D$2:$D$800),--(Risk_Rank_Keys!$D$2:$D$800=Risk_Rank_Keys!D755))+1)/2)/COUNT(Risk_Rank_Keys!$D$2:$D$800))</f>
        <v/>
      </c>
      <c r="P755">
        <f>AVERAGE(M755:O755)</f>
        <v/>
      </c>
      <c r="Q755">
        <f>0.4*H755+0.4*I755+0.2*P755</f>
        <v/>
      </c>
      <c r="R755">
        <f>PERCENTILE($Q$2:$Q$800,0.75)</f>
        <v/>
      </c>
      <c r="S755">
        <f>OR(Q755&gt;=R755,AND(B755="CW",COUNT(J755:L755)&lt;3))</f>
        <v/>
      </c>
      <c r="T755" t="n">
        <v>0.2763198770299021</v>
      </c>
      <c r="U755" t="n">
        <v>6.180896838553397</v>
      </c>
      <c r="V755" t="n">
        <v>0.3803103484190198</v>
      </c>
      <c r="W755">
        <f>Q755-V755</f>
        <v/>
      </c>
    </row>
    <row r="756">
      <c r="A756" t="inlineStr">
        <is>
          <t>2026-04-23</t>
        </is>
      </c>
      <c r="B756" t="inlineStr">
        <is>
          <t>CW</t>
        </is>
      </c>
      <c r="C756" t="n">
        <v>35.61117961907052</v>
      </c>
      <c r="D756">
        <f>SUMPRODUCT(Risk_Inputs!B756:AJ756,Risk_Coefs!$B$2:$AJ$2)</f>
        <v/>
      </c>
      <c r="E756">
        <f>1/(1+EXP(-MAX(-25,MIN(25,D756))))</f>
        <v/>
      </c>
      <c r="F756">
        <f>SUMPRODUCT(Risk_Inputs!B756:AJ756,Risk_Coefs!$B$3:$AJ$3)</f>
        <v/>
      </c>
      <c r="G756">
        <f>MAX(0,F756)</f>
        <v/>
      </c>
      <c r="H756">
        <f>(SUMPRODUCT(--ISNUMBER($E$2:$E$800),--($E$2:$E$800&lt;E756))+(SUMPRODUCT(--ISNUMBER($E$2:$E$800),--($E$2:$E$800=E756))+1)/2)/COUNT($E$2:$E$800)</f>
        <v/>
      </c>
      <c r="I756">
        <f>(SUMPRODUCT(--ISNUMBER($G$2:$G$800),--($G$2:$G$800&lt;G756))+(SUMPRODUCT(--ISNUMBER($G$2:$G$800),--($G$2:$G$800=G756))+1)/2)/COUNT($G$2:$G$800)</f>
        <v/>
      </c>
      <c r="J756" t="n">
        <v>5.420457883869191</v>
      </c>
      <c r="K756" t="n">
        <v>1.331153666510974</v>
      </c>
      <c r="L756" t="n">
        <v>0.2101821578701554</v>
      </c>
      <c r="M756">
        <f>IF(OR(B756="NW",COUNT(Risk_Rank_Keys!B756)=0),0.5,(SUMPRODUCT(--ISNUMBER(Risk_Rank_Keys!$B$2:$B$800),--(Risk_Rank_Keys!$B$2:$B$800&lt;Risk_Rank_Keys!B756))+(SUMPRODUCT(--ISNUMBER(Risk_Rank_Keys!$B$2:$B$800),--(Risk_Rank_Keys!$B$2:$B$800=Risk_Rank_Keys!B756))+1)/2)/COUNT(Risk_Rank_Keys!$B$2:$B$800))</f>
        <v/>
      </c>
      <c r="N756">
        <f>IF(OR(B756="NW",COUNT(Risk_Rank_Keys!C756)=0),0.5,(SUMPRODUCT(--ISNUMBER(Risk_Rank_Keys!$C$2:$C$800),--(Risk_Rank_Keys!$C$2:$C$800&lt;Risk_Rank_Keys!C756))+(SUMPRODUCT(--ISNUMBER(Risk_Rank_Keys!$C$2:$C$800),--(Risk_Rank_Keys!$C$2:$C$800=Risk_Rank_Keys!C756))+1)/2)/COUNT(Risk_Rank_Keys!$C$2:$C$800))</f>
        <v/>
      </c>
      <c r="O756">
        <f>IF(OR(B756="NW",COUNT(Risk_Rank_Keys!D756)=0),0.5,(SUMPRODUCT(--ISNUMBER(Risk_Rank_Keys!$D$2:$D$800),--(Risk_Rank_Keys!$D$2:$D$800&lt;Risk_Rank_Keys!D756))+(SUMPRODUCT(--ISNUMBER(Risk_Rank_Keys!$D$2:$D$800),--(Risk_Rank_Keys!$D$2:$D$800=Risk_Rank_Keys!D756))+1)/2)/COUNT(Risk_Rank_Keys!$D$2:$D$800))</f>
        <v/>
      </c>
      <c r="P756">
        <f>AVERAGE(M756:O756)</f>
        <v/>
      </c>
      <c r="Q756">
        <f>0.4*H756+0.4*I756+0.2*P756</f>
        <v/>
      </c>
      <c r="R756">
        <f>PERCENTILE($Q$2:$Q$800,0.75)</f>
        <v/>
      </c>
      <c r="S756">
        <f>OR(Q756&gt;=R756,AND(B756="CW",COUNT(J756:L756)&lt;3))</f>
        <v/>
      </c>
      <c r="T756" t="n">
        <v>0.3570748676706852</v>
      </c>
      <c r="U756" t="n">
        <v>7.417678950727185</v>
      </c>
      <c r="V756" t="n">
        <v>0.561769506164435</v>
      </c>
      <c r="W756">
        <f>Q756-V756</f>
        <v/>
      </c>
    </row>
    <row r="757">
      <c r="A757" t="inlineStr">
        <is>
          <t>2026-04-27</t>
        </is>
      </c>
      <c r="B757" t="inlineStr">
        <is>
          <t>NW</t>
        </is>
      </c>
      <c r="C757" t="n">
        <v>50.11044949797881</v>
      </c>
      <c r="D757">
        <f>SUMPRODUCT(Risk_Inputs!B757:AJ757,Risk_Coefs!$B$2:$AJ$2)</f>
        <v/>
      </c>
      <c r="E757">
        <f>1/(1+EXP(-MAX(-25,MIN(25,D757))))</f>
        <v/>
      </c>
      <c r="F757">
        <f>SUMPRODUCT(Risk_Inputs!B757:AJ757,Risk_Coefs!$B$3:$AJ$3)</f>
        <v/>
      </c>
      <c r="G757">
        <f>MAX(0,F757)</f>
        <v/>
      </c>
      <c r="H757">
        <f>(SUMPRODUCT(--ISNUMBER($E$2:$E$800),--($E$2:$E$800&lt;E757))+(SUMPRODUCT(--ISNUMBER($E$2:$E$800),--($E$2:$E$800=E757))+1)/2)/COUNT($E$2:$E$800)</f>
        <v/>
      </c>
      <c r="I757">
        <f>(SUMPRODUCT(--ISNUMBER($G$2:$G$800),--($G$2:$G$800&lt;G757))+(SUMPRODUCT(--ISNUMBER($G$2:$G$800),--($G$2:$G$800=G757))+1)/2)/COUNT($G$2:$G$800)</f>
        <v/>
      </c>
      <c r="M757">
        <f>IF(OR(B757="NW",COUNT(Risk_Rank_Keys!B757)=0),0.5,(SUMPRODUCT(--ISNUMBER(Risk_Rank_Keys!$B$2:$B$800),--(Risk_Rank_Keys!$B$2:$B$800&lt;Risk_Rank_Keys!B757))+(SUMPRODUCT(--ISNUMBER(Risk_Rank_Keys!$B$2:$B$800),--(Risk_Rank_Keys!$B$2:$B$800=Risk_Rank_Keys!B757))+1)/2)/COUNT(Risk_Rank_Keys!$B$2:$B$800))</f>
        <v/>
      </c>
      <c r="N757">
        <f>IF(OR(B757="NW",COUNT(Risk_Rank_Keys!C757)=0),0.5,(SUMPRODUCT(--ISNUMBER(Risk_Rank_Keys!$C$2:$C$800),--(Risk_Rank_Keys!$C$2:$C$800&lt;Risk_Rank_Keys!C757))+(SUMPRODUCT(--ISNUMBER(Risk_Rank_Keys!$C$2:$C$800),--(Risk_Rank_Keys!$C$2:$C$800=Risk_Rank_Keys!C757))+1)/2)/COUNT(Risk_Rank_Keys!$C$2:$C$800))</f>
        <v/>
      </c>
      <c r="O757">
        <f>IF(OR(B757="NW",COUNT(Risk_Rank_Keys!D757)=0),0.5,(SUMPRODUCT(--ISNUMBER(Risk_Rank_Keys!$D$2:$D$800),--(Risk_Rank_Keys!$D$2:$D$800&lt;Risk_Rank_Keys!D757))+(SUMPRODUCT(--ISNUMBER(Risk_Rank_Keys!$D$2:$D$800),--(Risk_Rank_Keys!$D$2:$D$800=Risk_Rank_Keys!D757))+1)/2)/COUNT(Risk_Rank_Keys!$D$2:$D$800))</f>
        <v/>
      </c>
      <c r="P757">
        <f>AVERAGE(M757:O757)</f>
        <v/>
      </c>
      <c r="Q757">
        <f>0.4*H757+0.4*I757+0.2*P757</f>
        <v/>
      </c>
      <c r="R757">
        <f>PERCENTILE($Q$2:$Q$800,0.75)</f>
        <v/>
      </c>
      <c r="S757">
        <f>OR(Q757&gt;=R757,AND(B757="CW",COUNT(J757:L757)&lt;3))</f>
        <v/>
      </c>
      <c r="T757" t="n">
        <v>0.4000293953953978</v>
      </c>
      <c r="U757" t="n">
        <v>12.08500171148802</v>
      </c>
      <c r="V757" t="n">
        <v>0.8449311639549436</v>
      </c>
      <c r="W757">
        <f>Q757-V757</f>
        <v/>
      </c>
    </row>
    <row r="758">
      <c r="A758" t="inlineStr">
        <is>
          <t>2026-04-28</t>
        </is>
      </c>
      <c r="B758" t="inlineStr">
        <is>
          <t>NW</t>
        </is>
      </c>
      <c r="C758" t="n">
        <v>31.29688863713791</v>
      </c>
      <c r="D758">
        <f>SUMPRODUCT(Risk_Inputs!B758:AJ758,Risk_Coefs!$B$2:$AJ$2)</f>
        <v/>
      </c>
      <c r="E758">
        <f>1/(1+EXP(-MAX(-25,MIN(25,D758))))</f>
        <v/>
      </c>
      <c r="F758">
        <f>SUMPRODUCT(Risk_Inputs!B758:AJ758,Risk_Coefs!$B$3:$AJ$3)</f>
        <v/>
      </c>
      <c r="G758">
        <f>MAX(0,F758)</f>
        <v/>
      </c>
      <c r="H758">
        <f>(SUMPRODUCT(--ISNUMBER($E$2:$E$800),--($E$2:$E$800&lt;E758))+(SUMPRODUCT(--ISNUMBER($E$2:$E$800),--($E$2:$E$800=E758))+1)/2)/COUNT($E$2:$E$800)</f>
        <v/>
      </c>
      <c r="I758">
        <f>(SUMPRODUCT(--ISNUMBER($G$2:$G$800),--($G$2:$G$800&lt;G758))+(SUMPRODUCT(--ISNUMBER($G$2:$G$800),--($G$2:$G$800=G758))+1)/2)/COUNT($G$2:$G$800)</f>
        <v/>
      </c>
      <c r="M758">
        <f>IF(OR(B758="NW",COUNT(Risk_Rank_Keys!B758)=0),0.5,(SUMPRODUCT(--ISNUMBER(Risk_Rank_Keys!$B$2:$B$800),--(Risk_Rank_Keys!$B$2:$B$800&lt;Risk_Rank_Keys!B758))+(SUMPRODUCT(--ISNUMBER(Risk_Rank_Keys!$B$2:$B$800),--(Risk_Rank_Keys!$B$2:$B$800=Risk_Rank_Keys!B758))+1)/2)/COUNT(Risk_Rank_Keys!$B$2:$B$800))</f>
        <v/>
      </c>
      <c r="N758">
        <f>IF(OR(B758="NW",COUNT(Risk_Rank_Keys!C758)=0),0.5,(SUMPRODUCT(--ISNUMBER(Risk_Rank_Keys!$C$2:$C$800),--(Risk_Rank_Keys!$C$2:$C$800&lt;Risk_Rank_Keys!C758))+(SUMPRODUCT(--ISNUMBER(Risk_Rank_Keys!$C$2:$C$800),--(Risk_Rank_Keys!$C$2:$C$800=Risk_Rank_Keys!C758))+1)/2)/COUNT(Risk_Rank_Keys!$C$2:$C$800))</f>
        <v/>
      </c>
      <c r="O758">
        <f>IF(OR(B758="NW",COUNT(Risk_Rank_Keys!D758)=0),0.5,(SUMPRODUCT(--ISNUMBER(Risk_Rank_Keys!$D$2:$D$800),--(Risk_Rank_Keys!$D$2:$D$800&lt;Risk_Rank_Keys!D758))+(SUMPRODUCT(--ISNUMBER(Risk_Rank_Keys!$D$2:$D$800),--(Risk_Rank_Keys!$D$2:$D$800=Risk_Rank_Keys!D758))+1)/2)/COUNT(Risk_Rank_Keys!$D$2:$D$800))</f>
        <v/>
      </c>
      <c r="P758">
        <f>AVERAGE(M758:O758)</f>
        <v/>
      </c>
      <c r="Q758">
        <f>0.4*H758+0.4*I758+0.2*P758</f>
        <v/>
      </c>
      <c r="R758">
        <f>PERCENTILE($Q$2:$Q$800,0.75)</f>
        <v/>
      </c>
      <c r="S758">
        <f>OR(Q758&gt;=R758,AND(B758="CW",COUNT(J758:L758)&lt;3))</f>
        <v/>
      </c>
      <c r="T758" t="n">
        <v>0.3895116679165869</v>
      </c>
      <c r="U758" t="n">
        <v>11.27360787491463</v>
      </c>
      <c r="V758" t="n">
        <v>0.8284105131414269</v>
      </c>
      <c r="W758">
        <f>Q758-V758</f>
        <v/>
      </c>
    </row>
    <row r="759">
      <c r="A759" t="inlineStr">
        <is>
          <t>2026-04-30</t>
        </is>
      </c>
      <c r="B759" t="inlineStr">
        <is>
          <t>CW</t>
        </is>
      </c>
      <c r="C759" t="n">
        <v>-0.09679895669160071</v>
      </c>
      <c r="D759">
        <f>SUMPRODUCT(Risk_Inputs!B759:AJ759,Risk_Coefs!$B$2:$AJ$2)</f>
        <v/>
      </c>
      <c r="E759">
        <f>1/(1+EXP(-MAX(-25,MIN(25,D759))))</f>
        <v/>
      </c>
      <c r="F759">
        <f>SUMPRODUCT(Risk_Inputs!B759:AJ759,Risk_Coefs!$B$3:$AJ$3)</f>
        <v/>
      </c>
      <c r="G759">
        <f>MAX(0,F759)</f>
        <v/>
      </c>
      <c r="H759">
        <f>(SUMPRODUCT(--ISNUMBER($E$2:$E$800),--($E$2:$E$800&lt;E759))+(SUMPRODUCT(--ISNUMBER($E$2:$E$800),--($E$2:$E$800=E759))+1)/2)/COUNT($E$2:$E$800)</f>
        <v/>
      </c>
      <c r="I759">
        <f>(SUMPRODUCT(--ISNUMBER($G$2:$G$800),--($G$2:$G$800&lt;G759))+(SUMPRODUCT(--ISNUMBER($G$2:$G$800),--($G$2:$G$800=G759))+1)/2)/COUNT($G$2:$G$800)</f>
        <v/>
      </c>
      <c r="J759" t="n">
        <v>4.624151100442867</v>
      </c>
      <c r="K759" t="n">
        <v>1.549418967887054</v>
      </c>
      <c r="L759" t="n">
        <v>0.1749343996001542</v>
      </c>
      <c r="M759">
        <f>IF(OR(B759="NW",COUNT(Risk_Rank_Keys!B759)=0),0.5,(SUMPRODUCT(--ISNUMBER(Risk_Rank_Keys!$B$2:$B$800),--(Risk_Rank_Keys!$B$2:$B$800&lt;Risk_Rank_Keys!B759))+(SUMPRODUCT(--ISNUMBER(Risk_Rank_Keys!$B$2:$B$800),--(Risk_Rank_Keys!$B$2:$B$800=Risk_Rank_Keys!B759))+1)/2)/COUNT(Risk_Rank_Keys!$B$2:$B$800))</f>
        <v/>
      </c>
      <c r="N759">
        <f>IF(OR(B759="NW",COUNT(Risk_Rank_Keys!C759)=0),0.5,(SUMPRODUCT(--ISNUMBER(Risk_Rank_Keys!$C$2:$C$800),--(Risk_Rank_Keys!$C$2:$C$800&lt;Risk_Rank_Keys!C759))+(SUMPRODUCT(--ISNUMBER(Risk_Rank_Keys!$C$2:$C$800),--(Risk_Rank_Keys!$C$2:$C$800=Risk_Rank_Keys!C759))+1)/2)/COUNT(Risk_Rank_Keys!$C$2:$C$800))</f>
        <v/>
      </c>
      <c r="O759">
        <f>IF(OR(B759="NW",COUNT(Risk_Rank_Keys!D759)=0),0.5,(SUMPRODUCT(--ISNUMBER(Risk_Rank_Keys!$D$2:$D$800),--(Risk_Rank_Keys!$D$2:$D$800&lt;Risk_Rank_Keys!D759))+(SUMPRODUCT(--ISNUMBER(Risk_Rank_Keys!$D$2:$D$800),--(Risk_Rank_Keys!$D$2:$D$800=Risk_Rank_Keys!D759))+1)/2)/COUNT(Risk_Rank_Keys!$D$2:$D$800))</f>
        <v/>
      </c>
      <c r="P759">
        <f>AVERAGE(M759:O759)</f>
        <v/>
      </c>
      <c r="Q759">
        <f>0.4*H759+0.4*I759+0.2*P759</f>
        <v/>
      </c>
      <c r="R759">
        <f>PERCENTILE($Q$2:$Q$800,0.75)</f>
        <v/>
      </c>
      <c r="S759">
        <f>OR(Q759&gt;=R759,AND(B759="CW",COUNT(J759:L759)&lt;3))</f>
        <v/>
      </c>
      <c r="T759" t="n">
        <v>0.4108532162449145</v>
      </c>
      <c r="U759" t="n">
        <v>10.21140749022886</v>
      </c>
      <c r="V759" t="n">
        <v>0.7370448532539222</v>
      </c>
      <c r="W759">
        <f>Q759-V759</f>
        <v/>
      </c>
    </row>
    <row r="760">
      <c r="A760" t="inlineStr">
        <is>
          <t>2026-05-04</t>
        </is>
      </c>
      <c r="B760" t="inlineStr">
        <is>
          <t>NW</t>
        </is>
      </c>
      <c r="C760" t="n">
        <v>-43.98061065518753</v>
      </c>
      <c r="D760">
        <f>SUMPRODUCT(Risk_Inputs!B760:AJ760,Risk_Coefs!$B$2:$AJ$2)</f>
        <v/>
      </c>
      <c r="E760">
        <f>1/(1+EXP(-MAX(-25,MIN(25,D760))))</f>
        <v/>
      </c>
      <c r="F760">
        <f>SUMPRODUCT(Risk_Inputs!B760:AJ760,Risk_Coefs!$B$3:$AJ$3)</f>
        <v/>
      </c>
      <c r="G760">
        <f>MAX(0,F760)</f>
        <v/>
      </c>
      <c r="H760">
        <f>(SUMPRODUCT(--ISNUMBER($E$2:$E$800),--($E$2:$E$800&lt;E760))+(SUMPRODUCT(--ISNUMBER($E$2:$E$800),--($E$2:$E$800=E760))+1)/2)/COUNT($E$2:$E$800)</f>
        <v/>
      </c>
      <c r="I760">
        <f>(SUMPRODUCT(--ISNUMBER($G$2:$G$800),--($G$2:$G$800&lt;G760))+(SUMPRODUCT(--ISNUMBER($G$2:$G$800),--($G$2:$G$800=G760))+1)/2)/COUNT($G$2:$G$800)</f>
        <v/>
      </c>
      <c r="M760">
        <f>IF(OR(B760="NW",COUNT(Risk_Rank_Keys!B760)=0),0.5,(SUMPRODUCT(--ISNUMBER(Risk_Rank_Keys!$B$2:$B$800),--(Risk_Rank_Keys!$B$2:$B$800&lt;Risk_Rank_Keys!B760))+(SUMPRODUCT(--ISNUMBER(Risk_Rank_Keys!$B$2:$B$800),--(Risk_Rank_Keys!$B$2:$B$800=Risk_Rank_Keys!B760))+1)/2)/COUNT(Risk_Rank_Keys!$B$2:$B$800))</f>
        <v/>
      </c>
      <c r="N760">
        <f>IF(OR(B760="NW",COUNT(Risk_Rank_Keys!C760)=0),0.5,(SUMPRODUCT(--ISNUMBER(Risk_Rank_Keys!$C$2:$C$800),--(Risk_Rank_Keys!$C$2:$C$800&lt;Risk_Rank_Keys!C760))+(SUMPRODUCT(--ISNUMBER(Risk_Rank_Keys!$C$2:$C$800),--(Risk_Rank_Keys!$C$2:$C$800=Risk_Rank_Keys!C760))+1)/2)/COUNT(Risk_Rank_Keys!$C$2:$C$800))</f>
        <v/>
      </c>
      <c r="O760">
        <f>IF(OR(B760="NW",COUNT(Risk_Rank_Keys!D760)=0),0.5,(SUMPRODUCT(--ISNUMBER(Risk_Rank_Keys!$D$2:$D$800),--(Risk_Rank_Keys!$D$2:$D$800&lt;Risk_Rank_Keys!D760))+(SUMPRODUCT(--ISNUMBER(Risk_Rank_Keys!$D$2:$D$800),--(Risk_Rank_Keys!$D$2:$D$800=Risk_Rank_Keys!D760))+1)/2)/COUNT(Risk_Rank_Keys!$D$2:$D$800))</f>
        <v/>
      </c>
      <c r="P760">
        <f>AVERAGE(M760:O760)</f>
        <v/>
      </c>
      <c r="Q760">
        <f>0.4*H760+0.4*I760+0.2*P760</f>
        <v/>
      </c>
      <c r="R760">
        <f>PERCENTILE($Q$2:$Q$800,0.75)</f>
        <v/>
      </c>
      <c r="S760">
        <f>OR(Q760&gt;=R760,AND(B760="CW",COUNT(J760:L760)&lt;3))</f>
        <v/>
      </c>
      <c r="T760" t="n">
        <v>0.3915430304072263</v>
      </c>
      <c r="U760" t="n">
        <v>12.06017589215031</v>
      </c>
      <c r="V760" t="n">
        <v>0.8379224030037548</v>
      </c>
      <c r="W760">
        <f>Q760-V760</f>
        <v/>
      </c>
    </row>
    <row r="761">
      <c r="A761" t="inlineStr">
        <is>
          <t>2026-05-05</t>
        </is>
      </c>
      <c r="B761" t="inlineStr">
        <is>
          <t>CW</t>
        </is>
      </c>
      <c r="C761" t="n">
        <v>38.05616416613262</v>
      </c>
      <c r="D761">
        <f>SUMPRODUCT(Risk_Inputs!B761:AJ761,Risk_Coefs!$B$2:$AJ$2)</f>
        <v/>
      </c>
      <c r="E761">
        <f>1/(1+EXP(-MAX(-25,MIN(25,D761))))</f>
        <v/>
      </c>
      <c r="F761">
        <f>SUMPRODUCT(Risk_Inputs!B761:AJ761,Risk_Coefs!$B$3:$AJ$3)</f>
        <v/>
      </c>
      <c r="G761">
        <f>MAX(0,F761)</f>
        <v/>
      </c>
      <c r="H761">
        <f>(SUMPRODUCT(--ISNUMBER($E$2:$E$800),--($E$2:$E$800&lt;E761))+(SUMPRODUCT(--ISNUMBER($E$2:$E$800),--($E$2:$E$800=E761))+1)/2)/COUNT($E$2:$E$800)</f>
        <v/>
      </c>
      <c r="I761">
        <f>(SUMPRODUCT(--ISNUMBER($G$2:$G$800),--($G$2:$G$800&lt;G761))+(SUMPRODUCT(--ISNUMBER($G$2:$G$800),--($G$2:$G$800=G761))+1)/2)/COUNT($G$2:$G$800)</f>
        <v/>
      </c>
      <c r="J761" t="n">
        <v>7.926452506819833</v>
      </c>
      <c r="K761" t="n">
        <v>4.52776795189247</v>
      </c>
      <c r="L761" t="n">
        <v>0.2829854969932831</v>
      </c>
      <c r="M761">
        <f>IF(OR(B761="NW",COUNT(Risk_Rank_Keys!B761)=0),0.5,(SUMPRODUCT(--ISNUMBER(Risk_Rank_Keys!$B$2:$B$800),--(Risk_Rank_Keys!$B$2:$B$800&lt;Risk_Rank_Keys!B761))+(SUMPRODUCT(--ISNUMBER(Risk_Rank_Keys!$B$2:$B$800),--(Risk_Rank_Keys!$B$2:$B$800=Risk_Rank_Keys!B761))+1)/2)/COUNT(Risk_Rank_Keys!$B$2:$B$800))</f>
        <v/>
      </c>
      <c r="N761">
        <f>IF(OR(B761="NW",COUNT(Risk_Rank_Keys!C761)=0),0.5,(SUMPRODUCT(--ISNUMBER(Risk_Rank_Keys!$C$2:$C$800),--(Risk_Rank_Keys!$C$2:$C$800&lt;Risk_Rank_Keys!C761))+(SUMPRODUCT(--ISNUMBER(Risk_Rank_Keys!$C$2:$C$800),--(Risk_Rank_Keys!$C$2:$C$800=Risk_Rank_Keys!C761))+1)/2)/COUNT(Risk_Rank_Keys!$C$2:$C$800))</f>
        <v/>
      </c>
      <c r="O761">
        <f>IF(OR(B761="NW",COUNT(Risk_Rank_Keys!D761)=0),0.5,(SUMPRODUCT(--ISNUMBER(Risk_Rank_Keys!$D$2:$D$800),--(Risk_Rank_Keys!$D$2:$D$800&lt;Risk_Rank_Keys!D761))+(SUMPRODUCT(--ISNUMBER(Risk_Rank_Keys!$D$2:$D$800),--(Risk_Rank_Keys!$D$2:$D$800=Risk_Rank_Keys!D761))+1)/2)/COUNT(Risk_Rank_Keys!$D$2:$D$800))</f>
        <v/>
      </c>
      <c r="P761">
        <f>AVERAGE(M761:O761)</f>
        <v/>
      </c>
      <c r="Q761">
        <f>0.4*H761+0.4*I761+0.2*P761</f>
        <v/>
      </c>
      <c r="R761">
        <f>PERCENTILE($Q$2:$Q$800,0.75)</f>
        <v/>
      </c>
      <c r="S761">
        <f>OR(Q761&gt;=R761,AND(B761="CW",COUNT(J761:L761)&lt;3))</f>
        <v/>
      </c>
      <c r="T761" t="n">
        <v>0.2266352496091747</v>
      </c>
      <c r="U761" t="n">
        <v>0.7820336286981071</v>
      </c>
      <c r="V761" t="n">
        <v>0.1823790663480443</v>
      </c>
      <c r="W761">
        <f>Q761-V761</f>
        <v/>
      </c>
    </row>
    <row r="762">
      <c r="A762" t="inlineStr">
        <is>
          <t>2026-05-08</t>
        </is>
      </c>
      <c r="B762" t="inlineStr">
        <is>
          <t>CW</t>
        </is>
      </c>
      <c r="C762" t="n">
        <v>27.67848609115503</v>
      </c>
      <c r="D762">
        <f>SUMPRODUCT(Risk_Inputs!B762:AJ762,Risk_Coefs!$B$2:$AJ$2)</f>
        <v/>
      </c>
      <c r="E762">
        <f>1/(1+EXP(-MAX(-25,MIN(25,D762))))</f>
        <v/>
      </c>
      <c r="F762">
        <f>SUMPRODUCT(Risk_Inputs!B762:AJ762,Risk_Coefs!$B$3:$AJ$3)</f>
        <v/>
      </c>
      <c r="G762">
        <f>MAX(0,F762)</f>
        <v/>
      </c>
      <c r="H762">
        <f>(SUMPRODUCT(--ISNUMBER($E$2:$E$800),--($E$2:$E$800&lt;E762))+(SUMPRODUCT(--ISNUMBER($E$2:$E$800),--($E$2:$E$800=E762))+1)/2)/COUNT($E$2:$E$800)</f>
        <v/>
      </c>
      <c r="I762">
        <f>(SUMPRODUCT(--ISNUMBER($G$2:$G$800),--($G$2:$G$800&lt;G762))+(SUMPRODUCT(--ISNUMBER($G$2:$G$800),--($G$2:$G$800=G762))+1)/2)/COUNT($G$2:$G$800)</f>
        <v/>
      </c>
      <c r="J762" t="n">
        <v>11.41731633192299</v>
      </c>
      <c r="K762" t="n">
        <v>0.8738310593285019</v>
      </c>
      <c r="L762" t="n">
        <v>0.2606162808523668</v>
      </c>
      <c r="M762">
        <f>IF(OR(B762="NW",COUNT(Risk_Rank_Keys!B762)=0),0.5,(SUMPRODUCT(--ISNUMBER(Risk_Rank_Keys!$B$2:$B$800),--(Risk_Rank_Keys!$B$2:$B$800&lt;Risk_Rank_Keys!B762))+(SUMPRODUCT(--ISNUMBER(Risk_Rank_Keys!$B$2:$B$800),--(Risk_Rank_Keys!$B$2:$B$800=Risk_Rank_Keys!B762))+1)/2)/COUNT(Risk_Rank_Keys!$B$2:$B$800))</f>
        <v/>
      </c>
      <c r="N762">
        <f>IF(OR(B762="NW",COUNT(Risk_Rank_Keys!C762)=0),0.5,(SUMPRODUCT(--ISNUMBER(Risk_Rank_Keys!$C$2:$C$800),--(Risk_Rank_Keys!$C$2:$C$800&lt;Risk_Rank_Keys!C762))+(SUMPRODUCT(--ISNUMBER(Risk_Rank_Keys!$C$2:$C$800),--(Risk_Rank_Keys!$C$2:$C$800=Risk_Rank_Keys!C762))+1)/2)/COUNT(Risk_Rank_Keys!$C$2:$C$800))</f>
        <v/>
      </c>
      <c r="O762">
        <f>IF(OR(B762="NW",COUNT(Risk_Rank_Keys!D762)=0),0.5,(SUMPRODUCT(--ISNUMBER(Risk_Rank_Keys!$D$2:$D$800),--(Risk_Rank_Keys!$D$2:$D$800&lt;Risk_Rank_Keys!D762))+(SUMPRODUCT(--ISNUMBER(Risk_Rank_Keys!$D$2:$D$800),--(Risk_Rank_Keys!$D$2:$D$800=Risk_Rank_Keys!D762))+1)/2)/COUNT(Risk_Rank_Keys!$D$2:$D$800))</f>
        <v/>
      </c>
      <c r="P762">
        <f>AVERAGE(M762:O762)</f>
        <v/>
      </c>
      <c r="Q762">
        <f>0.4*H762+0.4*I762+0.2*P762</f>
        <v/>
      </c>
      <c r="R762">
        <f>PERCENTILE($Q$2:$Q$800,0.75)</f>
        <v/>
      </c>
      <c r="S762">
        <f>OR(Q762&gt;=R762,AND(B762="CW",COUNT(J762:L762)&lt;3))</f>
        <v/>
      </c>
      <c r="T762" t="n">
        <v>0.2937975089226362</v>
      </c>
      <c r="U762" t="n">
        <v>4.728219967235176</v>
      </c>
      <c r="V762" t="n">
        <v>0.3410535833669353</v>
      </c>
      <c r="W762">
        <f>Q762-V762</f>
        <v/>
      </c>
    </row>
    <row r="763">
      <c r="A763" t="inlineStr">
        <is>
          <t>2026-05-12</t>
        </is>
      </c>
      <c r="B763" t="inlineStr">
        <is>
          <t>CW</t>
        </is>
      </c>
      <c r="C763" t="n">
        <v>3.125005777882519</v>
      </c>
      <c r="D763">
        <f>SUMPRODUCT(Risk_Inputs!B763:AJ763,Risk_Coefs!$B$2:$AJ$2)</f>
        <v/>
      </c>
      <c r="E763">
        <f>1/(1+EXP(-MAX(-25,MIN(25,D763))))</f>
        <v/>
      </c>
      <c r="F763">
        <f>SUMPRODUCT(Risk_Inputs!B763:AJ763,Risk_Coefs!$B$3:$AJ$3)</f>
        <v/>
      </c>
      <c r="G763">
        <f>MAX(0,F763)</f>
        <v/>
      </c>
      <c r="H763">
        <f>(SUMPRODUCT(--ISNUMBER($E$2:$E$800),--($E$2:$E$800&lt;E763))+(SUMPRODUCT(--ISNUMBER($E$2:$E$800),--($E$2:$E$800=E763))+1)/2)/COUNT($E$2:$E$800)</f>
        <v/>
      </c>
      <c r="I763">
        <f>(SUMPRODUCT(--ISNUMBER($G$2:$G$800),--($G$2:$G$800&lt;G763))+(SUMPRODUCT(--ISNUMBER($G$2:$G$800),--($G$2:$G$800=G763))+1)/2)/COUNT($G$2:$G$800)</f>
        <v/>
      </c>
      <c r="J763" t="n">
        <v>16.92025958463022</v>
      </c>
      <c r="K763" t="n">
        <v>3.992537313432831</v>
      </c>
      <c r="L763" t="n">
        <v>0.1865671641791044</v>
      </c>
      <c r="M763">
        <f>IF(OR(B763="NW",COUNT(Risk_Rank_Keys!B763)=0),0.5,(SUMPRODUCT(--ISNUMBER(Risk_Rank_Keys!$B$2:$B$800),--(Risk_Rank_Keys!$B$2:$B$800&lt;Risk_Rank_Keys!B763))+(SUMPRODUCT(--ISNUMBER(Risk_Rank_Keys!$B$2:$B$800),--(Risk_Rank_Keys!$B$2:$B$800=Risk_Rank_Keys!B763))+1)/2)/COUNT(Risk_Rank_Keys!$B$2:$B$800))</f>
        <v/>
      </c>
      <c r="N763">
        <f>IF(OR(B763="NW",COUNT(Risk_Rank_Keys!C763)=0),0.5,(SUMPRODUCT(--ISNUMBER(Risk_Rank_Keys!$C$2:$C$800),--(Risk_Rank_Keys!$C$2:$C$800&lt;Risk_Rank_Keys!C763))+(SUMPRODUCT(--ISNUMBER(Risk_Rank_Keys!$C$2:$C$800),--(Risk_Rank_Keys!$C$2:$C$800=Risk_Rank_Keys!C763))+1)/2)/COUNT(Risk_Rank_Keys!$C$2:$C$800))</f>
        <v/>
      </c>
      <c r="O763">
        <f>IF(OR(B763="NW",COUNT(Risk_Rank_Keys!D763)=0),0.5,(SUMPRODUCT(--ISNUMBER(Risk_Rank_Keys!$D$2:$D$800),--(Risk_Rank_Keys!$D$2:$D$800&lt;Risk_Rank_Keys!D763))+(SUMPRODUCT(--ISNUMBER(Risk_Rank_Keys!$D$2:$D$800),--(Risk_Rank_Keys!$D$2:$D$800=Risk_Rank_Keys!D763))+1)/2)/COUNT(Risk_Rank_Keys!$D$2:$D$800))</f>
        <v/>
      </c>
      <c r="P763">
        <f>AVERAGE(M763:O763)</f>
        <v/>
      </c>
      <c r="Q763">
        <f>0.4*H763+0.4*I763+0.2*P763</f>
        <v/>
      </c>
      <c r="R763">
        <f>PERCENTILE($Q$2:$Q$800,0.75)</f>
        <v/>
      </c>
      <c r="S763">
        <f>OR(Q763&gt;=R763,AND(B763="CW",COUNT(J763:L763)&lt;3))</f>
        <v/>
      </c>
      <c r="T763" t="n">
        <v>0.2081081266892635</v>
      </c>
      <c r="U763" t="n">
        <v>2.800647727765574</v>
      </c>
      <c r="V763" t="n">
        <v>0.1606011465982874</v>
      </c>
      <c r="W763">
        <f>Q763-V763</f>
        <v/>
      </c>
    </row>
    <row r="764">
      <c r="A764" t="inlineStr">
        <is>
          <t>2026-05-13</t>
        </is>
      </c>
      <c r="B764" t="inlineStr">
        <is>
          <t>CW</t>
        </is>
      </c>
      <c r="C764" t="n">
        <v>-39.08158268426224</v>
      </c>
      <c r="D764">
        <f>SUMPRODUCT(Risk_Inputs!B764:AJ764,Risk_Coefs!$B$2:$AJ$2)</f>
        <v/>
      </c>
      <c r="E764">
        <f>1/(1+EXP(-MAX(-25,MIN(25,D764))))</f>
        <v/>
      </c>
      <c r="F764">
        <f>SUMPRODUCT(Risk_Inputs!B764:AJ764,Risk_Coefs!$B$3:$AJ$3)</f>
        <v/>
      </c>
      <c r="G764">
        <f>MAX(0,F764)</f>
        <v/>
      </c>
      <c r="H764">
        <f>(SUMPRODUCT(--ISNUMBER($E$2:$E$800),--($E$2:$E$800&lt;E764))+(SUMPRODUCT(--ISNUMBER($E$2:$E$800),--($E$2:$E$800=E764))+1)/2)/COUNT($E$2:$E$800)</f>
        <v/>
      </c>
      <c r="I764">
        <f>(SUMPRODUCT(--ISNUMBER($G$2:$G$800),--($G$2:$G$800&lt;G764))+(SUMPRODUCT(--ISNUMBER($G$2:$G$800),--($G$2:$G$800=G764))+1)/2)/COUNT($G$2:$G$800)</f>
        <v/>
      </c>
      <c r="J764" t="n">
        <v>22.2316008457804</v>
      </c>
      <c r="K764" t="n">
        <v>2.592875040854119</v>
      </c>
      <c r="L764" t="n">
        <v>0.2505719577295952</v>
      </c>
      <c r="M764">
        <f>IF(OR(B764="NW",COUNT(Risk_Rank_Keys!B764)=0),0.5,(SUMPRODUCT(--ISNUMBER(Risk_Rank_Keys!$B$2:$B$800),--(Risk_Rank_Keys!$B$2:$B$800&lt;Risk_Rank_Keys!B764))+(SUMPRODUCT(--ISNUMBER(Risk_Rank_Keys!$B$2:$B$800),--(Risk_Rank_Keys!$B$2:$B$800=Risk_Rank_Keys!B764))+1)/2)/COUNT(Risk_Rank_Keys!$B$2:$B$800))</f>
        <v/>
      </c>
      <c r="N764">
        <f>IF(OR(B764="NW",COUNT(Risk_Rank_Keys!C764)=0),0.5,(SUMPRODUCT(--ISNUMBER(Risk_Rank_Keys!$C$2:$C$800),--(Risk_Rank_Keys!$C$2:$C$800&lt;Risk_Rank_Keys!C764))+(SUMPRODUCT(--ISNUMBER(Risk_Rank_Keys!$C$2:$C$800),--(Risk_Rank_Keys!$C$2:$C$800=Risk_Rank_Keys!C764))+1)/2)/COUNT(Risk_Rank_Keys!$C$2:$C$800))</f>
        <v/>
      </c>
      <c r="O764">
        <f>IF(OR(B764="NW",COUNT(Risk_Rank_Keys!D764)=0),0.5,(SUMPRODUCT(--ISNUMBER(Risk_Rank_Keys!$D$2:$D$800),--(Risk_Rank_Keys!$D$2:$D$800&lt;Risk_Rank_Keys!D764))+(SUMPRODUCT(--ISNUMBER(Risk_Rank_Keys!$D$2:$D$800),--(Risk_Rank_Keys!$D$2:$D$800=Risk_Rank_Keys!D764))+1)/2)/COUNT(Risk_Rank_Keys!$D$2:$D$800))</f>
        <v/>
      </c>
      <c r="P764">
        <f>AVERAGE(M764:O764)</f>
        <v/>
      </c>
      <c r="Q764">
        <f>0.4*H764+0.4*I764+0.2*P764</f>
        <v/>
      </c>
      <c r="R764">
        <f>PERCENTILE($Q$2:$Q$800,0.75)</f>
        <v/>
      </c>
      <c r="S764">
        <f>OR(Q764&gt;=R764,AND(B764="CW",COUNT(J764:L764)&lt;3))</f>
        <v/>
      </c>
      <c r="T764" t="n">
        <v>0.2499841570865885</v>
      </c>
      <c r="U764" t="n">
        <v>8.568024496627489</v>
      </c>
      <c r="V764" t="n">
        <v>0.4743730686137775</v>
      </c>
      <c r="W764">
        <f>Q764-V764</f>
        <v/>
      </c>
    </row>
    <row r="765">
      <c r="A765" t="inlineStr">
        <is>
          <t>2026-05-15</t>
        </is>
      </c>
      <c r="B765" t="inlineStr">
        <is>
          <t>CW</t>
        </is>
      </c>
      <c r="C765" t="n">
        <v>1.097418326599476</v>
      </c>
      <c r="D765">
        <f>SUMPRODUCT(Risk_Inputs!B765:AJ765,Risk_Coefs!$B$2:$AJ$2)</f>
        <v/>
      </c>
      <c r="E765">
        <f>1/(1+EXP(-MAX(-25,MIN(25,D765))))</f>
        <v/>
      </c>
      <c r="F765">
        <f>SUMPRODUCT(Risk_Inputs!B765:AJ765,Risk_Coefs!$B$3:$AJ$3)</f>
        <v/>
      </c>
      <c r="G765">
        <f>MAX(0,F765)</f>
        <v/>
      </c>
      <c r="H765">
        <f>(SUMPRODUCT(--ISNUMBER($E$2:$E$800),--($E$2:$E$800&lt;E765))+(SUMPRODUCT(--ISNUMBER($E$2:$E$800),--($E$2:$E$800=E765))+1)/2)/COUNT($E$2:$E$800)</f>
        <v/>
      </c>
      <c r="I765">
        <f>(SUMPRODUCT(--ISNUMBER($G$2:$G$800),--($G$2:$G$800&lt;G765))+(SUMPRODUCT(--ISNUMBER($G$2:$G$800),--($G$2:$G$800=G765))+1)/2)/COUNT($G$2:$G$800)</f>
        <v/>
      </c>
      <c r="J765" t="n">
        <v>14.42336036923956</v>
      </c>
      <c r="K765" t="n">
        <v>1.350962920379433</v>
      </c>
      <c r="L765" t="n">
        <v>0.2586950273066908</v>
      </c>
      <c r="M765">
        <f>IF(OR(B765="NW",COUNT(Risk_Rank_Keys!B765)=0),0.5,(SUMPRODUCT(--ISNUMBER(Risk_Rank_Keys!$B$2:$B$800),--(Risk_Rank_Keys!$B$2:$B$800&lt;Risk_Rank_Keys!B765))+(SUMPRODUCT(--ISNUMBER(Risk_Rank_Keys!$B$2:$B$800),--(Risk_Rank_Keys!$B$2:$B$800=Risk_Rank_Keys!B765))+1)/2)/COUNT(Risk_Rank_Keys!$B$2:$B$800))</f>
        <v/>
      </c>
      <c r="N765">
        <f>IF(OR(B765="NW",COUNT(Risk_Rank_Keys!C765)=0),0.5,(SUMPRODUCT(--ISNUMBER(Risk_Rank_Keys!$C$2:$C$800),--(Risk_Rank_Keys!$C$2:$C$800&lt;Risk_Rank_Keys!C765))+(SUMPRODUCT(--ISNUMBER(Risk_Rank_Keys!$C$2:$C$800),--(Risk_Rank_Keys!$C$2:$C$800=Risk_Rank_Keys!C765))+1)/2)/COUNT(Risk_Rank_Keys!$C$2:$C$800))</f>
        <v/>
      </c>
      <c r="O765">
        <f>IF(OR(B765="NW",COUNT(Risk_Rank_Keys!D765)=0),0.5,(SUMPRODUCT(--ISNUMBER(Risk_Rank_Keys!$D$2:$D$800),--(Risk_Rank_Keys!$D$2:$D$800&lt;Risk_Rank_Keys!D765))+(SUMPRODUCT(--ISNUMBER(Risk_Rank_Keys!$D$2:$D$800),--(Risk_Rank_Keys!$D$2:$D$800=Risk_Rank_Keys!D765))+1)/2)/COUNT(Risk_Rank_Keys!$D$2:$D$800))</f>
        <v/>
      </c>
      <c r="P765">
        <f>AVERAGE(M765:O765)</f>
        <v/>
      </c>
      <c r="Q765">
        <f>0.4*H765+0.4*I765+0.2*P765</f>
        <v/>
      </c>
      <c r="R765">
        <f>PERCENTILE($Q$2:$Q$800,0.75)</f>
        <v/>
      </c>
      <c r="S765">
        <f>OR(Q765&gt;=R765,AND(B765="CW",COUNT(J765:L765)&lt;3))</f>
        <v/>
      </c>
      <c r="T765" t="n">
        <v>0.2872499459589043</v>
      </c>
      <c r="U765" t="n">
        <v>8.228881660394219</v>
      </c>
      <c r="V765" t="n">
        <v>0.5250415878984016</v>
      </c>
      <c r="W765">
        <f>Q765-V765</f>
        <v/>
      </c>
    </row>
    <row r="766">
      <c r="A766" t="inlineStr">
        <is>
          <t>2026-05-18</t>
        </is>
      </c>
      <c r="B766" t="inlineStr">
        <is>
          <t>CW</t>
        </is>
      </c>
      <c r="C766" t="n">
        <v>14.76853933562878</v>
      </c>
      <c r="D766">
        <f>SUMPRODUCT(Risk_Inputs!B766:AJ766,Risk_Coefs!$B$2:$AJ$2)</f>
        <v/>
      </c>
      <c r="E766">
        <f>1/(1+EXP(-MAX(-25,MIN(25,D766))))</f>
        <v/>
      </c>
      <c r="F766">
        <f>SUMPRODUCT(Risk_Inputs!B766:AJ766,Risk_Coefs!$B$3:$AJ$3)</f>
        <v/>
      </c>
      <c r="G766">
        <f>MAX(0,F766)</f>
        <v/>
      </c>
      <c r="H766">
        <f>(SUMPRODUCT(--ISNUMBER($E$2:$E$800),--($E$2:$E$800&lt;E766))+(SUMPRODUCT(--ISNUMBER($E$2:$E$800),--($E$2:$E$800=E766))+1)/2)/COUNT($E$2:$E$800)</f>
        <v/>
      </c>
      <c r="I766">
        <f>(SUMPRODUCT(--ISNUMBER($G$2:$G$800),--($G$2:$G$800&lt;G766))+(SUMPRODUCT(--ISNUMBER($G$2:$G$800),--($G$2:$G$800=G766))+1)/2)/COUNT($G$2:$G$800)</f>
        <v/>
      </c>
      <c r="J766" t="n">
        <v>13.75742078267792</v>
      </c>
      <c r="K766" t="n">
        <v>2.152287936335701</v>
      </c>
      <c r="L766" t="n">
        <v>0.2532103454512529</v>
      </c>
      <c r="M766">
        <f>IF(OR(B766="NW",COUNT(Risk_Rank_Keys!B766)=0),0.5,(SUMPRODUCT(--ISNUMBER(Risk_Rank_Keys!$B$2:$B$800),--(Risk_Rank_Keys!$B$2:$B$800&lt;Risk_Rank_Keys!B766))+(SUMPRODUCT(--ISNUMBER(Risk_Rank_Keys!$B$2:$B$800),--(Risk_Rank_Keys!$B$2:$B$800=Risk_Rank_Keys!B766))+1)/2)/COUNT(Risk_Rank_Keys!$B$2:$B$800))</f>
        <v/>
      </c>
      <c r="N766">
        <f>IF(OR(B766="NW",COUNT(Risk_Rank_Keys!C766)=0),0.5,(SUMPRODUCT(--ISNUMBER(Risk_Rank_Keys!$C$2:$C$800),--(Risk_Rank_Keys!$C$2:$C$800&lt;Risk_Rank_Keys!C766))+(SUMPRODUCT(--ISNUMBER(Risk_Rank_Keys!$C$2:$C$800),--(Risk_Rank_Keys!$C$2:$C$800=Risk_Rank_Keys!C766))+1)/2)/COUNT(Risk_Rank_Keys!$C$2:$C$800))</f>
        <v/>
      </c>
      <c r="O766">
        <f>IF(OR(B766="NW",COUNT(Risk_Rank_Keys!D766)=0),0.5,(SUMPRODUCT(--ISNUMBER(Risk_Rank_Keys!$D$2:$D$800),--(Risk_Rank_Keys!$D$2:$D$800&lt;Risk_Rank_Keys!D766))+(SUMPRODUCT(--ISNUMBER(Risk_Rank_Keys!$D$2:$D$800),--(Risk_Rank_Keys!$D$2:$D$800=Risk_Rank_Keys!D766))+1)/2)/COUNT(Risk_Rank_Keys!$D$2:$D$800))</f>
        <v/>
      </c>
      <c r="P766">
        <f>AVERAGE(M766:O766)</f>
        <v/>
      </c>
      <c r="Q766">
        <f>0.4*H766+0.4*I766+0.2*P766</f>
        <v/>
      </c>
      <c r="R766">
        <f>PERCENTILE($Q$2:$Q$800,0.75)</f>
        <v/>
      </c>
      <c r="S766">
        <f>OR(Q766&gt;=R766,AND(B766="CW",COUNT(J766:L766)&lt;3))</f>
        <v/>
      </c>
      <c r="T766" t="n">
        <v>0.3060166969741311</v>
      </c>
      <c r="U766" t="n">
        <v>7.883829303686607</v>
      </c>
      <c r="V766" t="n">
        <v>0.5556878687853076</v>
      </c>
      <c r="W766">
        <f>Q766-V766</f>
        <v/>
      </c>
    </row>
    <row r="767">
      <c r="A767" t="inlineStr">
        <is>
          <t>2026-05-19</t>
        </is>
      </c>
      <c r="B767" t="inlineStr">
        <is>
          <t>CW</t>
        </is>
      </c>
      <c r="C767" t="n">
        <v>18.78073436251109</v>
      </c>
      <c r="D767">
        <f>SUMPRODUCT(Risk_Inputs!B767:AJ767,Risk_Coefs!$B$2:$AJ$2)</f>
        <v/>
      </c>
      <c r="E767">
        <f>1/(1+EXP(-MAX(-25,MIN(25,D767))))</f>
        <v/>
      </c>
      <c r="F767">
        <f>SUMPRODUCT(Risk_Inputs!B767:AJ767,Risk_Coefs!$B$3:$AJ$3)</f>
        <v/>
      </c>
      <c r="G767">
        <f>MAX(0,F767)</f>
        <v/>
      </c>
      <c r="H767">
        <f>(SUMPRODUCT(--ISNUMBER($E$2:$E$800),--($E$2:$E$800&lt;E767))+(SUMPRODUCT(--ISNUMBER($E$2:$E$800),--($E$2:$E$800=E767))+1)/2)/COUNT($E$2:$E$800)</f>
        <v/>
      </c>
      <c r="I767">
        <f>(SUMPRODUCT(--ISNUMBER($G$2:$G$800),--($G$2:$G$800&lt;G767))+(SUMPRODUCT(--ISNUMBER($G$2:$G$800),--($G$2:$G$800=G767))+1)/2)/COUNT($G$2:$G$800)</f>
        <v/>
      </c>
      <c r="J767" t="n">
        <v>13.15550908025466</v>
      </c>
      <c r="K767" t="n">
        <v>7.164179104477602</v>
      </c>
      <c r="L767" t="n">
        <v>0.1326699834162634</v>
      </c>
      <c r="M767">
        <f>IF(OR(B767="NW",COUNT(Risk_Rank_Keys!B767)=0),0.5,(SUMPRODUCT(--ISNUMBER(Risk_Rank_Keys!$B$2:$B$800),--(Risk_Rank_Keys!$B$2:$B$800&lt;Risk_Rank_Keys!B767))+(SUMPRODUCT(--ISNUMBER(Risk_Rank_Keys!$B$2:$B$800),--(Risk_Rank_Keys!$B$2:$B$800=Risk_Rank_Keys!B767))+1)/2)/COUNT(Risk_Rank_Keys!$B$2:$B$800))</f>
        <v/>
      </c>
      <c r="N767">
        <f>IF(OR(B767="NW",COUNT(Risk_Rank_Keys!C767)=0),0.5,(SUMPRODUCT(--ISNUMBER(Risk_Rank_Keys!$C$2:$C$800),--(Risk_Rank_Keys!$C$2:$C$800&lt;Risk_Rank_Keys!C767))+(SUMPRODUCT(--ISNUMBER(Risk_Rank_Keys!$C$2:$C$800),--(Risk_Rank_Keys!$C$2:$C$800=Risk_Rank_Keys!C767))+1)/2)/COUNT(Risk_Rank_Keys!$C$2:$C$800))</f>
        <v/>
      </c>
      <c r="O767">
        <f>IF(OR(B767="NW",COUNT(Risk_Rank_Keys!D767)=0),0.5,(SUMPRODUCT(--ISNUMBER(Risk_Rank_Keys!$D$2:$D$800),--(Risk_Rank_Keys!$D$2:$D$800&lt;Risk_Rank_Keys!D767))+(SUMPRODUCT(--ISNUMBER(Risk_Rank_Keys!$D$2:$D$800),--(Risk_Rank_Keys!$D$2:$D$800=Risk_Rank_Keys!D767))+1)/2)/COUNT(Risk_Rank_Keys!$D$2:$D$800))</f>
        <v/>
      </c>
      <c r="P767">
        <f>AVERAGE(M767:O767)</f>
        <v/>
      </c>
      <c r="Q767">
        <f>0.4*H767+0.4*I767+0.2*P767</f>
        <v/>
      </c>
      <c r="R767">
        <f>PERCENTILE($Q$2:$Q$800,0.75)</f>
        <v/>
      </c>
      <c r="S767">
        <f>OR(Q767&gt;=R767,AND(B767="CW",COUNT(J767:L767)&lt;3))</f>
        <v/>
      </c>
      <c r="T767" t="n">
        <v>0.2339186303087431</v>
      </c>
      <c r="U767" t="n">
        <v>5.313430961995994</v>
      </c>
      <c r="V767" t="n">
        <v>0.2484749358362295</v>
      </c>
      <c r="W767">
        <f>Q767-V767</f>
        <v/>
      </c>
    </row>
    <row r="768">
      <c r="A768" t="inlineStr">
        <is>
          <t>2026-05-26</t>
        </is>
      </c>
      <c r="B768" t="inlineStr">
        <is>
          <t>NW</t>
        </is>
      </c>
      <c r="C768" t="n">
        <v>12.87531267781952</v>
      </c>
      <c r="D768">
        <f>SUMPRODUCT(Risk_Inputs!B768:AJ768,Risk_Coefs!$B$2:$AJ$2)</f>
        <v/>
      </c>
      <c r="E768">
        <f>1/(1+EXP(-MAX(-25,MIN(25,D768))))</f>
        <v/>
      </c>
      <c r="F768">
        <f>SUMPRODUCT(Risk_Inputs!B768:AJ768,Risk_Coefs!$B$3:$AJ$3)</f>
        <v/>
      </c>
      <c r="G768">
        <f>MAX(0,F768)</f>
        <v/>
      </c>
      <c r="H768">
        <f>(SUMPRODUCT(--ISNUMBER($E$2:$E$800),--($E$2:$E$800&lt;E768))+(SUMPRODUCT(--ISNUMBER($E$2:$E$800),--($E$2:$E$800=E768))+1)/2)/COUNT($E$2:$E$800)</f>
        <v/>
      </c>
      <c r="I768">
        <f>(SUMPRODUCT(--ISNUMBER($G$2:$G$800),--($G$2:$G$800&lt;G768))+(SUMPRODUCT(--ISNUMBER($G$2:$G$800),--($G$2:$G$800=G768))+1)/2)/COUNT($G$2:$G$800)</f>
        <v/>
      </c>
      <c r="M768">
        <f>IF(OR(B768="NW",COUNT(Risk_Rank_Keys!B768)=0),0.5,(SUMPRODUCT(--ISNUMBER(Risk_Rank_Keys!$B$2:$B$800),--(Risk_Rank_Keys!$B$2:$B$800&lt;Risk_Rank_Keys!B768))+(SUMPRODUCT(--ISNUMBER(Risk_Rank_Keys!$B$2:$B$800),--(Risk_Rank_Keys!$B$2:$B$800=Risk_Rank_Keys!B768))+1)/2)/COUNT(Risk_Rank_Keys!$B$2:$B$800))</f>
        <v/>
      </c>
      <c r="N768">
        <f>IF(OR(B768="NW",COUNT(Risk_Rank_Keys!C768)=0),0.5,(SUMPRODUCT(--ISNUMBER(Risk_Rank_Keys!$C$2:$C$800),--(Risk_Rank_Keys!$C$2:$C$800&lt;Risk_Rank_Keys!C768))+(SUMPRODUCT(--ISNUMBER(Risk_Rank_Keys!$C$2:$C$800),--(Risk_Rank_Keys!$C$2:$C$800=Risk_Rank_Keys!C768))+1)/2)/COUNT(Risk_Rank_Keys!$C$2:$C$800))</f>
        <v/>
      </c>
      <c r="O768">
        <f>IF(OR(B768="NW",COUNT(Risk_Rank_Keys!D768)=0),0.5,(SUMPRODUCT(--ISNUMBER(Risk_Rank_Keys!$D$2:$D$800),--(Risk_Rank_Keys!$D$2:$D$800&lt;Risk_Rank_Keys!D768))+(SUMPRODUCT(--ISNUMBER(Risk_Rank_Keys!$D$2:$D$800),--(Risk_Rank_Keys!$D$2:$D$800=Risk_Rank_Keys!D768))+1)/2)/COUNT(Risk_Rank_Keys!$D$2:$D$800))</f>
        <v/>
      </c>
      <c r="P768">
        <f>AVERAGE(M768:O768)</f>
        <v/>
      </c>
      <c r="Q768">
        <f>0.4*H768+0.4*I768+0.2*P768</f>
        <v/>
      </c>
      <c r="R768">
        <f>PERCENTILE($Q$2:$Q$800,0.75)</f>
        <v/>
      </c>
      <c r="S768">
        <f>OR(Q768&gt;=R768,AND(B768="CW",COUNT(J768:L768)&lt;3))</f>
        <v/>
      </c>
      <c r="T768" t="n">
        <v>0.3468472366212685</v>
      </c>
      <c r="U768" t="n">
        <v>10.34794673679303</v>
      </c>
      <c r="V768" t="n">
        <v>0.7518147684605757</v>
      </c>
      <c r="W768">
        <f>Q768-V768</f>
        <v/>
      </c>
    </row>
    <row r="769">
      <c r="A769" t="inlineStr">
        <is>
          <t>2026-05-27</t>
        </is>
      </c>
      <c r="B769" t="inlineStr">
        <is>
          <t>CW</t>
        </is>
      </c>
      <c r="C769" t="n">
        <v>29.66315496580021</v>
      </c>
      <c r="D769">
        <f>SUMPRODUCT(Risk_Inputs!B769:AJ769,Risk_Coefs!$B$2:$AJ$2)</f>
        <v/>
      </c>
      <c r="E769">
        <f>1/(1+EXP(-MAX(-25,MIN(25,D769))))</f>
        <v/>
      </c>
      <c r="F769">
        <f>SUMPRODUCT(Risk_Inputs!B769:AJ769,Risk_Coefs!$B$3:$AJ$3)</f>
        <v/>
      </c>
      <c r="G769">
        <f>MAX(0,F769)</f>
        <v/>
      </c>
      <c r="H769">
        <f>(SUMPRODUCT(--ISNUMBER($E$2:$E$800),--($E$2:$E$800&lt;E769))+(SUMPRODUCT(--ISNUMBER($E$2:$E$800),--($E$2:$E$800=E769))+1)/2)/COUNT($E$2:$E$800)</f>
        <v/>
      </c>
      <c r="I769">
        <f>(SUMPRODUCT(--ISNUMBER($G$2:$G$800),--($G$2:$G$800&lt;G769))+(SUMPRODUCT(--ISNUMBER($G$2:$G$800),--($G$2:$G$800=G769))+1)/2)/COUNT($G$2:$G$800)</f>
        <v/>
      </c>
      <c r="J769" t="n">
        <v>6.577875784646611</v>
      </c>
      <c r="K769" t="n">
        <v>0.8648801928257673</v>
      </c>
      <c r="L769" t="n">
        <v>0.1559620019849661</v>
      </c>
      <c r="M769">
        <f>IF(OR(B769="NW",COUNT(Risk_Rank_Keys!B769)=0),0.5,(SUMPRODUCT(--ISNUMBER(Risk_Rank_Keys!$B$2:$B$800),--(Risk_Rank_Keys!$B$2:$B$800&lt;Risk_Rank_Keys!B769))+(SUMPRODUCT(--ISNUMBER(Risk_Rank_Keys!$B$2:$B$800),--(Risk_Rank_Keys!$B$2:$B$800=Risk_Rank_Keys!B769))+1)/2)/COUNT(Risk_Rank_Keys!$B$2:$B$800))</f>
        <v/>
      </c>
      <c r="N769">
        <f>IF(OR(B769="NW",COUNT(Risk_Rank_Keys!C769)=0),0.5,(SUMPRODUCT(--ISNUMBER(Risk_Rank_Keys!$C$2:$C$800),--(Risk_Rank_Keys!$C$2:$C$800&lt;Risk_Rank_Keys!C769))+(SUMPRODUCT(--ISNUMBER(Risk_Rank_Keys!$C$2:$C$800),--(Risk_Rank_Keys!$C$2:$C$800=Risk_Rank_Keys!C769))+1)/2)/COUNT(Risk_Rank_Keys!$C$2:$C$800))</f>
        <v/>
      </c>
      <c r="O769">
        <f>IF(OR(B769="NW",COUNT(Risk_Rank_Keys!D769)=0),0.5,(SUMPRODUCT(--ISNUMBER(Risk_Rank_Keys!$D$2:$D$800),--(Risk_Rank_Keys!$D$2:$D$800&lt;Risk_Rank_Keys!D769))+(SUMPRODUCT(--ISNUMBER(Risk_Rank_Keys!$D$2:$D$800),--(Risk_Rank_Keys!$D$2:$D$800=Risk_Rank_Keys!D769))+1)/2)/COUNT(Risk_Rank_Keys!$D$2:$D$800))</f>
        <v/>
      </c>
      <c r="P769">
        <f>AVERAGE(M769:O769)</f>
        <v/>
      </c>
      <c r="Q769">
        <f>0.4*H769+0.4*I769+0.2*P769</f>
        <v/>
      </c>
      <c r="R769">
        <f>PERCENTILE($Q$2:$Q$800,0.75)</f>
        <v/>
      </c>
      <c r="S769">
        <f>OR(Q769&gt;=R769,AND(B769="CW",COUNT(J769:L769)&lt;3))</f>
        <v/>
      </c>
      <c r="T769" t="n">
        <v>0.309589597728639</v>
      </c>
      <c r="U769" t="n">
        <v>6.448363763110295</v>
      </c>
      <c r="V769" t="n">
        <v>0.4067747399265353</v>
      </c>
      <c r="W769">
        <f>Q769-V769</f>
        <v/>
      </c>
    </row>
    <row r="770">
      <c r="A770" t="inlineStr">
        <is>
          <t>2026-06-01</t>
        </is>
      </c>
      <c r="B770" t="inlineStr">
        <is>
          <t>NW</t>
        </is>
      </c>
      <c r="C770" t="n">
        <v>-3.507471422390406</v>
      </c>
      <c r="D770">
        <f>SUMPRODUCT(Risk_Inputs!B770:AJ770,Risk_Coefs!$B$2:$AJ$2)</f>
        <v/>
      </c>
      <c r="E770">
        <f>1/(1+EXP(-MAX(-25,MIN(25,D770))))</f>
        <v/>
      </c>
      <c r="F770">
        <f>SUMPRODUCT(Risk_Inputs!B770:AJ770,Risk_Coefs!$B$3:$AJ$3)</f>
        <v/>
      </c>
      <c r="G770">
        <f>MAX(0,F770)</f>
        <v/>
      </c>
      <c r="H770">
        <f>(SUMPRODUCT(--ISNUMBER($E$2:$E$800),--($E$2:$E$800&lt;E770))+(SUMPRODUCT(--ISNUMBER($E$2:$E$800),--($E$2:$E$800=E770))+1)/2)/COUNT($E$2:$E$800)</f>
        <v/>
      </c>
      <c r="I770">
        <f>(SUMPRODUCT(--ISNUMBER($G$2:$G$800),--($G$2:$G$800&lt;G770))+(SUMPRODUCT(--ISNUMBER($G$2:$G$800),--($G$2:$G$800=G770))+1)/2)/COUNT($G$2:$G$800)</f>
        <v/>
      </c>
      <c r="M770">
        <f>IF(OR(B770="NW",COUNT(Risk_Rank_Keys!B770)=0),0.5,(SUMPRODUCT(--ISNUMBER(Risk_Rank_Keys!$B$2:$B$800),--(Risk_Rank_Keys!$B$2:$B$800&lt;Risk_Rank_Keys!B770))+(SUMPRODUCT(--ISNUMBER(Risk_Rank_Keys!$B$2:$B$800),--(Risk_Rank_Keys!$B$2:$B$800=Risk_Rank_Keys!B770))+1)/2)/COUNT(Risk_Rank_Keys!$B$2:$B$800))</f>
        <v/>
      </c>
      <c r="N770">
        <f>IF(OR(B770="NW",COUNT(Risk_Rank_Keys!C770)=0),0.5,(SUMPRODUCT(--ISNUMBER(Risk_Rank_Keys!$C$2:$C$800),--(Risk_Rank_Keys!$C$2:$C$800&lt;Risk_Rank_Keys!C770))+(SUMPRODUCT(--ISNUMBER(Risk_Rank_Keys!$C$2:$C$800),--(Risk_Rank_Keys!$C$2:$C$800=Risk_Rank_Keys!C770))+1)/2)/COUNT(Risk_Rank_Keys!$C$2:$C$800))</f>
        <v/>
      </c>
      <c r="O770">
        <f>IF(OR(B770="NW",COUNT(Risk_Rank_Keys!D770)=0),0.5,(SUMPRODUCT(--ISNUMBER(Risk_Rank_Keys!$D$2:$D$800),--(Risk_Rank_Keys!$D$2:$D$800&lt;Risk_Rank_Keys!D770))+(SUMPRODUCT(--ISNUMBER(Risk_Rank_Keys!$D$2:$D$800),--(Risk_Rank_Keys!$D$2:$D$800=Risk_Rank_Keys!D770))+1)/2)/COUNT(Risk_Rank_Keys!$D$2:$D$800))</f>
        <v/>
      </c>
      <c r="P770">
        <f>AVERAGE(M770:O770)</f>
        <v/>
      </c>
      <c r="Q770">
        <f>0.4*H770+0.4*I770+0.2*P770</f>
        <v/>
      </c>
      <c r="R770">
        <f>PERCENTILE($Q$2:$Q$800,0.75)</f>
        <v/>
      </c>
      <c r="S770">
        <f>OR(Q770&gt;=R770,AND(B770="CW",COUNT(J770:L770)&lt;3))</f>
        <v/>
      </c>
      <c r="T770" t="n">
        <v>0.4006811722284004</v>
      </c>
      <c r="U770" t="n">
        <v>12.29533136946943</v>
      </c>
      <c r="V770" t="n">
        <v>0.8504380475594493</v>
      </c>
      <c r="W770">
        <f>Q770-V770</f>
        <v/>
      </c>
    </row>
    <row r="771">
      <c r="A771" t="inlineStr">
        <is>
          <t>2026-06-02</t>
        </is>
      </c>
      <c r="B771" t="inlineStr">
        <is>
          <t>CW</t>
        </is>
      </c>
      <c r="C771" t="n">
        <v>-19.26458868195962</v>
      </c>
      <c r="D771">
        <f>SUMPRODUCT(Risk_Inputs!B771:AJ771,Risk_Coefs!$B$2:$AJ$2)</f>
        <v/>
      </c>
      <c r="E771">
        <f>1/(1+EXP(-MAX(-25,MIN(25,D771))))</f>
        <v/>
      </c>
      <c r="F771">
        <f>SUMPRODUCT(Risk_Inputs!B771:AJ771,Risk_Coefs!$B$3:$AJ$3)</f>
        <v/>
      </c>
      <c r="G771">
        <f>MAX(0,F771)</f>
        <v/>
      </c>
      <c r="H771">
        <f>(SUMPRODUCT(--ISNUMBER($E$2:$E$800),--($E$2:$E$800&lt;E771))+(SUMPRODUCT(--ISNUMBER($E$2:$E$800),--($E$2:$E$800=E771))+1)/2)/COUNT($E$2:$E$800)</f>
        <v/>
      </c>
      <c r="I771">
        <f>(SUMPRODUCT(--ISNUMBER($G$2:$G$800),--($G$2:$G$800&lt;G771))+(SUMPRODUCT(--ISNUMBER($G$2:$G$800),--($G$2:$G$800=G771))+1)/2)/COUNT($G$2:$G$800)</f>
        <v/>
      </c>
      <c r="J771" t="n">
        <v>5.589618788000222</v>
      </c>
      <c r="K771" t="n">
        <v>3.062080536912757</v>
      </c>
      <c r="L771" t="n">
        <v>0.2516778523489968</v>
      </c>
      <c r="M771">
        <f>IF(OR(B771="NW",COUNT(Risk_Rank_Keys!B771)=0),0.5,(SUMPRODUCT(--ISNUMBER(Risk_Rank_Keys!$B$2:$B$800),--(Risk_Rank_Keys!$B$2:$B$800&lt;Risk_Rank_Keys!B771))+(SUMPRODUCT(--ISNUMBER(Risk_Rank_Keys!$B$2:$B$800),--(Risk_Rank_Keys!$B$2:$B$800=Risk_Rank_Keys!B771))+1)/2)/COUNT(Risk_Rank_Keys!$B$2:$B$800))</f>
        <v/>
      </c>
      <c r="N771">
        <f>IF(OR(B771="NW",COUNT(Risk_Rank_Keys!C771)=0),0.5,(SUMPRODUCT(--ISNUMBER(Risk_Rank_Keys!$C$2:$C$800),--(Risk_Rank_Keys!$C$2:$C$800&lt;Risk_Rank_Keys!C771))+(SUMPRODUCT(--ISNUMBER(Risk_Rank_Keys!$C$2:$C$800),--(Risk_Rank_Keys!$C$2:$C$800=Risk_Rank_Keys!C771))+1)/2)/COUNT(Risk_Rank_Keys!$C$2:$C$800))</f>
        <v/>
      </c>
      <c r="O771">
        <f>IF(OR(B771="NW",COUNT(Risk_Rank_Keys!D771)=0),0.5,(SUMPRODUCT(--ISNUMBER(Risk_Rank_Keys!$D$2:$D$800),--(Risk_Rank_Keys!$D$2:$D$800&lt;Risk_Rank_Keys!D771))+(SUMPRODUCT(--ISNUMBER(Risk_Rank_Keys!$D$2:$D$800),--(Risk_Rank_Keys!$D$2:$D$800=Risk_Rank_Keys!D771))+1)/2)/COUNT(Risk_Rank_Keys!$D$2:$D$800))</f>
        <v/>
      </c>
      <c r="P771">
        <f>AVERAGE(M771:O771)</f>
        <v/>
      </c>
      <c r="Q771">
        <f>0.4*H771+0.4*I771+0.2*P771</f>
        <v/>
      </c>
      <c r="R771">
        <f>PERCENTILE($Q$2:$Q$800,0.75)</f>
        <v/>
      </c>
      <c r="S771">
        <f>OR(Q771&gt;=R771,AND(B771="CW",COUNT(J771:L771)&lt;3))</f>
        <v/>
      </c>
      <c r="T771" t="n">
        <v>0.2720709747967719</v>
      </c>
      <c r="U771" t="n">
        <v>2.98951270854127</v>
      </c>
      <c r="V771" t="n">
        <v>0.2540234800706834</v>
      </c>
      <c r="W771">
        <f>Q771-V771</f>
        <v/>
      </c>
    </row>
    <row r="772">
      <c r="A772" t="inlineStr">
        <is>
          <t>2026-06-05</t>
        </is>
      </c>
      <c r="B772" t="inlineStr">
        <is>
          <t>CW</t>
        </is>
      </c>
      <c r="C772" t="n">
        <v>11.73073986381846</v>
      </c>
      <c r="D772">
        <f>SUMPRODUCT(Risk_Inputs!B772:AJ772,Risk_Coefs!$B$2:$AJ$2)</f>
        <v/>
      </c>
      <c r="E772">
        <f>1/(1+EXP(-MAX(-25,MIN(25,D772))))</f>
        <v/>
      </c>
      <c r="F772">
        <f>SUMPRODUCT(Risk_Inputs!B772:AJ772,Risk_Coefs!$B$3:$AJ$3)</f>
        <v/>
      </c>
      <c r="G772">
        <f>MAX(0,F772)</f>
        <v/>
      </c>
      <c r="H772">
        <f>(SUMPRODUCT(--ISNUMBER($E$2:$E$800),--($E$2:$E$800&lt;E772))+(SUMPRODUCT(--ISNUMBER($E$2:$E$800),--($E$2:$E$800=E772))+1)/2)/COUNT($E$2:$E$800)</f>
        <v/>
      </c>
      <c r="I772">
        <f>(SUMPRODUCT(--ISNUMBER($G$2:$G$800),--($G$2:$G$800&lt;G772))+(SUMPRODUCT(--ISNUMBER($G$2:$G$800),--($G$2:$G$800=G772))+1)/2)/COUNT($G$2:$G$800)</f>
        <v/>
      </c>
      <c r="J772" t="n">
        <v>6.00044684178702</v>
      </c>
      <c r="K772" t="n">
        <v>1.268002504696327</v>
      </c>
      <c r="L772" t="n">
        <v>0.2661239824671151</v>
      </c>
      <c r="M772">
        <f>IF(OR(B772="NW",COUNT(Risk_Rank_Keys!B772)=0),0.5,(SUMPRODUCT(--ISNUMBER(Risk_Rank_Keys!$B$2:$B$800),--(Risk_Rank_Keys!$B$2:$B$800&lt;Risk_Rank_Keys!B772))+(SUMPRODUCT(--ISNUMBER(Risk_Rank_Keys!$B$2:$B$800),--(Risk_Rank_Keys!$B$2:$B$800=Risk_Rank_Keys!B772))+1)/2)/COUNT(Risk_Rank_Keys!$B$2:$B$800))</f>
        <v/>
      </c>
      <c r="N772">
        <f>IF(OR(B772="NW",COUNT(Risk_Rank_Keys!C772)=0),0.5,(SUMPRODUCT(--ISNUMBER(Risk_Rank_Keys!$C$2:$C$800),--(Risk_Rank_Keys!$C$2:$C$800&lt;Risk_Rank_Keys!C772))+(SUMPRODUCT(--ISNUMBER(Risk_Rank_Keys!$C$2:$C$800),--(Risk_Rank_Keys!$C$2:$C$800=Risk_Rank_Keys!C772))+1)/2)/COUNT(Risk_Rank_Keys!$C$2:$C$800))</f>
        <v/>
      </c>
      <c r="O772">
        <f>IF(OR(B772="NW",COUNT(Risk_Rank_Keys!D772)=0),0.5,(SUMPRODUCT(--ISNUMBER(Risk_Rank_Keys!$D$2:$D$800),--(Risk_Rank_Keys!$D$2:$D$800&lt;Risk_Rank_Keys!D772))+(SUMPRODUCT(--ISNUMBER(Risk_Rank_Keys!$D$2:$D$800),--(Risk_Rank_Keys!$D$2:$D$800=Risk_Rank_Keys!D772))+1)/2)/COUNT(Risk_Rank_Keys!$D$2:$D$800))</f>
        <v/>
      </c>
      <c r="P772">
        <f>AVERAGE(M772:O772)</f>
        <v/>
      </c>
      <c r="Q772">
        <f>0.4*H772+0.4*I772+0.2*P772</f>
        <v/>
      </c>
      <c r="R772">
        <f>PERCENTILE($Q$2:$Q$800,0.75)</f>
        <v/>
      </c>
      <c r="S772">
        <f>OR(Q772&gt;=R772,AND(B772="CW",COUNT(J772:L772)&lt;3))</f>
        <v/>
      </c>
      <c r="T772" t="n">
        <v>0.2984464853750129</v>
      </c>
      <c r="U772" t="n">
        <v>7.415445548360561</v>
      </c>
      <c r="V772" t="n">
        <v>0.472759824722791</v>
      </c>
      <c r="W772">
        <f>Q772-V772</f>
        <v/>
      </c>
    </row>
    <row r="773">
      <c r="A773" t="inlineStr">
        <is>
          <t>2026-06-09</t>
        </is>
      </c>
      <c r="B773" t="inlineStr">
        <is>
          <t>CW</t>
        </is>
      </c>
      <c r="C773" t="n">
        <v>50.63480484686607</v>
      </c>
      <c r="D773">
        <f>SUMPRODUCT(Risk_Inputs!B773:AJ773,Risk_Coefs!$B$2:$AJ$2)</f>
        <v/>
      </c>
      <c r="E773">
        <f>1/(1+EXP(-MAX(-25,MIN(25,D773))))</f>
        <v/>
      </c>
      <c r="F773">
        <f>SUMPRODUCT(Risk_Inputs!B773:AJ773,Risk_Coefs!$B$3:$AJ$3)</f>
        <v/>
      </c>
      <c r="G773">
        <f>MAX(0,F773)</f>
        <v/>
      </c>
      <c r="H773">
        <f>(SUMPRODUCT(--ISNUMBER($E$2:$E$800),--($E$2:$E$800&lt;E773))+(SUMPRODUCT(--ISNUMBER($E$2:$E$800),--($E$2:$E$800=E773))+1)/2)/COUNT($E$2:$E$800)</f>
        <v/>
      </c>
      <c r="I773">
        <f>(SUMPRODUCT(--ISNUMBER($G$2:$G$800),--($G$2:$G$800&lt;G773))+(SUMPRODUCT(--ISNUMBER($G$2:$G$800),--($G$2:$G$800=G773))+1)/2)/COUNT($G$2:$G$800)</f>
        <v/>
      </c>
      <c r="J773" t="n">
        <v>5.316561411664813</v>
      </c>
      <c r="K773" t="n">
        <v>9.184075679936941</v>
      </c>
      <c r="L773" t="n">
        <v>0.3153330705557678</v>
      </c>
      <c r="M773">
        <f>IF(OR(B773="NW",COUNT(Risk_Rank_Keys!B773)=0),0.5,(SUMPRODUCT(--ISNUMBER(Risk_Rank_Keys!$B$2:$B$800),--(Risk_Rank_Keys!$B$2:$B$800&lt;Risk_Rank_Keys!B773))+(SUMPRODUCT(--ISNUMBER(Risk_Rank_Keys!$B$2:$B$800),--(Risk_Rank_Keys!$B$2:$B$800=Risk_Rank_Keys!B773))+1)/2)/COUNT(Risk_Rank_Keys!$B$2:$B$800))</f>
        <v/>
      </c>
      <c r="N773">
        <f>IF(OR(B773="NW",COUNT(Risk_Rank_Keys!C773)=0),0.5,(SUMPRODUCT(--ISNUMBER(Risk_Rank_Keys!$C$2:$C$800),--(Risk_Rank_Keys!$C$2:$C$800&lt;Risk_Rank_Keys!C773))+(SUMPRODUCT(--ISNUMBER(Risk_Rank_Keys!$C$2:$C$800),--(Risk_Rank_Keys!$C$2:$C$800=Risk_Rank_Keys!C773))+1)/2)/COUNT(Risk_Rank_Keys!$C$2:$C$800))</f>
        <v/>
      </c>
      <c r="O773">
        <f>IF(OR(B773="NW",COUNT(Risk_Rank_Keys!D773)=0),0.5,(SUMPRODUCT(--ISNUMBER(Risk_Rank_Keys!$D$2:$D$800),--(Risk_Rank_Keys!$D$2:$D$800&lt;Risk_Rank_Keys!D773))+(SUMPRODUCT(--ISNUMBER(Risk_Rank_Keys!$D$2:$D$800),--(Risk_Rank_Keys!$D$2:$D$800=Risk_Rank_Keys!D773))+1)/2)/COUNT(Risk_Rank_Keys!$D$2:$D$800))</f>
        <v/>
      </c>
      <c r="P773">
        <f>AVERAGE(M773:O773)</f>
        <v/>
      </c>
      <c r="Q773">
        <f>0.4*H773+0.4*I773+0.2*P773</f>
        <v/>
      </c>
      <c r="R773">
        <f>PERCENTILE($Q$2:$Q$800,0.75)</f>
        <v/>
      </c>
      <c r="S773">
        <f>OR(Q773&gt;=R773,AND(B773="CW",COUNT(J773:L773)&lt;3))</f>
        <v/>
      </c>
      <c r="T773" t="n">
        <v>0.1739453271941093</v>
      </c>
      <c r="U773" t="n">
        <v>2.919132432077216</v>
      </c>
      <c r="V773" t="n">
        <v>0.1462126356225152</v>
      </c>
      <c r="W773">
        <f>Q773-V773</f>
        <v/>
      </c>
    </row>
    <row r="774">
      <c r="A774" t="inlineStr">
        <is>
          <t>2026-06-11</t>
        </is>
      </c>
      <c r="B774" t="inlineStr">
        <is>
          <t>CW</t>
        </is>
      </c>
      <c r="C774" t="n">
        <v>8.899940327782756</v>
      </c>
      <c r="D774">
        <f>SUMPRODUCT(Risk_Inputs!B774:AJ774,Risk_Coefs!$B$2:$AJ$2)</f>
        <v/>
      </c>
      <c r="E774">
        <f>1/(1+EXP(-MAX(-25,MIN(25,D774))))</f>
        <v/>
      </c>
      <c r="F774">
        <f>SUMPRODUCT(Risk_Inputs!B774:AJ774,Risk_Coefs!$B$3:$AJ$3)</f>
        <v/>
      </c>
      <c r="G774">
        <f>MAX(0,F774)</f>
        <v/>
      </c>
      <c r="H774">
        <f>(SUMPRODUCT(--ISNUMBER($E$2:$E$800),--($E$2:$E$800&lt;E774))+(SUMPRODUCT(--ISNUMBER($E$2:$E$800),--($E$2:$E$800=E774))+1)/2)/COUNT($E$2:$E$800)</f>
        <v/>
      </c>
      <c r="I774">
        <f>(SUMPRODUCT(--ISNUMBER($G$2:$G$800),--($G$2:$G$800&lt;G774))+(SUMPRODUCT(--ISNUMBER($G$2:$G$800),--($G$2:$G$800=G774))+1)/2)/COUNT($G$2:$G$800)</f>
        <v/>
      </c>
      <c r="J774" t="n">
        <v>13.75176228292248</v>
      </c>
      <c r="K774" t="n">
        <v>3.67481625918704</v>
      </c>
      <c r="L774" t="n">
        <v>0.1949902504874773</v>
      </c>
      <c r="M774">
        <f>IF(OR(B774="NW",COUNT(Risk_Rank_Keys!B774)=0),0.5,(SUMPRODUCT(--ISNUMBER(Risk_Rank_Keys!$B$2:$B$800),--(Risk_Rank_Keys!$B$2:$B$800&lt;Risk_Rank_Keys!B774))+(SUMPRODUCT(--ISNUMBER(Risk_Rank_Keys!$B$2:$B$800),--(Risk_Rank_Keys!$B$2:$B$800=Risk_Rank_Keys!B774))+1)/2)/COUNT(Risk_Rank_Keys!$B$2:$B$800))</f>
        <v/>
      </c>
      <c r="N774">
        <f>IF(OR(B774="NW",COUNT(Risk_Rank_Keys!C774)=0),0.5,(SUMPRODUCT(--ISNUMBER(Risk_Rank_Keys!$C$2:$C$800),--(Risk_Rank_Keys!$C$2:$C$800&lt;Risk_Rank_Keys!C774))+(SUMPRODUCT(--ISNUMBER(Risk_Rank_Keys!$C$2:$C$800),--(Risk_Rank_Keys!$C$2:$C$800=Risk_Rank_Keys!C774))+1)/2)/COUNT(Risk_Rank_Keys!$C$2:$C$800))</f>
        <v/>
      </c>
      <c r="O774">
        <f>IF(OR(B774="NW",COUNT(Risk_Rank_Keys!D774)=0),0.5,(SUMPRODUCT(--ISNUMBER(Risk_Rank_Keys!$D$2:$D$800),--(Risk_Rank_Keys!$D$2:$D$800&lt;Risk_Rank_Keys!D774))+(SUMPRODUCT(--ISNUMBER(Risk_Rank_Keys!$D$2:$D$800),--(Risk_Rank_Keys!$D$2:$D$800=Risk_Rank_Keys!D774))+1)/2)/COUNT(Risk_Rank_Keys!$D$2:$D$800))</f>
        <v/>
      </c>
      <c r="P774">
        <f>AVERAGE(M774:O774)</f>
        <v/>
      </c>
      <c r="Q774">
        <f>0.4*H774+0.4*I774+0.2*P774</f>
        <v/>
      </c>
      <c r="R774">
        <f>PERCENTILE($Q$2:$Q$800,0.75)</f>
        <v/>
      </c>
      <c r="S774">
        <f>OR(Q774&gt;=R774,AND(B774="CW",COUNT(J774:L774)&lt;3))</f>
        <v/>
      </c>
      <c r="T774" t="n">
        <v>0.2890188964245146</v>
      </c>
      <c r="U774" t="n">
        <v>8.695359856827658</v>
      </c>
      <c r="V774" t="n">
        <v>0.5618666755108227</v>
      </c>
      <c r="W774">
        <f>Q774-V774</f>
        <v/>
      </c>
    </row>
    <row r="775">
      <c r="A775" t="inlineStr">
        <is>
          <t>2026-06-16</t>
        </is>
      </c>
      <c r="B775" t="inlineStr">
        <is>
          <t>NW</t>
        </is>
      </c>
      <c r="C775" t="n">
        <v>26.98653527819096</v>
      </c>
      <c r="D775">
        <f>SUMPRODUCT(Risk_Inputs!B775:AJ775,Risk_Coefs!$B$2:$AJ$2)</f>
        <v/>
      </c>
      <c r="E775">
        <f>1/(1+EXP(-MAX(-25,MIN(25,D775))))</f>
        <v/>
      </c>
      <c r="F775">
        <f>SUMPRODUCT(Risk_Inputs!B775:AJ775,Risk_Coefs!$B$3:$AJ$3)</f>
        <v/>
      </c>
      <c r="G775">
        <f>MAX(0,F775)</f>
        <v/>
      </c>
      <c r="H775">
        <f>(SUMPRODUCT(--ISNUMBER($E$2:$E$800),--($E$2:$E$800&lt;E775))+(SUMPRODUCT(--ISNUMBER($E$2:$E$800),--($E$2:$E$800=E775))+1)/2)/COUNT($E$2:$E$800)</f>
        <v/>
      </c>
      <c r="I775">
        <f>(SUMPRODUCT(--ISNUMBER($G$2:$G$800),--($G$2:$G$800&lt;G775))+(SUMPRODUCT(--ISNUMBER($G$2:$G$800),--($G$2:$G$800=G775))+1)/2)/COUNT($G$2:$G$800)</f>
        <v/>
      </c>
      <c r="M775">
        <f>IF(OR(B775="NW",COUNT(Risk_Rank_Keys!B775)=0),0.5,(SUMPRODUCT(--ISNUMBER(Risk_Rank_Keys!$B$2:$B$800),--(Risk_Rank_Keys!$B$2:$B$800&lt;Risk_Rank_Keys!B775))+(SUMPRODUCT(--ISNUMBER(Risk_Rank_Keys!$B$2:$B$800),--(Risk_Rank_Keys!$B$2:$B$800=Risk_Rank_Keys!B775))+1)/2)/COUNT(Risk_Rank_Keys!$B$2:$B$800))</f>
        <v/>
      </c>
      <c r="N775">
        <f>IF(OR(B775="NW",COUNT(Risk_Rank_Keys!C775)=0),0.5,(SUMPRODUCT(--ISNUMBER(Risk_Rank_Keys!$C$2:$C$800),--(Risk_Rank_Keys!$C$2:$C$800&lt;Risk_Rank_Keys!C775))+(SUMPRODUCT(--ISNUMBER(Risk_Rank_Keys!$C$2:$C$800),--(Risk_Rank_Keys!$C$2:$C$800=Risk_Rank_Keys!C775))+1)/2)/COUNT(Risk_Rank_Keys!$C$2:$C$800))</f>
        <v/>
      </c>
      <c r="O775">
        <f>IF(OR(B775="NW",COUNT(Risk_Rank_Keys!D775)=0),0.5,(SUMPRODUCT(--ISNUMBER(Risk_Rank_Keys!$D$2:$D$800),--(Risk_Rank_Keys!$D$2:$D$800&lt;Risk_Rank_Keys!D775))+(SUMPRODUCT(--ISNUMBER(Risk_Rank_Keys!$D$2:$D$800),--(Risk_Rank_Keys!$D$2:$D$800=Risk_Rank_Keys!D775))+1)/2)/COUNT(Risk_Rank_Keys!$D$2:$D$800))</f>
        <v/>
      </c>
      <c r="P775">
        <f>AVERAGE(M775:O775)</f>
        <v/>
      </c>
      <c r="Q775">
        <f>0.4*H775+0.4*I775+0.2*P775</f>
        <v/>
      </c>
      <c r="R775">
        <f>PERCENTILE($Q$2:$Q$800,0.75)</f>
        <v/>
      </c>
      <c r="S775">
        <f>OR(Q775&gt;=R775,AND(B775="CW",COUNT(J775:L775)&lt;3))</f>
        <v/>
      </c>
      <c r="T775" t="n">
        <v>0.3575284539627294</v>
      </c>
      <c r="U775" t="n">
        <v>10.39887602210681</v>
      </c>
      <c r="V775" t="n">
        <v>0.7673341677096371</v>
      </c>
      <c r="W775">
        <f>Q775-V775</f>
        <v/>
      </c>
    </row>
    <row r="776">
      <c r="A776" t="inlineStr">
        <is>
          <t>2026-06-18</t>
        </is>
      </c>
      <c r="B776" t="inlineStr">
        <is>
          <t>CW</t>
        </is>
      </c>
      <c r="C776" t="n">
        <v>24.96688453122966</v>
      </c>
      <c r="D776">
        <f>SUMPRODUCT(Risk_Inputs!B776:AJ776,Risk_Coefs!$B$2:$AJ$2)</f>
        <v/>
      </c>
      <c r="E776">
        <f>1/(1+EXP(-MAX(-25,MIN(25,D776))))</f>
        <v/>
      </c>
      <c r="F776">
        <f>SUMPRODUCT(Risk_Inputs!B776:AJ776,Risk_Coefs!$B$3:$AJ$3)</f>
        <v/>
      </c>
      <c r="G776">
        <f>MAX(0,F776)</f>
        <v/>
      </c>
      <c r="H776">
        <f>(SUMPRODUCT(--ISNUMBER($E$2:$E$800),--($E$2:$E$800&lt;E776))+(SUMPRODUCT(--ISNUMBER($E$2:$E$800),--($E$2:$E$800=E776))+1)/2)/COUNT($E$2:$E$800)</f>
        <v/>
      </c>
      <c r="I776">
        <f>(SUMPRODUCT(--ISNUMBER($G$2:$G$800),--($G$2:$G$800&lt;G776))+(SUMPRODUCT(--ISNUMBER($G$2:$G$800),--($G$2:$G$800=G776))+1)/2)/COUNT($G$2:$G$800)</f>
        <v/>
      </c>
      <c r="J776" t="n">
        <v>6.089210044495481</v>
      </c>
      <c r="K776" t="n">
        <v>1.304584163797777</v>
      </c>
      <c r="L776" t="n">
        <v>0.1630730204747195</v>
      </c>
      <c r="M776">
        <f>IF(OR(B776="NW",COUNT(Risk_Rank_Keys!B776)=0),0.5,(SUMPRODUCT(--ISNUMBER(Risk_Rank_Keys!$B$2:$B$800),--(Risk_Rank_Keys!$B$2:$B$800&lt;Risk_Rank_Keys!B776))+(SUMPRODUCT(--ISNUMBER(Risk_Rank_Keys!$B$2:$B$800),--(Risk_Rank_Keys!$B$2:$B$800=Risk_Rank_Keys!B776))+1)/2)/COUNT(Risk_Rank_Keys!$B$2:$B$800))</f>
        <v/>
      </c>
      <c r="N776">
        <f>IF(OR(B776="NW",COUNT(Risk_Rank_Keys!C776)=0),0.5,(SUMPRODUCT(--ISNUMBER(Risk_Rank_Keys!$C$2:$C$800),--(Risk_Rank_Keys!$C$2:$C$800&lt;Risk_Rank_Keys!C776))+(SUMPRODUCT(--ISNUMBER(Risk_Rank_Keys!$C$2:$C$800),--(Risk_Rank_Keys!$C$2:$C$800=Risk_Rank_Keys!C776))+1)/2)/COUNT(Risk_Rank_Keys!$C$2:$C$800))</f>
        <v/>
      </c>
      <c r="O776">
        <f>IF(OR(B776="NW",COUNT(Risk_Rank_Keys!D776)=0),0.5,(SUMPRODUCT(--ISNUMBER(Risk_Rank_Keys!$D$2:$D$800),--(Risk_Rank_Keys!$D$2:$D$800&lt;Risk_Rank_Keys!D776))+(SUMPRODUCT(--ISNUMBER(Risk_Rank_Keys!$D$2:$D$800),--(Risk_Rank_Keys!$D$2:$D$800=Risk_Rank_Keys!D776))+1)/2)/COUNT(Risk_Rank_Keys!$D$2:$D$800))</f>
        <v/>
      </c>
      <c r="P776">
        <f>AVERAGE(M776:O776)</f>
        <v/>
      </c>
      <c r="Q776">
        <f>0.4*H776+0.4*I776+0.2*P776</f>
        <v/>
      </c>
      <c r="R776">
        <f>PERCENTILE($Q$2:$Q$800,0.75)</f>
        <v/>
      </c>
      <c r="S776">
        <f>OR(Q776&gt;=R776,AND(B776="CW",COUNT(J776:L776)&lt;3))</f>
        <v/>
      </c>
      <c r="T776" t="n">
        <v>0.2959181425835469</v>
      </c>
      <c r="U776" t="n">
        <v>8.507869258234383</v>
      </c>
      <c r="V776" t="n">
        <v>0.4935405658747075</v>
      </c>
      <c r="W776">
        <f>Q776-V776</f>
        <v/>
      </c>
    </row>
    <row r="777">
      <c r="A777" t="inlineStr">
        <is>
          <t>2026-06-19</t>
        </is>
      </c>
      <c r="B777" t="inlineStr">
        <is>
          <t>CW</t>
        </is>
      </c>
      <c r="C777" t="n">
        <v>33.5208098888202</v>
      </c>
      <c r="D777">
        <f>SUMPRODUCT(Risk_Inputs!B777:AJ777,Risk_Coefs!$B$2:$AJ$2)</f>
        <v/>
      </c>
      <c r="E777">
        <f>1/(1+EXP(-MAX(-25,MIN(25,D777))))</f>
        <v/>
      </c>
      <c r="F777">
        <f>SUMPRODUCT(Risk_Inputs!B777:AJ777,Risk_Coefs!$B$3:$AJ$3)</f>
        <v/>
      </c>
      <c r="G777">
        <f>MAX(0,F777)</f>
        <v/>
      </c>
      <c r="H777">
        <f>(SUMPRODUCT(--ISNUMBER($E$2:$E$800),--($E$2:$E$800&lt;E777))+(SUMPRODUCT(--ISNUMBER($E$2:$E$800),--($E$2:$E$800=E777))+1)/2)/COUNT($E$2:$E$800)</f>
        <v/>
      </c>
      <c r="I777">
        <f>(SUMPRODUCT(--ISNUMBER($G$2:$G$800),--($G$2:$G$800&lt;G777))+(SUMPRODUCT(--ISNUMBER($G$2:$G$800),--($G$2:$G$800=G777))+1)/2)/COUNT($G$2:$G$800)</f>
        <v/>
      </c>
      <c r="J777" t="n">
        <v>9.295927300012202</v>
      </c>
      <c r="K777" t="n">
        <v>3.842202588863775</v>
      </c>
      <c r="L777" t="n">
        <v>0.1232792274501734</v>
      </c>
      <c r="M777">
        <f>IF(OR(B777="NW",COUNT(Risk_Rank_Keys!B777)=0),0.5,(SUMPRODUCT(--ISNUMBER(Risk_Rank_Keys!$B$2:$B$800),--(Risk_Rank_Keys!$B$2:$B$800&lt;Risk_Rank_Keys!B777))+(SUMPRODUCT(--ISNUMBER(Risk_Rank_Keys!$B$2:$B$800),--(Risk_Rank_Keys!$B$2:$B$800=Risk_Rank_Keys!B777))+1)/2)/COUNT(Risk_Rank_Keys!$B$2:$B$800))</f>
        <v/>
      </c>
      <c r="N777">
        <f>IF(OR(B777="NW",COUNT(Risk_Rank_Keys!C777)=0),0.5,(SUMPRODUCT(--ISNUMBER(Risk_Rank_Keys!$C$2:$C$800),--(Risk_Rank_Keys!$C$2:$C$800&lt;Risk_Rank_Keys!C777))+(SUMPRODUCT(--ISNUMBER(Risk_Rank_Keys!$C$2:$C$800),--(Risk_Rank_Keys!$C$2:$C$800=Risk_Rank_Keys!C777))+1)/2)/COUNT(Risk_Rank_Keys!$C$2:$C$800))</f>
        <v/>
      </c>
      <c r="O777">
        <f>IF(OR(B777="NW",COUNT(Risk_Rank_Keys!D777)=0),0.5,(SUMPRODUCT(--ISNUMBER(Risk_Rank_Keys!$D$2:$D$800),--(Risk_Rank_Keys!$D$2:$D$800&lt;Risk_Rank_Keys!D777))+(SUMPRODUCT(--ISNUMBER(Risk_Rank_Keys!$D$2:$D$800),--(Risk_Rank_Keys!$D$2:$D$800=Risk_Rank_Keys!D777))+1)/2)/COUNT(Risk_Rank_Keys!$D$2:$D$800))</f>
        <v/>
      </c>
      <c r="P777">
        <f>AVERAGE(M777:O777)</f>
        <v/>
      </c>
      <c r="Q777">
        <f>0.4*H777+0.4*I777+0.2*P777</f>
        <v/>
      </c>
      <c r="R777">
        <f>PERCENTILE($Q$2:$Q$800,0.75)</f>
        <v/>
      </c>
      <c r="S777">
        <f>OR(Q777&gt;=R777,AND(B777="CW",COUNT(J777:L777)&lt;3))</f>
        <v/>
      </c>
      <c r="T777" t="n">
        <v>0.2521844314050777</v>
      </c>
      <c r="U777" t="n">
        <v>3.103960679013208</v>
      </c>
      <c r="V777" t="n">
        <v>0.19461984384246</v>
      </c>
      <c r="W777">
        <f>Q777-V777</f>
        <v/>
      </c>
    </row>
    <row r="778">
      <c r="A778" t="inlineStr">
        <is>
          <t>2026-06-30</t>
        </is>
      </c>
      <c r="B778" t="inlineStr">
        <is>
          <t>CW</t>
        </is>
      </c>
      <c r="C778" t="n">
        <v>-43.79597420538059</v>
      </c>
      <c r="D778">
        <f>SUMPRODUCT(Risk_Inputs!B778:AJ778,Risk_Coefs!$B$2:$AJ$2)</f>
        <v/>
      </c>
      <c r="E778">
        <f>1/(1+EXP(-MAX(-25,MIN(25,D778))))</f>
        <v/>
      </c>
      <c r="F778">
        <f>SUMPRODUCT(Risk_Inputs!B778:AJ778,Risk_Coefs!$B$3:$AJ$3)</f>
        <v/>
      </c>
      <c r="G778">
        <f>MAX(0,F778)</f>
        <v/>
      </c>
      <c r="H778">
        <f>(SUMPRODUCT(--ISNUMBER($E$2:$E$800),--($E$2:$E$800&lt;E778))+(SUMPRODUCT(--ISNUMBER($E$2:$E$800),--($E$2:$E$800=E778))+1)/2)/COUNT($E$2:$E$800)</f>
        <v/>
      </c>
      <c r="I778">
        <f>(SUMPRODUCT(--ISNUMBER($G$2:$G$800),--($G$2:$G$800&lt;G778))+(SUMPRODUCT(--ISNUMBER($G$2:$G$800),--($G$2:$G$800=G778))+1)/2)/COUNT($G$2:$G$800)</f>
        <v/>
      </c>
      <c r="J778" t="n">
        <v>5.509158976799231</v>
      </c>
      <c r="K778" t="n">
        <v>2.179276315789467</v>
      </c>
      <c r="L778" t="n">
        <v>0.2878289473684104</v>
      </c>
      <c r="M778">
        <f>IF(OR(B778="NW",COUNT(Risk_Rank_Keys!B778)=0),0.5,(SUMPRODUCT(--ISNUMBER(Risk_Rank_Keys!$B$2:$B$800),--(Risk_Rank_Keys!$B$2:$B$800&lt;Risk_Rank_Keys!B778))+(SUMPRODUCT(--ISNUMBER(Risk_Rank_Keys!$B$2:$B$800),--(Risk_Rank_Keys!$B$2:$B$800=Risk_Rank_Keys!B778))+1)/2)/COUNT(Risk_Rank_Keys!$B$2:$B$800))</f>
        <v/>
      </c>
      <c r="N778">
        <f>IF(OR(B778="NW",COUNT(Risk_Rank_Keys!C778)=0),0.5,(SUMPRODUCT(--ISNUMBER(Risk_Rank_Keys!$C$2:$C$800),--(Risk_Rank_Keys!$C$2:$C$800&lt;Risk_Rank_Keys!C778))+(SUMPRODUCT(--ISNUMBER(Risk_Rank_Keys!$C$2:$C$800),--(Risk_Rank_Keys!$C$2:$C$800=Risk_Rank_Keys!C778))+1)/2)/COUNT(Risk_Rank_Keys!$C$2:$C$800))</f>
        <v/>
      </c>
      <c r="O778">
        <f>IF(OR(B778="NW",COUNT(Risk_Rank_Keys!D778)=0),0.5,(SUMPRODUCT(--ISNUMBER(Risk_Rank_Keys!$D$2:$D$800),--(Risk_Rank_Keys!$D$2:$D$800&lt;Risk_Rank_Keys!D778))+(SUMPRODUCT(--ISNUMBER(Risk_Rank_Keys!$D$2:$D$800),--(Risk_Rank_Keys!$D$2:$D$800=Risk_Rank_Keys!D778))+1)/2)/COUNT(Risk_Rank_Keys!$D$2:$D$800))</f>
        <v/>
      </c>
      <c r="P778">
        <f>AVERAGE(M778:O778)</f>
        <v/>
      </c>
      <c r="Q778">
        <f>0.4*H778+0.4*I778+0.2*P778</f>
        <v/>
      </c>
      <c r="R778">
        <f>PERCENTILE($Q$2:$Q$800,0.75)</f>
        <v/>
      </c>
      <c r="S778">
        <f>OR(Q778&gt;=R778,AND(B778="CW",COUNT(J778:L778)&lt;3))</f>
        <v/>
      </c>
      <c r="T778" t="n">
        <v>0.2735031866961658</v>
      </c>
      <c r="U778" t="n">
        <v>5.462490265807745</v>
      </c>
      <c r="V778" t="n">
        <v>0.3224516466131246</v>
      </c>
      <c r="W778">
        <f>Q778-V778</f>
        <v/>
      </c>
    </row>
    <row r="779">
      <c r="A779" t="inlineStr">
        <is>
          <t>2026-07-01</t>
        </is>
      </c>
      <c r="B779" t="inlineStr">
        <is>
          <t>CW</t>
        </is>
      </c>
      <c r="C779" t="n">
        <v>29.37587085708801</v>
      </c>
      <c r="D779">
        <f>SUMPRODUCT(Risk_Inputs!B779:AJ779,Risk_Coefs!$B$2:$AJ$2)</f>
        <v/>
      </c>
      <c r="E779">
        <f>1/(1+EXP(-MAX(-25,MIN(25,D779))))</f>
        <v/>
      </c>
      <c r="F779">
        <f>SUMPRODUCT(Risk_Inputs!B779:AJ779,Risk_Coefs!$B$3:$AJ$3)</f>
        <v/>
      </c>
      <c r="G779">
        <f>MAX(0,F779)</f>
        <v/>
      </c>
      <c r="H779">
        <f>(SUMPRODUCT(--ISNUMBER($E$2:$E$800),--($E$2:$E$800&lt;E779))+(SUMPRODUCT(--ISNUMBER($E$2:$E$800),--($E$2:$E$800=E779))+1)/2)/COUNT($E$2:$E$800)</f>
        <v/>
      </c>
      <c r="I779">
        <f>(SUMPRODUCT(--ISNUMBER($G$2:$G$800),--($G$2:$G$800&lt;G779))+(SUMPRODUCT(--ISNUMBER($G$2:$G$800),--($G$2:$G$800=G779))+1)/2)/COUNT($G$2:$G$800)</f>
        <v/>
      </c>
      <c r="J779" t="n">
        <v>20.757806104551</v>
      </c>
      <c r="K779" t="n">
        <v>3.981509096331633</v>
      </c>
      <c r="L779" t="n">
        <v>0.1938562481359993</v>
      </c>
      <c r="M779">
        <f>IF(OR(B779="NW",COUNT(Risk_Rank_Keys!B779)=0),0.5,(SUMPRODUCT(--ISNUMBER(Risk_Rank_Keys!$B$2:$B$800),--(Risk_Rank_Keys!$B$2:$B$800&lt;Risk_Rank_Keys!B779))+(SUMPRODUCT(--ISNUMBER(Risk_Rank_Keys!$B$2:$B$800),--(Risk_Rank_Keys!$B$2:$B$800=Risk_Rank_Keys!B779))+1)/2)/COUNT(Risk_Rank_Keys!$B$2:$B$800))</f>
        <v/>
      </c>
      <c r="N779">
        <f>IF(OR(B779="NW",COUNT(Risk_Rank_Keys!C779)=0),0.5,(SUMPRODUCT(--ISNUMBER(Risk_Rank_Keys!$C$2:$C$800),--(Risk_Rank_Keys!$C$2:$C$800&lt;Risk_Rank_Keys!C779))+(SUMPRODUCT(--ISNUMBER(Risk_Rank_Keys!$C$2:$C$800),--(Risk_Rank_Keys!$C$2:$C$800=Risk_Rank_Keys!C779))+1)/2)/COUNT(Risk_Rank_Keys!$C$2:$C$800))</f>
        <v/>
      </c>
      <c r="O779">
        <f>IF(OR(B779="NW",COUNT(Risk_Rank_Keys!D779)=0),0.5,(SUMPRODUCT(--ISNUMBER(Risk_Rank_Keys!$D$2:$D$800),--(Risk_Rank_Keys!$D$2:$D$800&lt;Risk_Rank_Keys!D779))+(SUMPRODUCT(--ISNUMBER(Risk_Rank_Keys!$D$2:$D$800),--(Risk_Rank_Keys!$D$2:$D$800=Risk_Rank_Keys!D779))+1)/2)/COUNT(Risk_Rank_Keys!$D$2:$D$800))</f>
        <v/>
      </c>
      <c r="P779">
        <f>AVERAGE(M779:O779)</f>
        <v/>
      </c>
      <c r="Q779">
        <f>0.4*H779+0.4*I779+0.2*P779</f>
        <v/>
      </c>
      <c r="R779">
        <f>PERCENTILE($Q$2:$Q$800,0.75)</f>
        <v/>
      </c>
      <c r="S779">
        <f>OR(Q779&gt;=R779,AND(B779="CW",COUNT(J779:L779)&lt;3))</f>
        <v/>
      </c>
      <c r="T779" t="n">
        <v>0.2264536904464371</v>
      </c>
      <c r="U779" t="n">
        <v>5.552256612080019</v>
      </c>
      <c r="V779" t="n">
        <v>0.2591676369054996</v>
      </c>
      <c r="W779">
        <f>Q779-V779</f>
        <v/>
      </c>
    </row>
    <row r="780">
      <c r="A780" t="inlineStr">
        <is>
          <t>2026-07-02</t>
        </is>
      </c>
      <c r="B780" t="inlineStr">
        <is>
          <t>CW</t>
        </is>
      </c>
      <c r="C780" t="n">
        <v>20.70549422964813</v>
      </c>
      <c r="D780">
        <f>SUMPRODUCT(Risk_Inputs!B780:AJ780,Risk_Coefs!$B$2:$AJ$2)</f>
        <v/>
      </c>
      <c r="E780">
        <f>1/(1+EXP(-MAX(-25,MIN(25,D780))))</f>
        <v/>
      </c>
      <c r="F780">
        <f>SUMPRODUCT(Risk_Inputs!B780:AJ780,Risk_Coefs!$B$3:$AJ$3)</f>
        <v/>
      </c>
      <c r="G780">
        <f>MAX(0,F780)</f>
        <v/>
      </c>
      <c r="H780">
        <f>(SUMPRODUCT(--ISNUMBER($E$2:$E$800),--($E$2:$E$800&lt;E780))+(SUMPRODUCT(--ISNUMBER($E$2:$E$800),--($E$2:$E$800=E780))+1)/2)/COUNT($E$2:$E$800)</f>
        <v/>
      </c>
      <c r="I780">
        <f>(SUMPRODUCT(--ISNUMBER($G$2:$G$800),--($G$2:$G$800&lt;G780))+(SUMPRODUCT(--ISNUMBER($G$2:$G$800),--($G$2:$G$800=G780))+1)/2)/COUNT($G$2:$G$800)</f>
        <v/>
      </c>
      <c r="J780" t="n">
        <v>3.857480608900937</v>
      </c>
      <c r="K780" t="n">
        <v>1.219512195121968</v>
      </c>
      <c r="L780" t="n">
        <v>0.1905487804877994</v>
      </c>
      <c r="M780">
        <f>IF(OR(B780="NW",COUNT(Risk_Rank_Keys!B780)=0),0.5,(SUMPRODUCT(--ISNUMBER(Risk_Rank_Keys!$B$2:$B$800),--(Risk_Rank_Keys!$B$2:$B$800&lt;Risk_Rank_Keys!B780))+(SUMPRODUCT(--ISNUMBER(Risk_Rank_Keys!$B$2:$B$800),--(Risk_Rank_Keys!$B$2:$B$800=Risk_Rank_Keys!B780))+1)/2)/COUNT(Risk_Rank_Keys!$B$2:$B$800))</f>
        <v/>
      </c>
      <c r="N780">
        <f>IF(OR(B780="NW",COUNT(Risk_Rank_Keys!C780)=0),0.5,(SUMPRODUCT(--ISNUMBER(Risk_Rank_Keys!$C$2:$C$800),--(Risk_Rank_Keys!$C$2:$C$800&lt;Risk_Rank_Keys!C780))+(SUMPRODUCT(--ISNUMBER(Risk_Rank_Keys!$C$2:$C$800),--(Risk_Rank_Keys!$C$2:$C$800=Risk_Rank_Keys!C780))+1)/2)/COUNT(Risk_Rank_Keys!$C$2:$C$800))</f>
        <v/>
      </c>
      <c r="O780">
        <f>IF(OR(B780="NW",COUNT(Risk_Rank_Keys!D780)=0),0.5,(SUMPRODUCT(--ISNUMBER(Risk_Rank_Keys!$D$2:$D$800),--(Risk_Rank_Keys!$D$2:$D$800&lt;Risk_Rank_Keys!D780))+(SUMPRODUCT(--ISNUMBER(Risk_Rank_Keys!$D$2:$D$800),--(Risk_Rank_Keys!$D$2:$D$800=Risk_Rank_Keys!D780))+1)/2)/COUNT(Risk_Rank_Keys!$D$2:$D$800))</f>
        <v/>
      </c>
      <c r="P780">
        <f>AVERAGE(M780:O780)</f>
        <v/>
      </c>
      <c r="Q780">
        <f>0.4*H780+0.4*I780+0.2*P780</f>
        <v/>
      </c>
      <c r="R780">
        <f>PERCENTILE($Q$2:$Q$800,0.75)</f>
        <v/>
      </c>
      <c r="S780">
        <f>OR(Q780&gt;=R780,AND(B780="CW",COUNT(J780:L780)&lt;3))</f>
        <v/>
      </c>
      <c r="T780" t="n">
        <v>0.2999559886758259</v>
      </c>
      <c r="U780" t="n">
        <v>7.680177679844478</v>
      </c>
      <c r="V780" t="n">
        <v>0.4581317069395787</v>
      </c>
      <c r="W780">
        <f>Q780-V780</f>
        <v/>
      </c>
    </row>
    <row r="781">
      <c r="A781" t="inlineStr">
        <is>
          <t>2026-07-13</t>
        </is>
      </c>
      <c r="B781" t="inlineStr">
        <is>
          <t>CW</t>
        </is>
      </c>
      <c r="C781" t="n">
        <v>30.16167606199756</v>
      </c>
      <c r="D781">
        <f>SUMPRODUCT(Risk_Inputs!B781:AJ781,Risk_Coefs!$B$2:$AJ$2)</f>
        <v/>
      </c>
      <c r="E781">
        <f>1/(1+EXP(-MAX(-25,MIN(25,D781))))</f>
        <v/>
      </c>
      <c r="F781">
        <f>SUMPRODUCT(Risk_Inputs!B781:AJ781,Risk_Coefs!$B$3:$AJ$3)</f>
        <v/>
      </c>
      <c r="G781">
        <f>MAX(0,F781)</f>
        <v/>
      </c>
      <c r="H781">
        <f>(SUMPRODUCT(--ISNUMBER($E$2:$E$800),--($E$2:$E$800&lt;E781))+(SUMPRODUCT(--ISNUMBER($E$2:$E$800),--($E$2:$E$800=E781))+1)/2)/COUNT($E$2:$E$800)</f>
        <v/>
      </c>
      <c r="I781">
        <f>(SUMPRODUCT(--ISNUMBER($G$2:$G$800),--($G$2:$G$800&lt;G781))+(SUMPRODUCT(--ISNUMBER($G$2:$G$800),--($G$2:$G$800=G781))+1)/2)/COUNT($G$2:$G$800)</f>
        <v/>
      </c>
      <c r="J781" t="n">
        <v>15.99772403513847</v>
      </c>
      <c r="K781" t="n">
        <v>5.45592321293255</v>
      </c>
      <c r="L781" t="n">
        <v>0.2020712301086161</v>
      </c>
      <c r="M781">
        <f>IF(OR(B781="NW",COUNT(Risk_Rank_Keys!B781)=0),0.5,(SUMPRODUCT(--ISNUMBER(Risk_Rank_Keys!$B$2:$B$800),--(Risk_Rank_Keys!$B$2:$B$800&lt;Risk_Rank_Keys!B781))+(SUMPRODUCT(--ISNUMBER(Risk_Rank_Keys!$B$2:$B$800),--(Risk_Rank_Keys!$B$2:$B$800=Risk_Rank_Keys!B781))+1)/2)/COUNT(Risk_Rank_Keys!$B$2:$B$800))</f>
        <v/>
      </c>
      <c r="N781">
        <f>IF(OR(B781="NW",COUNT(Risk_Rank_Keys!C781)=0),0.5,(SUMPRODUCT(--ISNUMBER(Risk_Rank_Keys!$C$2:$C$800),--(Risk_Rank_Keys!$C$2:$C$800&lt;Risk_Rank_Keys!C781))+(SUMPRODUCT(--ISNUMBER(Risk_Rank_Keys!$C$2:$C$800),--(Risk_Rank_Keys!$C$2:$C$800=Risk_Rank_Keys!C781))+1)/2)/COUNT(Risk_Rank_Keys!$C$2:$C$800))</f>
        <v/>
      </c>
      <c r="O781">
        <f>IF(OR(B781="NW",COUNT(Risk_Rank_Keys!D781)=0),0.5,(SUMPRODUCT(--ISNUMBER(Risk_Rank_Keys!$D$2:$D$800),--(Risk_Rank_Keys!$D$2:$D$800&lt;Risk_Rank_Keys!D781))+(SUMPRODUCT(--ISNUMBER(Risk_Rank_Keys!$D$2:$D$800),--(Risk_Rank_Keys!$D$2:$D$800=Risk_Rank_Keys!D781))+1)/2)/COUNT(Risk_Rank_Keys!$D$2:$D$800))</f>
        <v/>
      </c>
      <c r="P781">
        <f>AVERAGE(M781:O781)</f>
        <v/>
      </c>
      <c r="Q781">
        <f>0.4*H781+0.4*I781+0.2*P781</f>
        <v/>
      </c>
      <c r="R781">
        <f>PERCENTILE($Q$2:$Q$800,0.75)</f>
        <v/>
      </c>
      <c r="S781">
        <f>OR(Q781&gt;=R781,AND(B781="CW",COUNT(J781:L781)&lt;3))</f>
        <v/>
      </c>
      <c r="T781" t="n">
        <v>0.3359949151998193</v>
      </c>
      <c r="U781" t="n">
        <v>7.423682373001323</v>
      </c>
      <c r="V781" t="n">
        <v>0.6093379741878651</v>
      </c>
      <c r="W781">
        <f>Q781-V781</f>
        <v/>
      </c>
    </row>
    <row r="782">
      <c r="A782" t="inlineStr">
        <is>
          <t>2026-07-14</t>
        </is>
      </c>
      <c r="B782" t="inlineStr">
        <is>
          <t>CW</t>
        </is>
      </c>
      <c r="C782" t="n">
        <v>36.83254598619764</v>
      </c>
      <c r="D782">
        <f>SUMPRODUCT(Risk_Inputs!B782:AJ782,Risk_Coefs!$B$2:$AJ$2)</f>
        <v/>
      </c>
      <c r="E782">
        <f>1/(1+EXP(-MAX(-25,MIN(25,D782))))</f>
        <v/>
      </c>
      <c r="F782">
        <f>SUMPRODUCT(Risk_Inputs!B782:AJ782,Risk_Coefs!$B$3:$AJ$3)</f>
        <v/>
      </c>
      <c r="G782">
        <f>MAX(0,F782)</f>
        <v/>
      </c>
      <c r="H782">
        <f>(SUMPRODUCT(--ISNUMBER($E$2:$E$800),--($E$2:$E$800&lt;E782))+(SUMPRODUCT(--ISNUMBER($E$2:$E$800),--($E$2:$E$800=E782))+1)/2)/COUNT($E$2:$E$800)</f>
        <v/>
      </c>
      <c r="I782">
        <f>(SUMPRODUCT(--ISNUMBER($G$2:$G$800),--($G$2:$G$800&lt;G782))+(SUMPRODUCT(--ISNUMBER($G$2:$G$800),--($G$2:$G$800=G782))+1)/2)/COUNT($G$2:$G$800)</f>
        <v/>
      </c>
      <c r="J782" t="n">
        <v>13.42061921533914</v>
      </c>
      <c r="K782" t="n">
        <v>4.820229158435407</v>
      </c>
      <c r="L782" t="n">
        <v>0.3555906756222803</v>
      </c>
      <c r="M782">
        <f>IF(OR(B782="NW",COUNT(Risk_Rank_Keys!B782)=0),0.5,(SUMPRODUCT(--ISNUMBER(Risk_Rank_Keys!$B$2:$B$800),--(Risk_Rank_Keys!$B$2:$B$800&lt;Risk_Rank_Keys!B782))+(SUMPRODUCT(--ISNUMBER(Risk_Rank_Keys!$B$2:$B$800),--(Risk_Rank_Keys!$B$2:$B$800=Risk_Rank_Keys!B782))+1)/2)/COUNT(Risk_Rank_Keys!$B$2:$B$800))</f>
        <v/>
      </c>
      <c r="N782">
        <f>IF(OR(B782="NW",COUNT(Risk_Rank_Keys!C782)=0),0.5,(SUMPRODUCT(--ISNUMBER(Risk_Rank_Keys!$C$2:$C$800),--(Risk_Rank_Keys!$C$2:$C$800&lt;Risk_Rank_Keys!C782))+(SUMPRODUCT(--ISNUMBER(Risk_Rank_Keys!$C$2:$C$800),--(Risk_Rank_Keys!$C$2:$C$800=Risk_Rank_Keys!C782))+1)/2)/COUNT(Risk_Rank_Keys!$C$2:$C$800))</f>
        <v/>
      </c>
      <c r="O782">
        <f>IF(OR(B782="NW",COUNT(Risk_Rank_Keys!D782)=0),0.5,(SUMPRODUCT(--ISNUMBER(Risk_Rank_Keys!$D$2:$D$800),--(Risk_Rank_Keys!$D$2:$D$800&lt;Risk_Rank_Keys!D782))+(SUMPRODUCT(--ISNUMBER(Risk_Rank_Keys!$D$2:$D$800),--(Risk_Rank_Keys!$D$2:$D$800=Risk_Rank_Keys!D782))+1)/2)/COUNT(Risk_Rank_Keys!$D$2:$D$800))</f>
        <v/>
      </c>
      <c r="P782">
        <f>AVERAGE(M782:O782)</f>
        <v/>
      </c>
      <c r="Q782">
        <f>0.4*H782+0.4*I782+0.2*P782</f>
        <v/>
      </c>
      <c r="R782">
        <f>PERCENTILE($Q$2:$Q$800,0.75)</f>
        <v/>
      </c>
      <c r="S782">
        <f>OR(Q782&gt;=R782,AND(B782="CW",COUNT(J782:L782)&lt;3))</f>
        <v/>
      </c>
      <c r="T782" t="n">
        <v>0.2350045880872423</v>
      </c>
      <c r="U782" t="n">
        <v>3.291263634291992</v>
      </c>
      <c r="V782" t="n">
        <v>0.2383511700178454</v>
      </c>
      <c r="W782">
        <f>Q782-V782</f>
        <v/>
      </c>
    </row>
    <row r="783">
      <c r="A783" t="inlineStr">
        <is>
          <t>2026-07-21</t>
        </is>
      </c>
      <c r="B783" t="inlineStr">
        <is>
          <t>NW</t>
        </is>
      </c>
      <c r="C783" t="n">
        <v>10.40600704618307</v>
      </c>
      <c r="D783">
        <f>SUMPRODUCT(Risk_Inputs!B783:AJ783,Risk_Coefs!$B$2:$AJ$2)</f>
        <v/>
      </c>
      <c r="E783">
        <f>1/(1+EXP(-MAX(-25,MIN(25,D783))))</f>
        <v/>
      </c>
      <c r="F783">
        <f>SUMPRODUCT(Risk_Inputs!B783:AJ783,Risk_Coefs!$B$3:$AJ$3)</f>
        <v/>
      </c>
      <c r="G783">
        <f>MAX(0,F783)</f>
        <v/>
      </c>
      <c r="H783">
        <f>(SUMPRODUCT(--ISNUMBER($E$2:$E$800),--($E$2:$E$800&lt;E783))+(SUMPRODUCT(--ISNUMBER($E$2:$E$800),--($E$2:$E$800=E783))+1)/2)/COUNT($E$2:$E$800)</f>
        <v/>
      </c>
      <c r="I783">
        <f>(SUMPRODUCT(--ISNUMBER($G$2:$G$800),--($G$2:$G$800&lt;G783))+(SUMPRODUCT(--ISNUMBER($G$2:$G$800),--($G$2:$G$800=G783))+1)/2)/COUNT($G$2:$G$800)</f>
        <v/>
      </c>
      <c r="M783">
        <f>IF(OR(B783="NW",COUNT(Risk_Rank_Keys!B783)=0),0.5,(SUMPRODUCT(--ISNUMBER(Risk_Rank_Keys!$B$2:$B$800),--(Risk_Rank_Keys!$B$2:$B$800&lt;Risk_Rank_Keys!B783))+(SUMPRODUCT(--ISNUMBER(Risk_Rank_Keys!$B$2:$B$800),--(Risk_Rank_Keys!$B$2:$B$800=Risk_Rank_Keys!B783))+1)/2)/COUNT(Risk_Rank_Keys!$B$2:$B$800))</f>
        <v/>
      </c>
      <c r="N783">
        <f>IF(OR(B783="NW",COUNT(Risk_Rank_Keys!C783)=0),0.5,(SUMPRODUCT(--ISNUMBER(Risk_Rank_Keys!$C$2:$C$800),--(Risk_Rank_Keys!$C$2:$C$800&lt;Risk_Rank_Keys!C783))+(SUMPRODUCT(--ISNUMBER(Risk_Rank_Keys!$C$2:$C$800),--(Risk_Rank_Keys!$C$2:$C$800=Risk_Rank_Keys!C783))+1)/2)/COUNT(Risk_Rank_Keys!$C$2:$C$800))</f>
        <v/>
      </c>
      <c r="O783">
        <f>IF(OR(B783="NW",COUNT(Risk_Rank_Keys!D783)=0),0.5,(SUMPRODUCT(--ISNUMBER(Risk_Rank_Keys!$D$2:$D$800),--(Risk_Rank_Keys!$D$2:$D$800&lt;Risk_Rank_Keys!D783))+(SUMPRODUCT(--ISNUMBER(Risk_Rank_Keys!$D$2:$D$800),--(Risk_Rank_Keys!$D$2:$D$800=Risk_Rank_Keys!D783))+1)/2)/COUNT(Risk_Rank_Keys!$D$2:$D$800))</f>
        <v/>
      </c>
      <c r="P783">
        <f>AVERAGE(M783:O783)</f>
        <v/>
      </c>
      <c r="Q783">
        <f>0.4*H783+0.4*I783+0.2*P783</f>
        <v/>
      </c>
      <c r="R783">
        <f>PERCENTILE($Q$2:$Q$800,0.75)</f>
        <v/>
      </c>
      <c r="S783">
        <f>OR(Q783&gt;=R783,AND(B783="CW",COUNT(J783:L783)&lt;3))</f>
        <v/>
      </c>
      <c r="T783" t="n">
        <v>0.3336694916228833</v>
      </c>
      <c r="U783" t="n">
        <v>9.663782690594291</v>
      </c>
      <c r="V783" t="n">
        <v>0.6982478097622028</v>
      </c>
      <c r="W783">
        <f>Q783-V783</f>
        <v/>
      </c>
    </row>
    <row r="784">
      <c r="A784" t="inlineStr">
        <is>
          <t>2026-07-22</t>
        </is>
      </c>
      <c r="B784" t="inlineStr">
        <is>
          <t>CW</t>
        </is>
      </c>
      <c r="C784" t="n">
        <v>11.96706897751828</v>
      </c>
      <c r="D784">
        <f>SUMPRODUCT(Risk_Inputs!B784:AJ784,Risk_Coefs!$B$2:$AJ$2)</f>
        <v/>
      </c>
      <c r="E784">
        <f>1/(1+EXP(-MAX(-25,MIN(25,D784))))</f>
        <v/>
      </c>
      <c r="F784">
        <f>SUMPRODUCT(Risk_Inputs!B784:AJ784,Risk_Coefs!$B$3:$AJ$3)</f>
        <v/>
      </c>
      <c r="G784">
        <f>MAX(0,F784)</f>
        <v/>
      </c>
      <c r="H784">
        <f>(SUMPRODUCT(--ISNUMBER($E$2:$E$800),--($E$2:$E$800&lt;E784))+(SUMPRODUCT(--ISNUMBER($E$2:$E$800),--($E$2:$E$800=E784))+1)/2)/COUNT($E$2:$E$800)</f>
        <v/>
      </c>
      <c r="I784">
        <f>(SUMPRODUCT(--ISNUMBER($G$2:$G$800),--($G$2:$G$800&lt;G784))+(SUMPRODUCT(--ISNUMBER($G$2:$G$800),--($G$2:$G$800=G784))+1)/2)/COUNT($G$2:$G$800)</f>
        <v/>
      </c>
      <c r="J784" t="n">
        <v>26.96571324103835</v>
      </c>
      <c r="K784" t="n">
        <v>3.144078144078148</v>
      </c>
      <c r="L784" t="n">
        <v>0.2747252747252764</v>
      </c>
      <c r="M784">
        <f>IF(OR(B784="NW",COUNT(Risk_Rank_Keys!B784)=0),0.5,(SUMPRODUCT(--ISNUMBER(Risk_Rank_Keys!$B$2:$B$800),--(Risk_Rank_Keys!$B$2:$B$800&lt;Risk_Rank_Keys!B784))+(SUMPRODUCT(--ISNUMBER(Risk_Rank_Keys!$B$2:$B$800),--(Risk_Rank_Keys!$B$2:$B$800=Risk_Rank_Keys!B784))+1)/2)/COUNT(Risk_Rank_Keys!$B$2:$B$800))</f>
        <v/>
      </c>
      <c r="N784">
        <f>IF(OR(B784="NW",COUNT(Risk_Rank_Keys!C784)=0),0.5,(SUMPRODUCT(--ISNUMBER(Risk_Rank_Keys!$C$2:$C$800),--(Risk_Rank_Keys!$C$2:$C$800&lt;Risk_Rank_Keys!C784))+(SUMPRODUCT(--ISNUMBER(Risk_Rank_Keys!$C$2:$C$800),--(Risk_Rank_Keys!$C$2:$C$800=Risk_Rank_Keys!C784))+1)/2)/COUNT(Risk_Rank_Keys!$C$2:$C$800))</f>
        <v/>
      </c>
      <c r="O784">
        <f>IF(OR(B784="NW",COUNT(Risk_Rank_Keys!D784)=0),0.5,(SUMPRODUCT(--ISNUMBER(Risk_Rank_Keys!$D$2:$D$800),--(Risk_Rank_Keys!$D$2:$D$800&lt;Risk_Rank_Keys!D784))+(SUMPRODUCT(--ISNUMBER(Risk_Rank_Keys!$D$2:$D$800),--(Risk_Rank_Keys!$D$2:$D$800=Risk_Rank_Keys!D784))+1)/2)/COUNT(Risk_Rank_Keys!$D$2:$D$800))</f>
        <v/>
      </c>
      <c r="P784">
        <f>AVERAGE(M784:O784)</f>
        <v/>
      </c>
      <c r="Q784">
        <f>0.4*H784+0.4*I784+0.2*P784</f>
        <v/>
      </c>
      <c r="R784">
        <f>PERCENTILE($Q$2:$Q$800,0.75)</f>
        <v/>
      </c>
      <c r="S784">
        <f>OR(Q784&gt;=R784,AND(B784="CW",COUNT(J784:L784)&lt;3))</f>
        <v/>
      </c>
      <c r="T784" t="n">
        <v>0.2048499566512329</v>
      </c>
      <c r="U784" t="n">
        <v>4.271480051142444</v>
      </c>
      <c r="V784" t="n">
        <v>0.2093070778268279</v>
      </c>
      <c r="W784">
        <f>Q784-V784</f>
        <v/>
      </c>
    </row>
    <row r="785">
      <c r="A785" t="inlineStr">
        <is>
          <t>2026-07-28</t>
        </is>
      </c>
      <c r="B785" t="inlineStr">
        <is>
          <t>NW</t>
        </is>
      </c>
      <c r="C785" t="n">
        <v>4.716074904991</v>
      </c>
      <c r="D785">
        <f>SUMPRODUCT(Risk_Inputs!B785:AJ785,Risk_Coefs!$B$2:$AJ$2)</f>
        <v/>
      </c>
      <c r="E785">
        <f>1/(1+EXP(-MAX(-25,MIN(25,D785))))</f>
        <v/>
      </c>
      <c r="F785">
        <f>SUMPRODUCT(Risk_Inputs!B785:AJ785,Risk_Coefs!$B$3:$AJ$3)</f>
        <v/>
      </c>
      <c r="G785">
        <f>MAX(0,F785)</f>
        <v/>
      </c>
      <c r="H785">
        <f>(SUMPRODUCT(--ISNUMBER($E$2:$E$800),--($E$2:$E$800&lt;E785))+(SUMPRODUCT(--ISNUMBER($E$2:$E$800),--($E$2:$E$800=E785))+1)/2)/COUNT($E$2:$E$800)</f>
        <v/>
      </c>
      <c r="I785">
        <f>(SUMPRODUCT(--ISNUMBER($G$2:$G$800),--($G$2:$G$800&lt;G785))+(SUMPRODUCT(--ISNUMBER($G$2:$G$800),--($G$2:$G$800=G785))+1)/2)/COUNT($G$2:$G$800)</f>
        <v/>
      </c>
      <c r="M785">
        <f>IF(OR(B785="NW",COUNT(Risk_Rank_Keys!B785)=0),0.5,(SUMPRODUCT(--ISNUMBER(Risk_Rank_Keys!$B$2:$B$800),--(Risk_Rank_Keys!$B$2:$B$800&lt;Risk_Rank_Keys!B785))+(SUMPRODUCT(--ISNUMBER(Risk_Rank_Keys!$B$2:$B$800),--(Risk_Rank_Keys!$B$2:$B$800=Risk_Rank_Keys!B785))+1)/2)/COUNT(Risk_Rank_Keys!$B$2:$B$800))</f>
        <v/>
      </c>
      <c r="N785">
        <f>IF(OR(B785="NW",COUNT(Risk_Rank_Keys!C785)=0),0.5,(SUMPRODUCT(--ISNUMBER(Risk_Rank_Keys!$C$2:$C$800),--(Risk_Rank_Keys!$C$2:$C$800&lt;Risk_Rank_Keys!C785))+(SUMPRODUCT(--ISNUMBER(Risk_Rank_Keys!$C$2:$C$800),--(Risk_Rank_Keys!$C$2:$C$800=Risk_Rank_Keys!C785))+1)/2)/COUNT(Risk_Rank_Keys!$C$2:$C$800))</f>
        <v/>
      </c>
      <c r="O785">
        <f>IF(OR(B785="NW",COUNT(Risk_Rank_Keys!D785)=0),0.5,(SUMPRODUCT(--ISNUMBER(Risk_Rank_Keys!$D$2:$D$800),--(Risk_Rank_Keys!$D$2:$D$800&lt;Risk_Rank_Keys!D785))+(SUMPRODUCT(--ISNUMBER(Risk_Rank_Keys!$D$2:$D$800),--(Risk_Rank_Keys!$D$2:$D$800=Risk_Rank_Keys!D785))+1)/2)/COUNT(Risk_Rank_Keys!$D$2:$D$800))</f>
        <v/>
      </c>
      <c r="P785">
        <f>AVERAGE(M785:O785)</f>
        <v/>
      </c>
      <c r="Q785">
        <f>0.4*H785+0.4*I785+0.2*P785</f>
        <v/>
      </c>
      <c r="R785">
        <f>PERCENTILE($Q$2:$Q$800,0.75)</f>
        <v/>
      </c>
      <c r="S785">
        <f>OR(Q785&gt;=R785,AND(B785="CW",COUNT(J785:L785)&lt;3))</f>
        <v/>
      </c>
      <c r="T785" t="n">
        <v>0.3323485104127352</v>
      </c>
      <c r="U785" t="n">
        <v>8.843533714634972</v>
      </c>
      <c r="V785" t="n">
        <v>0.6622027534418022</v>
      </c>
      <c r="W785">
        <f>Q785-V785</f>
        <v/>
      </c>
    </row>
    <row r="786">
      <c r="A786" t="inlineStr">
        <is>
          <t>2026-08-07</t>
        </is>
      </c>
      <c r="B786" t="inlineStr">
        <is>
          <t>CW</t>
        </is>
      </c>
      <c r="C786" t="n">
        <v>33.43472509919754</v>
      </c>
      <c r="D786">
        <f>SUMPRODUCT(Risk_Inputs!B786:AJ786,Risk_Coefs!$B$2:$AJ$2)</f>
        <v/>
      </c>
      <c r="E786">
        <f>1/(1+EXP(-MAX(-25,MIN(25,D786))))</f>
        <v/>
      </c>
      <c r="F786">
        <f>SUMPRODUCT(Risk_Inputs!B786:AJ786,Risk_Coefs!$B$3:$AJ$3)</f>
        <v/>
      </c>
      <c r="G786">
        <f>MAX(0,F786)</f>
        <v/>
      </c>
      <c r="H786">
        <f>(SUMPRODUCT(--ISNUMBER($E$2:$E$800),--($E$2:$E$800&lt;E786))+(SUMPRODUCT(--ISNUMBER($E$2:$E$800),--($E$2:$E$800=E786))+1)/2)/COUNT($E$2:$E$800)</f>
        <v/>
      </c>
      <c r="I786">
        <f>(SUMPRODUCT(--ISNUMBER($G$2:$G$800),--($G$2:$G$800&lt;G786))+(SUMPRODUCT(--ISNUMBER($G$2:$G$800),--($G$2:$G$800=G786))+1)/2)/COUNT($G$2:$G$800)</f>
        <v/>
      </c>
      <c r="J786" t="n">
        <v>19.41822510110244</v>
      </c>
      <c r="K786" t="n">
        <v>12.45777866083846</v>
      </c>
      <c r="L786" t="n">
        <v>0.258295251341145</v>
      </c>
      <c r="M786">
        <f>IF(OR(B786="NW",COUNT(Risk_Rank_Keys!B786)=0),0.5,(SUMPRODUCT(--ISNUMBER(Risk_Rank_Keys!$B$2:$B$800),--(Risk_Rank_Keys!$B$2:$B$800&lt;Risk_Rank_Keys!B786))+(SUMPRODUCT(--ISNUMBER(Risk_Rank_Keys!$B$2:$B$800),--(Risk_Rank_Keys!$B$2:$B$800=Risk_Rank_Keys!B786))+1)/2)/COUNT(Risk_Rank_Keys!$B$2:$B$800))</f>
        <v/>
      </c>
      <c r="N786">
        <f>IF(OR(B786="NW",COUNT(Risk_Rank_Keys!C786)=0),0.5,(SUMPRODUCT(--ISNUMBER(Risk_Rank_Keys!$C$2:$C$800),--(Risk_Rank_Keys!$C$2:$C$800&lt;Risk_Rank_Keys!C786))+(SUMPRODUCT(--ISNUMBER(Risk_Rank_Keys!$C$2:$C$800),--(Risk_Rank_Keys!$C$2:$C$800=Risk_Rank_Keys!C786))+1)/2)/COUNT(Risk_Rank_Keys!$C$2:$C$800))</f>
        <v/>
      </c>
      <c r="O786">
        <f>IF(OR(B786="NW",COUNT(Risk_Rank_Keys!D786)=0),0.5,(SUMPRODUCT(--ISNUMBER(Risk_Rank_Keys!$D$2:$D$800),--(Risk_Rank_Keys!$D$2:$D$800&lt;Risk_Rank_Keys!D786))+(SUMPRODUCT(--ISNUMBER(Risk_Rank_Keys!$D$2:$D$800),--(Risk_Rank_Keys!$D$2:$D$800=Risk_Rank_Keys!D786))+1)/2)/COUNT(Risk_Rank_Keys!$D$2:$D$800))</f>
        <v/>
      </c>
      <c r="P786">
        <f>AVERAGE(M786:O786)</f>
        <v/>
      </c>
      <c r="Q786">
        <f>0.4*H786+0.4*I786+0.2*P786</f>
        <v/>
      </c>
      <c r="R786">
        <f>PERCENTILE($Q$2:$Q$800,0.75)</f>
        <v/>
      </c>
      <c r="S786">
        <f>OR(Q786&gt;=R786,AND(B786="CW",COUNT(J786:L786)&lt;3))</f>
        <v/>
      </c>
      <c r="T786" t="n">
        <v>0.231482506333867</v>
      </c>
      <c r="U786" t="n">
        <v>5.595660060641497</v>
      </c>
      <c r="V786" t="n">
        <v>0.3140821657010827</v>
      </c>
      <c r="W786">
        <f>Q786-V786</f>
        <v/>
      </c>
    </row>
    <row r="787">
      <c r="A787" t="inlineStr">
        <is>
          <t>2026-08-10</t>
        </is>
      </c>
      <c r="B787" t="inlineStr">
        <is>
          <t>CW</t>
        </is>
      </c>
      <c r="C787" t="n">
        <v>47.27038432573348</v>
      </c>
      <c r="D787">
        <f>SUMPRODUCT(Risk_Inputs!B787:AJ787,Risk_Coefs!$B$2:$AJ$2)</f>
        <v/>
      </c>
      <c r="E787">
        <f>1/(1+EXP(-MAX(-25,MIN(25,D787))))</f>
        <v/>
      </c>
      <c r="F787">
        <f>SUMPRODUCT(Risk_Inputs!B787:AJ787,Risk_Coefs!$B$3:$AJ$3)</f>
        <v/>
      </c>
      <c r="G787">
        <f>MAX(0,F787)</f>
        <v/>
      </c>
      <c r="H787">
        <f>(SUMPRODUCT(--ISNUMBER($E$2:$E$800),--($E$2:$E$800&lt;E787))+(SUMPRODUCT(--ISNUMBER($E$2:$E$800),--($E$2:$E$800=E787))+1)/2)/COUNT($E$2:$E$800)</f>
        <v/>
      </c>
      <c r="I787">
        <f>(SUMPRODUCT(--ISNUMBER($G$2:$G$800),--($G$2:$G$800&lt;G787))+(SUMPRODUCT(--ISNUMBER($G$2:$G$800),--($G$2:$G$800=G787))+1)/2)/COUNT($G$2:$G$800)</f>
        <v/>
      </c>
      <c r="J787" t="n">
        <v>5.856301013871226</v>
      </c>
      <c r="K787" t="n">
        <v>3.724716329551065</v>
      </c>
      <c r="L787" t="n">
        <v>0.2220029600394686</v>
      </c>
      <c r="M787">
        <f>IF(OR(B787="NW",COUNT(Risk_Rank_Keys!B787)=0),0.5,(SUMPRODUCT(--ISNUMBER(Risk_Rank_Keys!$B$2:$B$800),--(Risk_Rank_Keys!$B$2:$B$800&lt;Risk_Rank_Keys!B787))+(SUMPRODUCT(--ISNUMBER(Risk_Rank_Keys!$B$2:$B$800),--(Risk_Rank_Keys!$B$2:$B$800=Risk_Rank_Keys!B787))+1)/2)/COUNT(Risk_Rank_Keys!$B$2:$B$800))</f>
        <v/>
      </c>
      <c r="N787">
        <f>IF(OR(B787="NW",COUNT(Risk_Rank_Keys!C787)=0),0.5,(SUMPRODUCT(--ISNUMBER(Risk_Rank_Keys!$C$2:$C$800),--(Risk_Rank_Keys!$C$2:$C$800&lt;Risk_Rank_Keys!C787))+(SUMPRODUCT(--ISNUMBER(Risk_Rank_Keys!$C$2:$C$800),--(Risk_Rank_Keys!$C$2:$C$800=Risk_Rank_Keys!C787))+1)/2)/COUNT(Risk_Rank_Keys!$C$2:$C$800))</f>
        <v/>
      </c>
      <c r="O787">
        <f>IF(OR(B787="NW",COUNT(Risk_Rank_Keys!D787)=0),0.5,(SUMPRODUCT(--ISNUMBER(Risk_Rank_Keys!$D$2:$D$800),--(Risk_Rank_Keys!$D$2:$D$800&lt;Risk_Rank_Keys!D787))+(SUMPRODUCT(--ISNUMBER(Risk_Rank_Keys!$D$2:$D$800),--(Risk_Rank_Keys!$D$2:$D$800=Risk_Rank_Keys!D787))+1)/2)/COUNT(Risk_Rank_Keys!$D$2:$D$800))</f>
        <v/>
      </c>
      <c r="P787">
        <f>AVERAGE(M787:O787)</f>
        <v/>
      </c>
      <c r="Q787">
        <f>0.4*H787+0.4*I787+0.2*P787</f>
        <v/>
      </c>
      <c r="R787">
        <f>PERCENTILE($Q$2:$Q$800,0.75)</f>
        <v/>
      </c>
      <c r="S787">
        <f>OR(Q787&gt;=R787,AND(B787="CW",COUNT(J787:L787)&lt;3))</f>
        <v/>
      </c>
      <c r="T787" t="n">
        <v>0.3288658673029743</v>
      </c>
      <c r="U787" t="n">
        <v>9.717741826353528</v>
      </c>
      <c r="V787" t="n">
        <v>0.674749294358534</v>
      </c>
      <c r="W787">
        <f>Q787-V787</f>
        <v/>
      </c>
    </row>
    <row r="788">
      <c r="A788" t="inlineStr">
        <is>
          <t>2026-08-11</t>
        </is>
      </c>
      <c r="B788" t="inlineStr">
        <is>
          <t>CW</t>
        </is>
      </c>
      <c r="C788" t="n">
        <v>39.83315164280065</v>
      </c>
      <c r="D788">
        <f>SUMPRODUCT(Risk_Inputs!B788:AJ788,Risk_Coefs!$B$2:$AJ$2)</f>
        <v/>
      </c>
      <c r="E788">
        <f>1/(1+EXP(-MAX(-25,MIN(25,D788))))</f>
        <v/>
      </c>
      <c r="F788">
        <f>SUMPRODUCT(Risk_Inputs!B788:AJ788,Risk_Coefs!$B$3:$AJ$3)</f>
        <v/>
      </c>
      <c r="G788">
        <f>MAX(0,F788)</f>
        <v/>
      </c>
      <c r="H788">
        <f>(SUMPRODUCT(--ISNUMBER($E$2:$E$800),--($E$2:$E$800&lt;E788))+(SUMPRODUCT(--ISNUMBER($E$2:$E$800),--($E$2:$E$800=E788))+1)/2)/COUNT($E$2:$E$800)</f>
        <v/>
      </c>
      <c r="I788">
        <f>(SUMPRODUCT(--ISNUMBER($G$2:$G$800),--($G$2:$G$800&lt;G788))+(SUMPRODUCT(--ISNUMBER($G$2:$G$800),--($G$2:$G$800=G788))+1)/2)/COUNT($G$2:$G$800)</f>
        <v/>
      </c>
      <c r="J788" t="n">
        <v>26.68970266448802</v>
      </c>
      <c r="K788" t="n">
        <v>12.81446540880502</v>
      </c>
      <c r="L788" t="n">
        <v>0.3537735849056515</v>
      </c>
      <c r="M788">
        <f>IF(OR(B788="NW",COUNT(Risk_Rank_Keys!B788)=0),0.5,(SUMPRODUCT(--ISNUMBER(Risk_Rank_Keys!$B$2:$B$800),--(Risk_Rank_Keys!$B$2:$B$800&lt;Risk_Rank_Keys!B788))+(SUMPRODUCT(--ISNUMBER(Risk_Rank_Keys!$B$2:$B$800),--(Risk_Rank_Keys!$B$2:$B$800=Risk_Rank_Keys!B788))+1)/2)/COUNT(Risk_Rank_Keys!$B$2:$B$800))</f>
        <v/>
      </c>
      <c r="N788">
        <f>IF(OR(B788="NW",COUNT(Risk_Rank_Keys!C788)=0),0.5,(SUMPRODUCT(--ISNUMBER(Risk_Rank_Keys!$C$2:$C$800),--(Risk_Rank_Keys!$C$2:$C$800&lt;Risk_Rank_Keys!C788))+(SUMPRODUCT(--ISNUMBER(Risk_Rank_Keys!$C$2:$C$800),--(Risk_Rank_Keys!$C$2:$C$800=Risk_Rank_Keys!C788))+1)/2)/COUNT(Risk_Rank_Keys!$C$2:$C$800))</f>
        <v/>
      </c>
      <c r="O788">
        <f>IF(OR(B788="NW",COUNT(Risk_Rank_Keys!D788)=0),0.5,(SUMPRODUCT(--ISNUMBER(Risk_Rank_Keys!$D$2:$D$800),--(Risk_Rank_Keys!$D$2:$D$800&lt;Risk_Rank_Keys!D788))+(SUMPRODUCT(--ISNUMBER(Risk_Rank_Keys!$D$2:$D$800),--(Risk_Rank_Keys!$D$2:$D$800=Risk_Rank_Keys!D788))+1)/2)/COUNT(Risk_Rank_Keys!$D$2:$D$800))</f>
        <v/>
      </c>
      <c r="P788">
        <f>AVERAGE(M788:O788)</f>
        <v/>
      </c>
      <c r="Q788">
        <f>0.4*H788+0.4*I788+0.2*P788</f>
        <v/>
      </c>
      <c r="R788">
        <f>PERCENTILE($Q$2:$Q$800,0.75)</f>
        <v/>
      </c>
      <c r="S788">
        <f>OR(Q788&gt;=R788,AND(B788="CW",COUNT(J788:L788)&lt;3))</f>
        <v/>
      </c>
      <c r="T788" t="n">
        <v>0.1963992771753991</v>
      </c>
      <c r="U788" t="n">
        <v>4.766179147946792</v>
      </c>
      <c r="V788" t="n">
        <v>0.2572769658027905</v>
      </c>
      <c r="W788">
        <f>Q788-V788</f>
        <v/>
      </c>
    </row>
    <row r="789">
      <c r="A789" t="inlineStr">
        <is>
          <t>2026-08-12</t>
        </is>
      </c>
      <c r="B789" t="inlineStr">
        <is>
          <t>CW</t>
        </is>
      </c>
      <c r="C789" t="n">
        <v>11.79908879784174</v>
      </c>
      <c r="D789">
        <f>SUMPRODUCT(Risk_Inputs!B789:AJ789,Risk_Coefs!$B$2:$AJ$2)</f>
        <v/>
      </c>
      <c r="E789">
        <f>1/(1+EXP(-MAX(-25,MIN(25,D789))))</f>
        <v/>
      </c>
      <c r="F789">
        <f>SUMPRODUCT(Risk_Inputs!B789:AJ789,Risk_Coefs!$B$3:$AJ$3)</f>
        <v/>
      </c>
      <c r="G789">
        <f>MAX(0,F789)</f>
        <v/>
      </c>
      <c r="H789">
        <f>(SUMPRODUCT(--ISNUMBER($E$2:$E$800),--($E$2:$E$800&lt;E789))+(SUMPRODUCT(--ISNUMBER($E$2:$E$800),--($E$2:$E$800=E789))+1)/2)/COUNT($E$2:$E$800)</f>
        <v/>
      </c>
      <c r="I789">
        <f>(SUMPRODUCT(--ISNUMBER($G$2:$G$800),--($G$2:$G$800&lt;G789))+(SUMPRODUCT(--ISNUMBER($G$2:$G$800),--($G$2:$G$800=G789))+1)/2)/COUNT($G$2:$G$800)</f>
        <v/>
      </c>
      <c r="J789" t="n">
        <v>5.766859372476614</v>
      </c>
      <c r="K789" t="n">
        <v>1.173497021122946</v>
      </c>
      <c r="L789" t="n">
        <v>0.180538003249684</v>
      </c>
      <c r="M789">
        <f>IF(OR(B789="NW",COUNT(Risk_Rank_Keys!B789)=0),0.5,(SUMPRODUCT(--ISNUMBER(Risk_Rank_Keys!$B$2:$B$800),--(Risk_Rank_Keys!$B$2:$B$800&lt;Risk_Rank_Keys!B789))+(SUMPRODUCT(--ISNUMBER(Risk_Rank_Keys!$B$2:$B$800),--(Risk_Rank_Keys!$B$2:$B$800=Risk_Rank_Keys!B789))+1)/2)/COUNT(Risk_Rank_Keys!$B$2:$B$800))</f>
        <v/>
      </c>
      <c r="N789">
        <f>IF(OR(B789="NW",COUNT(Risk_Rank_Keys!C789)=0),0.5,(SUMPRODUCT(--ISNUMBER(Risk_Rank_Keys!$C$2:$C$800),--(Risk_Rank_Keys!$C$2:$C$800&lt;Risk_Rank_Keys!C789))+(SUMPRODUCT(--ISNUMBER(Risk_Rank_Keys!$C$2:$C$800),--(Risk_Rank_Keys!$C$2:$C$800=Risk_Rank_Keys!C789))+1)/2)/COUNT(Risk_Rank_Keys!$C$2:$C$800))</f>
        <v/>
      </c>
      <c r="O789">
        <f>IF(OR(B789="NW",COUNT(Risk_Rank_Keys!D789)=0),0.5,(SUMPRODUCT(--ISNUMBER(Risk_Rank_Keys!$D$2:$D$800),--(Risk_Rank_Keys!$D$2:$D$800&lt;Risk_Rank_Keys!D789))+(SUMPRODUCT(--ISNUMBER(Risk_Rank_Keys!$D$2:$D$800),--(Risk_Rank_Keys!$D$2:$D$800=Risk_Rank_Keys!D789))+1)/2)/COUNT(Risk_Rank_Keys!$D$2:$D$800))</f>
        <v/>
      </c>
      <c r="P789">
        <f>AVERAGE(M789:O789)</f>
        <v/>
      </c>
      <c r="Q789">
        <f>0.4*H789+0.4*I789+0.2*P789</f>
        <v/>
      </c>
      <c r="R789">
        <f>PERCENTILE($Q$2:$Q$800,0.75)</f>
        <v/>
      </c>
      <c r="S789">
        <f>OR(Q789&gt;=R789,AND(B789="CW",COUNT(J789:L789)&lt;3))</f>
        <v/>
      </c>
      <c r="T789" t="n">
        <v>0.2846925960626912</v>
      </c>
      <c r="U789" t="n">
        <v>6.265347244698587</v>
      </c>
      <c r="V789" t="n">
        <v>0.3498252406395954</v>
      </c>
      <c r="W789">
        <f>Q789-V789</f>
        <v/>
      </c>
    </row>
    <row r="790">
      <c r="A790" t="inlineStr">
        <is>
          <t>2026-08-13</t>
        </is>
      </c>
      <c r="B790" t="inlineStr">
        <is>
          <t>CW</t>
        </is>
      </c>
      <c r="C790" t="n">
        <v>21.87494170871367</v>
      </c>
      <c r="D790">
        <f>SUMPRODUCT(Risk_Inputs!B790:AJ790,Risk_Coefs!$B$2:$AJ$2)</f>
        <v/>
      </c>
      <c r="E790">
        <f>1/(1+EXP(-MAX(-25,MIN(25,D790))))</f>
        <v/>
      </c>
      <c r="F790">
        <f>SUMPRODUCT(Risk_Inputs!B790:AJ790,Risk_Coefs!$B$3:$AJ$3)</f>
        <v/>
      </c>
      <c r="G790">
        <f>MAX(0,F790)</f>
        <v/>
      </c>
      <c r="H790">
        <f>(SUMPRODUCT(--ISNUMBER($E$2:$E$800),--($E$2:$E$800&lt;E790))+(SUMPRODUCT(--ISNUMBER($E$2:$E$800),--($E$2:$E$800=E790))+1)/2)/COUNT($E$2:$E$800)</f>
        <v/>
      </c>
      <c r="I790">
        <f>(SUMPRODUCT(--ISNUMBER($G$2:$G$800),--($G$2:$G$800&lt;G790))+(SUMPRODUCT(--ISNUMBER($G$2:$G$800),--($G$2:$G$800=G790))+1)/2)/COUNT($G$2:$G$800)</f>
        <v/>
      </c>
      <c r="J790" t="n">
        <v>5.859671120835955</v>
      </c>
      <c r="K790" t="n">
        <v>1.695624869164752</v>
      </c>
      <c r="L790" t="n">
        <v>0.2512036843207069</v>
      </c>
      <c r="M790">
        <f>IF(OR(B790="NW",COUNT(Risk_Rank_Keys!B790)=0),0.5,(SUMPRODUCT(--ISNUMBER(Risk_Rank_Keys!$B$2:$B$800),--(Risk_Rank_Keys!$B$2:$B$800&lt;Risk_Rank_Keys!B790))+(SUMPRODUCT(--ISNUMBER(Risk_Rank_Keys!$B$2:$B$800),--(Risk_Rank_Keys!$B$2:$B$800=Risk_Rank_Keys!B790))+1)/2)/COUNT(Risk_Rank_Keys!$B$2:$B$800))</f>
        <v/>
      </c>
      <c r="N790">
        <f>IF(OR(B790="NW",COUNT(Risk_Rank_Keys!C790)=0),0.5,(SUMPRODUCT(--ISNUMBER(Risk_Rank_Keys!$C$2:$C$800),--(Risk_Rank_Keys!$C$2:$C$800&lt;Risk_Rank_Keys!C790))+(SUMPRODUCT(--ISNUMBER(Risk_Rank_Keys!$C$2:$C$800),--(Risk_Rank_Keys!$C$2:$C$800=Risk_Rank_Keys!C790))+1)/2)/COUNT(Risk_Rank_Keys!$C$2:$C$800))</f>
        <v/>
      </c>
      <c r="O790">
        <f>IF(OR(B790="NW",COUNT(Risk_Rank_Keys!D790)=0),0.5,(SUMPRODUCT(--ISNUMBER(Risk_Rank_Keys!$D$2:$D$800),--(Risk_Rank_Keys!$D$2:$D$800&lt;Risk_Rank_Keys!D790))+(SUMPRODUCT(--ISNUMBER(Risk_Rank_Keys!$D$2:$D$800),--(Risk_Rank_Keys!$D$2:$D$800=Risk_Rank_Keys!D790))+1)/2)/COUNT(Risk_Rank_Keys!$D$2:$D$800))</f>
        <v/>
      </c>
      <c r="P790">
        <f>AVERAGE(M790:O790)</f>
        <v/>
      </c>
      <c r="Q790">
        <f>0.4*H790+0.4*I790+0.2*P790</f>
        <v/>
      </c>
      <c r="R790">
        <f>PERCENTILE($Q$2:$Q$800,0.75)</f>
        <v/>
      </c>
      <c r="S790">
        <f>OR(Q790&gt;=R790,AND(B790="CW",COUNT(J790:L790)&lt;3))</f>
        <v/>
      </c>
      <c r="T790" t="n">
        <v>0.261340808500158</v>
      </c>
      <c r="U790" t="n">
        <v>7.191004948123672</v>
      </c>
      <c r="V790" t="n">
        <v>0.3791501347861024</v>
      </c>
      <c r="W790">
        <f>Q790-V790</f>
        <v/>
      </c>
    </row>
    <row r="791">
      <c r="A791" t="inlineStr">
        <is>
          <t>2026-08-19</t>
        </is>
      </c>
      <c r="B791" t="inlineStr">
        <is>
          <t>CW</t>
        </is>
      </c>
      <c r="C791" t="n">
        <v>21.53694623520858</v>
      </c>
      <c r="D791">
        <f>SUMPRODUCT(Risk_Inputs!B791:AJ791,Risk_Coefs!$B$2:$AJ$2)</f>
        <v/>
      </c>
      <c r="E791">
        <f>1/(1+EXP(-MAX(-25,MIN(25,D791))))</f>
        <v/>
      </c>
      <c r="F791">
        <f>SUMPRODUCT(Risk_Inputs!B791:AJ791,Risk_Coefs!$B$3:$AJ$3)</f>
        <v/>
      </c>
      <c r="G791">
        <f>MAX(0,F791)</f>
        <v/>
      </c>
      <c r="H791">
        <f>(SUMPRODUCT(--ISNUMBER($E$2:$E$800),--($E$2:$E$800&lt;E791))+(SUMPRODUCT(--ISNUMBER($E$2:$E$800),--($E$2:$E$800=E791))+1)/2)/COUNT($E$2:$E$800)</f>
        <v/>
      </c>
      <c r="I791">
        <f>(SUMPRODUCT(--ISNUMBER($G$2:$G$800),--($G$2:$G$800&lt;G791))+(SUMPRODUCT(--ISNUMBER($G$2:$G$800),--($G$2:$G$800=G791))+1)/2)/COUNT($G$2:$G$800)</f>
        <v/>
      </c>
      <c r="J791" t="n">
        <v>4.886006972911345</v>
      </c>
      <c r="K791" t="n">
        <v>1.18908382066275</v>
      </c>
      <c r="L791" t="n">
        <v>0.233918128654963</v>
      </c>
      <c r="M791">
        <f>IF(OR(B791="NW",COUNT(Risk_Rank_Keys!B791)=0),0.5,(SUMPRODUCT(--ISNUMBER(Risk_Rank_Keys!$B$2:$B$800),--(Risk_Rank_Keys!$B$2:$B$800&lt;Risk_Rank_Keys!B791))+(SUMPRODUCT(--ISNUMBER(Risk_Rank_Keys!$B$2:$B$800),--(Risk_Rank_Keys!$B$2:$B$800=Risk_Rank_Keys!B791))+1)/2)/COUNT(Risk_Rank_Keys!$B$2:$B$800))</f>
        <v/>
      </c>
      <c r="N791">
        <f>IF(OR(B791="NW",COUNT(Risk_Rank_Keys!C791)=0),0.5,(SUMPRODUCT(--ISNUMBER(Risk_Rank_Keys!$C$2:$C$800),--(Risk_Rank_Keys!$C$2:$C$800&lt;Risk_Rank_Keys!C791))+(SUMPRODUCT(--ISNUMBER(Risk_Rank_Keys!$C$2:$C$800),--(Risk_Rank_Keys!$C$2:$C$800=Risk_Rank_Keys!C791))+1)/2)/COUNT(Risk_Rank_Keys!$C$2:$C$800))</f>
        <v/>
      </c>
      <c r="O791">
        <f>IF(OR(B791="NW",COUNT(Risk_Rank_Keys!D791)=0),0.5,(SUMPRODUCT(--ISNUMBER(Risk_Rank_Keys!$D$2:$D$800),--(Risk_Rank_Keys!$D$2:$D$800&lt;Risk_Rank_Keys!D791))+(SUMPRODUCT(--ISNUMBER(Risk_Rank_Keys!$D$2:$D$800),--(Risk_Rank_Keys!$D$2:$D$800=Risk_Rank_Keys!D791))+1)/2)/COUNT(Risk_Rank_Keys!$D$2:$D$800))</f>
        <v/>
      </c>
      <c r="P791">
        <f>AVERAGE(M791:O791)</f>
        <v/>
      </c>
      <c r="Q791">
        <f>0.4*H791+0.4*I791+0.2*P791</f>
        <v/>
      </c>
      <c r="R791">
        <f>PERCENTILE($Q$2:$Q$800,0.75)</f>
        <v/>
      </c>
      <c r="S791">
        <f>OR(Q791&gt;=R791,AND(B791="CW",COUNT(J791:L791)&lt;3))</f>
        <v/>
      </c>
      <c r="T791" t="n">
        <v>0.2685585108173117</v>
      </c>
      <c r="U791" t="n">
        <v>4.837072194565258</v>
      </c>
      <c r="V791" t="n">
        <v>0.2478918033874282</v>
      </c>
      <c r="W791">
        <f>Q791-V791</f>
        <v/>
      </c>
    </row>
    <row r="792">
      <c r="A792" t="inlineStr">
        <is>
          <t>2026-08-27</t>
        </is>
      </c>
      <c r="B792" t="inlineStr">
        <is>
          <t>CW</t>
        </is>
      </c>
      <c r="C792" t="n">
        <v>-16.77775286860386</v>
      </c>
      <c r="D792">
        <f>SUMPRODUCT(Risk_Inputs!B792:AJ792,Risk_Coefs!$B$2:$AJ$2)</f>
        <v/>
      </c>
      <c r="E792">
        <f>1/(1+EXP(-MAX(-25,MIN(25,D792))))</f>
        <v/>
      </c>
      <c r="F792">
        <f>SUMPRODUCT(Risk_Inputs!B792:AJ792,Risk_Coefs!$B$3:$AJ$3)</f>
        <v/>
      </c>
      <c r="G792">
        <f>MAX(0,F792)</f>
        <v/>
      </c>
      <c r="H792">
        <f>(SUMPRODUCT(--ISNUMBER($E$2:$E$800),--($E$2:$E$800&lt;E792))+(SUMPRODUCT(--ISNUMBER($E$2:$E$800),--($E$2:$E$800=E792))+1)/2)/COUNT($E$2:$E$800)</f>
        <v/>
      </c>
      <c r="I792">
        <f>(SUMPRODUCT(--ISNUMBER($G$2:$G$800),--($G$2:$G$800&lt;G792))+(SUMPRODUCT(--ISNUMBER($G$2:$G$800),--($G$2:$G$800=G792))+1)/2)/COUNT($G$2:$G$800)</f>
        <v/>
      </c>
      <c r="J792" t="n">
        <v>13.50722513002733</v>
      </c>
      <c r="K792" t="n">
        <v>1.78485287023638</v>
      </c>
      <c r="L792" t="n">
        <v>0.265315967197304</v>
      </c>
      <c r="M792">
        <f>IF(OR(B792="NW",COUNT(Risk_Rank_Keys!B792)=0),0.5,(SUMPRODUCT(--ISNUMBER(Risk_Rank_Keys!$B$2:$B$800),--(Risk_Rank_Keys!$B$2:$B$800&lt;Risk_Rank_Keys!B792))+(SUMPRODUCT(--ISNUMBER(Risk_Rank_Keys!$B$2:$B$800),--(Risk_Rank_Keys!$B$2:$B$800=Risk_Rank_Keys!B792))+1)/2)/COUNT(Risk_Rank_Keys!$B$2:$B$800))</f>
        <v/>
      </c>
      <c r="N792">
        <f>IF(OR(B792="NW",COUNT(Risk_Rank_Keys!C792)=0),0.5,(SUMPRODUCT(--ISNUMBER(Risk_Rank_Keys!$C$2:$C$800),--(Risk_Rank_Keys!$C$2:$C$800&lt;Risk_Rank_Keys!C792))+(SUMPRODUCT(--ISNUMBER(Risk_Rank_Keys!$C$2:$C$800),--(Risk_Rank_Keys!$C$2:$C$800=Risk_Rank_Keys!C792))+1)/2)/COUNT(Risk_Rank_Keys!$C$2:$C$800))</f>
        <v/>
      </c>
      <c r="O792">
        <f>IF(OR(B792="NW",COUNT(Risk_Rank_Keys!D792)=0),0.5,(SUMPRODUCT(--ISNUMBER(Risk_Rank_Keys!$D$2:$D$800),--(Risk_Rank_Keys!$D$2:$D$800&lt;Risk_Rank_Keys!D792))+(SUMPRODUCT(--ISNUMBER(Risk_Rank_Keys!$D$2:$D$800),--(Risk_Rank_Keys!$D$2:$D$800=Risk_Rank_Keys!D792))+1)/2)/COUNT(Risk_Rank_Keys!$D$2:$D$800))</f>
        <v/>
      </c>
      <c r="P792">
        <f>AVERAGE(M792:O792)</f>
        <v/>
      </c>
      <c r="Q792">
        <f>0.4*H792+0.4*I792+0.2*P792</f>
        <v/>
      </c>
      <c r="R792">
        <f>PERCENTILE($Q$2:$Q$800,0.75)</f>
        <v/>
      </c>
      <c r="S792">
        <f>OR(Q792&gt;=R792,AND(B792="CW",COUNT(J792:L792)&lt;3))</f>
        <v/>
      </c>
      <c r="T792" t="n">
        <v>0.272319089632657</v>
      </c>
      <c r="U792" t="n">
        <v>7.092904100511342</v>
      </c>
      <c r="V792" t="n">
        <v>0.4355445469086475</v>
      </c>
      <c r="W792">
        <f>Q792-V792</f>
        <v/>
      </c>
    </row>
    <row r="793">
      <c r="A793" t="inlineStr">
        <is>
          <t>2026-09-15</t>
        </is>
      </c>
      <c r="B793" t="inlineStr">
        <is>
          <t>NW</t>
        </is>
      </c>
      <c r="C793" t="n">
        <v>-36.94946143890376</v>
      </c>
      <c r="D793">
        <f>SUMPRODUCT(Risk_Inputs!B793:AJ793,Risk_Coefs!$B$2:$AJ$2)</f>
        <v/>
      </c>
      <c r="E793">
        <f>1/(1+EXP(-MAX(-25,MIN(25,D793))))</f>
        <v/>
      </c>
      <c r="F793">
        <f>SUMPRODUCT(Risk_Inputs!B793:AJ793,Risk_Coefs!$B$3:$AJ$3)</f>
        <v/>
      </c>
      <c r="G793">
        <f>MAX(0,F793)</f>
        <v/>
      </c>
      <c r="H793">
        <f>(SUMPRODUCT(--ISNUMBER($E$2:$E$800),--($E$2:$E$800&lt;E793))+(SUMPRODUCT(--ISNUMBER($E$2:$E$800),--($E$2:$E$800=E793))+1)/2)/COUNT($E$2:$E$800)</f>
        <v/>
      </c>
      <c r="I793">
        <f>(SUMPRODUCT(--ISNUMBER($G$2:$G$800),--($G$2:$G$800&lt;G793))+(SUMPRODUCT(--ISNUMBER($G$2:$G$800),--($G$2:$G$800=G793))+1)/2)/COUNT($G$2:$G$800)</f>
        <v/>
      </c>
      <c r="M793">
        <f>IF(OR(B793="NW",COUNT(Risk_Rank_Keys!B793)=0),0.5,(SUMPRODUCT(--ISNUMBER(Risk_Rank_Keys!$B$2:$B$800),--(Risk_Rank_Keys!$B$2:$B$800&lt;Risk_Rank_Keys!B793))+(SUMPRODUCT(--ISNUMBER(Risk_Rank_Keys!$B$2:$B$800),--(Risk_Rank_Keys!$B$2:$B$800=Risk_Rank_Keys!B793))+1)/2)/COUNT(Risk_Rank_Keys!$B$2:$B$800))</f>
        <v/>
      </c>
      <c r="N793">
        <f>IF(OR(B793="NW",COUNT(Risk_Rank_Keys!C793)=0),0.5,(SUMPRODUCT(--ISNUMBER(Risk_Rank_Keys!$C$2:$C$800),--(Risk_Rank_Keys!$C$2:$C$800&lt;Risk_Rank_Keys!C793))+(SUMPRODUCT(--ISNUMBER(Risk_Rank_Keys!$C$2:$C$800),--(Risk_Rank_Keys!$C$2:$C$800=Risk_Rank_Keys!C793))+1)/2)/COUNT(Risk_Rank_Keys!$C$2:$C$800))</f>
        <v/>
      </c>
      <c r="O793">
        <f>IF(OR(B793="NW",COUNT(Risk_Rank_Keys!D793)=0),0.5,(SUMPRODUCT(--ISNUMBER(Risk_Rank_Keys!$D$2:$D$800),--(Risk_Rank_Keys!$D$2:$D$800&lt;Risk_Rank_Keys!D793))+(SUMPRODUCT(--ISNUMBER(Risk_Rank_Keys!$D$2:$D$800),--(Risk_Rank_Keys!$D$2:$D$800=Risk_Rank_Keys!D793))+1)/2)/COUNT(Risk_Rank_Keys!$D$2:$D$800))</f>
        <v/>
      </c>
      <c r="P793">
        <f>AVERAGE(M793:O793)</f>
        <v/>
      </c>
      <c r="Q793">
        <f>0.4*H793+0.4*I793+0.2*P793</f>
        <v/>
      </c>
      <c r="R793">
        <f>PERCENTILE($Q$2:$Q$800,0.75)</f>
        <v/>
      </c>
      <c r="S793">
        <f>OR(Q793&gt;=R793,AND(B793="CW",COUNT(J793:L793)&lt;3))</f>
        <v/>
      </c>
      <c r="T793" t="n">
        <v>0.3988121928324032</v>
      </c>
      <c r="U793" t="n">
        <v>13.00851991273143</v>
      </c>
      <c r="V793" t="n">
        <v>0.8564455569461827</v>
      </c>
      <c r="W793">
        <f>Q793-V793</f>
        <v/>
      </c>
    </row>
    <row r="794">
      <c r="A794" t="inlineStr">
        <is>
          <t>2026-09-29</t>
        </is>
      </c>
      <c r="B794" t="inlineStr">
        <is>
          <t>CW</t>
        </is>
      </c>
      <c r="C794" t="n">
        <v>3.437739063663284</v>
      </c>
      <c r="D794">
        <f>SUMPRODUCT(Risk_Inputs!B794:AJ794,Risk_Coefs!$B$2:$AJ$2)</f>
        <v/>
      </c>
      <c r="E794">
        <f>1/(1+EXP(-MAX(-25,MIN(25,D794))))</f>
        <v/>
      </c>
      <c r="F794">
        <f>SUMPRODUCT(Risk_Inputs!B794:AJ794,Risk_Coefs!$B$3:$AJ$3)</f>
        <v/>
      </c>
      <c r="G794">
        <f>MAX(0,F794)</f>
        <v/>
      </c>
      <c r="H794">
        <f>(SUMPRODUCT(--ISNUMBER($E$2:$E$800),--($E$2:$E$800&lt;E794))+(SUMPRODUCT(--ISNUMBER($E$2:$E$800),--($E$2:$E$800=E794))+1)/2)/COUNT($E$2:$E$800)</f>
        <v/>
      </c>
      <c r="I794">
        <f>(SUMPRODUCT(--ISNUMBER($G$2:$G$800),--($G$2:$G$800&lt;G794))+(SUMPRODUCT(--ISNUMBER($G$2:$G$800),--($G$2:$G$800=G794))+1)/2)/COUNT($G$2:$G$800)</f>
        <v/>
      </c>
      <c r="J794" t="n">
        <v>4.401505314817667</v>
      </c>
      <c r="K794" t="n">
        <v>1.555977229601505</v>
      </c>
      <c r="L794" t="n">
        <v>0.2277039848197375</v>
      </c>
      <c r="M794">
        <f>IF(OR(B794="NW",COUNT(Risk_Rank_Keys!B794)=0),0.5,(SUMPRODUCT(--ISNUMBER(Risk_Rank_Keys!$B$2:$B$800),--(Risk_Rank_Keys!$B$2:$B$800&lt;Risk_Rank_Keys!B794))+(SUMPRODUCT(--ISNUMBER(Risk_Rank_Keys!$B$2:$B$800),--(Risk_Rank_Keys!$B$2:$B$800=Risk_Rank_Keys!B794))+1)/2)/COUNT(Risk_Rank_Keys!$B$2:$B$800))</f>
        <v/>
      </c>
      <c r="N794">
        <f>IF(OR(B794="NW",COUNT(Risk_Rank_Keys!C794)=0),0.5,(SUMPRODUCT(--ISNUMBER(Risk_Rank_Keys!$C$2:$C$800),--(Risk_Rank_Keys!$C$2:$C$800&lt;Risk_Rank_Keys!C794))+(SUMPRODUCT(--ISNUMBER(Risk_Rank_Keys!$C$2:$C$800),--(Risk_Rank_Keys!$C$2:$C$800=Risk_Rank_Keys!C794))+1)/2)/COUNT(Risk_Rank_Keys!$C$2:$C$800))</f>
        <v/>
      </c>
      <c r="O794">
        <f>IF(OR(B794="NW",COUNT(Risk_Rank_Keys!D794)=0),0.5,(SUMPRODUCT(--ISNUMBER(Risk_Rank_Keys!$D$2:$D$800),--(Risk_Rank_Keys!$D$2:$D$800&lt;Risk_Rank_Keys!D794))+(SUMPRODUCT(--ISNUMBER(Risk_Rank_Keys!$D$2:$D$800),--(Risk_Rank_Keys!$D$2:$D$800=Risk_Rank_Keys!D794))+1)/2)/COUNT(Risk_Rank_Keys!$D$2:$D$800))</f>
        <v/>
      </c>
      <c r="P794">
        <f>AVERAGE(M794:O794)</f>
        <v/>
      </c>
      <c r="Q794">
        <f>0.4*H794+0.4*I794+0.2*P794</f>
        <v/>
      </c>
      <c r="R794">
        <f>PERCENTILE($Q$2:$Q$800,0.75)</f>
        <v/>
      </c>
      <c r="S794">
        <f>OR(Q794&gt;=R794,AND(B794="CW",COUNT(J794:L794)&lt;3))</f>
        <v/>
      </c>
      <c r="T794" t="n">
        <v>0.313717983181064</v>
      </c>
      <c r="U794" t="n">
        <v>6.990216213646455</v>
      </c>
      <c r="V794" t="n">
        <v>0.4687822818970017</v>
      </c>
      <c r="W794">
        <f>Q794-V794</f>
        <v/>
      </c>
    </row>
    <row r="795">
      <c r="A795" t="inlineStr">
        <is>
          <t>2026-10-01</t>
        </is>
      </c>
      <c r="B795" t="inlineStr">
        <is>
          <t>CW</t>
        </is>
      </c>
      <c r="C795" t="n">
        <v>-29.95175916183154</v>
      </c>
      <c r="D795">
        <f>SUMPRODUCT(Risk_Inputs!B795:AJ795,Risk_Coefs!$B$2:$AJ$2)</f>
        <v/>
      </c>
      <c r="E795">
        <f>1/(1+EXP(-MAX(-25,MIN(25,D795))))</f>
        <v/>
      </c>
      <c r="F795">
        <f>SUMPRODUCT(Risk_Inputs!B795:AJ795,Risk_Coefs!$B$3:$AJ$3)</f>
        <v/>
      </c>
      <c r="G795">
        <f>MAX(0,F795)</f>
        <v/>
      </c>
      <c r="H795">
        <f>(SUMPRODUCT(--ISNUMBER($E$2:$E$800),--($E$2:$E$800&lt;E795))+(SUMPRODUCT(--ISNUMBER($E$2:$E$800),--($E$2:$E$800=E795))+1)/2)/COUNT($E$2:$E$800)</f>
        <v/>
      </c>
      <c r="I795">
        <f>(SUMPRODUCT(--ISNUMBER($G$2:$G$800),--($G$2:$G$800&lt;G795))+(SUMPRODUCT(--ISNUMBER($G$2:$G$800),--($G$2:$G$800=G795))+1)/2)/COUNT($G$2:$G$800)</f>
        <v/>
      </c>
      <c r="J795" t="n">
        <v>12.45830486677717</v>
      </c>
      <c r="K795" t="n">
        <v>4.137447405329597</v>
      </c>
      <c r="L795" t="n">
        <v>0.1753155680224503</v>
      </c>
      <c r="M795">
        <f>IF(OR(B795="NW",COUNT(Risk_Rank_Keys!B795)=0),0.5,(SUMPRODUCT(--ISNUMBER(Risk_Rank_Keys!$B$2:$B$800),--(Risk_Rank_Keys!$B$2:$B$800&lt;Risk_Rank_Keys!B795))+(SUMPRODUCT(--ISNUMBER(Risk_Rank_Keys!$B$2:$B$800),--(Risk_Rank_Keys!$B$2:$B$800=Risk_Rank_Keys!B795))+1)/2)/COUNT(Risk_Rank_Keys!$B$2:$B$800))</f>
        <v/>
      </c>
      <c r="N795">
        <f>IF(OR(B795="NW",COUNT(Risk_Rank_Keys!C795)=0),0.5,(SUMPRODUCT(--ISNUMBER(Risk_Rank_Keys!$C$2:$C$800),--(Risk_Rank_Keys!$C$2:$C$800&lt;Risk_Rank_Keys!C795))+(SUMPRODUCT(--ISNUMBER(Risk_Rank_Keys!$C$2:$C$800),--(Risk_Rank_Keys!$C$2:$C$800=Risk_Rank_Keys!C795))+1)/2)/COUNT(Risk_Rank_Keys!$C$2:$C$800))</f>
        <v/>
      </c>
      <c r="O795">
        <f>IF(OR(B795="NW",COUNT(Risk_Rank_Keys!D795)=0),0.5,(SUMPRODUCT(--ISNUMBER(Risk_Rank_Keys!$D$2:$D$800),--(Risk_Rank_Keys!$D$2:$D$800&lt;Risk_Rank_Keys!D795))+(SUMPRODUCT(--ISNUMBER(Risk_Rank_Keys!$D$2:$D$800),--(Risk_Rank_Keys!$D$2:$D$800=Risk_Rank_Keys!D795))+1)/2)/COUNT(Risk_Rank_Keys!$D$2:$D$800))</f>
        <v/>
      </c>
      <c r="P795">
        <f>AVERAGE(M795:O795)</f>
        <v/>
      </c>
      <c r="Q795">
        <f>0.4*H795+0.4*I795+0.2*P795</f>
        <v/>
      </c>
      <c r="R795">
        <f>PERCENTILE($Q$2:$Q$800,0.75)</f>
        <v/>
      </c>
      <c r="S795">
        <f>OR(Q795&gt;=R795,AND(B795="CW",COUNT(J795:L795)&lt;3))</f>
        <v/>
      </c>
      <c r="T795" t="n">
        <v>0.3281454291512768</v>
      </c>
      <c r="U795" t="n">
        <v>10.10676740137095</v>
      </c>
      <c r="V795" t="n">
        <v>0.7045445579638426</v>
      </c>
      <c r="W795">
        <f>Q795-V795</f>
        <v/>
      </c>
    </row>
    <row r="796">
      <c r="A796" t="inlineStr">
        <is>
          <t>2026-10-05</t>
        </is>
      </c>
      <c r="B796" t="inlineStr">
        <is>
          <t>NW</t>
        </is>
      </c>
      <c r="C796" t="n">
        <v>-40.74530334445125</v>
      </c>
      <c r="D796">
        <f>SUMPRODUCT(Risk_Inputs!B796:AJ796,Risk_Coefs!$B$2:$AJ$2)</f>
        <v/>
      </c>
      <c r="E796">
        <f>1/(1+EXP(-MAX(-25,MIN(25,D796))))</f>
        <v/>
      </c>
      <c r="F796">
        <f>SUMPRODUCT(Risk_Inputs!B796:AJ796,Risk_Coefs!$B$3:$AJ$3)</f>
        <v/>
      </c>
      <c r="G796">
        <f>MAX(0,F796)</f>
        <v/>
      </c>
      <c r="H796">
        <f>(SUMPRODUCT(--ISNUMBER($E$2:$E$800),--($E$2:$E$800&lt;E796))+(SUMPRODUCT(--ISNUMBER($E$2:$E$800),--($E$2:$E$800=E796))+1)/2)/COUNT($E$2:$E$800)</f>
        <v/>
      </c>
      <c r="I796">
        <f>(SUMPRODUCT(--ISNUMBER($G$2:$G$800),--($G$2:$G$800&lt;G796))+(SUMPRODUCT(--ISNUMBER($G$2:$G$800),--($G$2:$G$800=G796))+1)/2)/COUNT($G$2:$G$800)</f>
        <v/>
      </c>
      <c r="M796">
        <f>IF(OR(B796="NW",COUNT(Risk_Rank_Keys!B796)=0),0.5,(SUMPRODUCT(--ISNUMBER(Risk_Rank_Keys!$B$2:$B$800),--(Risk_Rank_Keys!$B$2:$B$800&lt;Risk_Rank_Keys!B796))+(SUMPRODUCT(--ISNUMBER(Risk_Rank_Keys!$B$2:$B$800),--(Risk_Rank_Keys!$B$2:$B$800=Risk_Rank_Keys!B796))+1)/2)/COUNT(Risk_Rank_Keys!$B$2:$B$800))</f>
        <v/>
      </c>
      <c r="N796">
        <f>IF(OR(B796="NW",COUNT(Risk_Rank_Keys!C796)=0),0.5,(SUMPRODUCT(--ISNUMBER(Risk_Rank_Keys!$C$2:$C$800),--(Risk_Rank_Keys!$C$2:$C$800&lt;Risk_Rank_Keys!C796))+(SUMPRODUCT(--ISNUMBER(Risk_Rank_Keys!$C$2:$C$800),--(Risk_Rank_Keys!$C$2:$C$800=Risk_Rank_Keys!C796))+1)/2)/COUNT(Risk_Rank_Keys!$C$2:$C$800))</f>
        <v/>
      </c>
      <c r="O796">
        <f>IF(OR(B796="NW",COUNT(Risk_Rank_Keys!D796)=0),0.5,(SUMPRODUCT(--ISNUMBER(Risk_Rank_Keys!$D$2:$D$800),--(Risk_Rank_Keys!$D$2:$D$800&lt;Risk_Rank_Keys!D796))+(SUMPRODUCT(--ISNUMBER(Risk_Rank_Keys!$D$2:$D$800),--(Risk_Rank_Keys!$D$2:$D$800=Risk_Rank_Keys!D796))+1)/2)/COUNT(Risk_Rank_Keys!$D$2:$D$800))</f>
        <v/>
      </c>
      <c r="P796">
        <f>AVERAGE(M796:O796)</f>
        <v/>
      </c>
      <c r="Q796">
        <f>0.4*H796+0.4*I796+0.2*P796</f>
        <v/>
      </c>
      <c r="R796">
        <f>PERCENTILE($Q$2:$Q$800,0.75)</f>
        <v/>
      </c>
      <c r="S796">
        <f>OR(Q796&gt;=R796,AND(B796="CW",COUNT(J796:L796)&lt;3))</f>
        <v/>
      </c>
      <c r="T796" t="n">
        <v>0.3406912051312552</v>
      </c>
      <c r="U796" t="n">
        <v>10.215191491582</v>
      </c>
      <c r="V796" t="n">
        <v>0.7403003754693367</v>
      </c>
      <c r="W796">
        <f>Q796-V796</f>
        <v/>
      </c>
    </row>
    <row r="797">
      <c r="A797" t="inlineStr">
        <is>
          <t>2026-10-06</t>
        </is>
      </c>
      <c r="B797" t="inlineStr">
        <is>
          <t>CW</t>
        </is>
      </c>
      <c r="C797" t="n">
        <v>38.74354143053595</v>
      </c>
      <c r="D797">
        <f>SUMPRODUCT(Risk_Inputs!B797:AJ797,Risk_Coefs!$B$2:$AJ$2)</f>
        <v/>
      </c>
      <c r="E797">
        <f>1/(1+EXP(-MAX(-25,MIN(25,D797))))</f>
        <v/>
      </c>
      <c r="F797">
        <f>SUMPRODUCT(Risk_Inputs!B797:AJ797,Risk_Coefs!$B$3:$AJ$3)</f>
        <v/>
      </c>
      <c r="G797">
        <f>MAX(0,F797)</f>
        <v/>
      </c>
      <c r="H797">
        <f>(SUMPRODUCT(--ISNUMBER($E$2:$E$800),--($E$2:$E$800&lt;E797))+(SUMPRODUCT(--ISNUMBER($E$2:$E$800),--($E$2:$E$800=E797))+1)/2)/COUNT($E$2:$E$800)</f>
        <v/>
      </c>
      <c r="I797">
        <f>(SUMPRODUCT(--ISNUMBER($G$2:$G$800),--($G$2:$G$800&lt;G797))+(SUMPRODUCT(--ISNUMBER($G$2:$G$800),--($G$2:$G$800=G797))+1)/2)/COUNT($G$2:$G$800)</f>
        <v/>
      </c>
      <c r="J797" t="n">
        <v>5.421841390115874</v>
      </c>
      <c r="K797" t="n">
        <v>3.620426829268293</v>
      </c>
      <c r="L797" t="n">
        <v>0.2286585365853637</v>
      </c>
      <c r="M797">
        <f>IF(OR(B797="NW",COUNT(Risk_Rank_Keys!B797)=0),0.5,(SUMPRODUCT(--ISNUMBER(Risk_Rank_Keys!$B$2:$B$800),--(Risk_Rank_Keys!$B$2:$B$800&lt;Risk_Rank_Keys!B797))+(SUMPRODUCT(--ISNUMBER(Risk_Rank_Keys!$B$2:$B$800),--(Risk_Rank_Keys!$B$2:$B$800=Risk_Rank_Keys!B797))+1)/2)/COUNT(Risk_Rank_Keys!$B$2:$B$800))</f>
        <v/>
      </c>
      <c r="N797">
        <f>IF(OR(B797="NW",COUNT(Risk_Rank_Keys!C797)=0),0.5,(SUMPRODUCT(--ISNUMBER(Risk_Rank_Keys!$C$2:$C$800),--(Risk_Rank_Keys!$C$2:$C$800&lt;Risk_Rank_Keys!C797))+(SUMPRODUCT(--ISNUMBER(Risk_Rank_Keys!$C$2:$C$800),--(Risk_Rank_Keys!$C$2:$C$800=Risk_Rank_Keys!C797))+1)/2)/COUNT(Risk_Rank_Keys!$C$2:$C$800))</f>
        <v/>
      </c>
      <c r="O797">
        <f>IF(OR(B797="NW",COUNT(Risk_Rank_Keys!D797)=0),0.5,(SUMPRODUCT(--ISNUMBER(Risk_Rank_Keys!$D$2:$D$800),--(Risk_Rank_Keys!$D$2:$D$800&lt;Risk_Rank_Keys!D797))+(SUMPRODUCT(--ISNUMBER(Risk_Rank_Keys!$D$2:$D$800),--(Risk_Rank_Keys!$D$2:$D$800=Risk_Rank_Keys!D797))+1)/2)/COUNT(Risk_Rank_Keys!$D$2:$D$800))</f>
        <v/>
      </c>
      <c r="P797">
        <f>AVERAGE(M797:O797)</f>
        <v/>
      </c>
      <c r="Q797">
        <f>0.4*H797+0.4*I797+0.2*P797</f>
        <v/>
      </c>
      <c r="R797">
        <f>PERCENTILE($Q$2:$Q$800,0.75)</f>
        <v/>
      </c>
      <c r="S797">
        <f>OR(Q797&gt;=R797,AND(B797="CW",COUNT(J797:L797)&lt;3))</f>
        <v/>
      </c>
      <c r="T797" t="n">
        <v>0.255284499629449</v>
      </c>
      <c r="U797" t="n">
        <v>4.205891123905687</v>
      </c>
      <c r="V797" t="n">
        <v>0.2246436590601106</v>
      </c>
      <c r="W797">
        <f>Q797-V797</f>
        <v/>
      </c>
    </row>
    <row r="798">
      <c r="A798" t="inlineStr">
        <is>
          <t>2026-10-08</t>
        </is>
      </c>
      <c r="B798" t="inlineStr">
        <is>
          <t>CW</t>
        </is>
      </c>
      <c r="C798" t="n">
        <v>-33.69561466059695</v>
      </c>
      <c r="D798">
        <f>SUMPRODUCT(Risk_Inputs!B798:AJ798,Risk_Coefs!$B$2:$AJ$2)</f>
        <v/>
      </c>
      <c r="E798">
        <f>1/(1+EXP(-MAX(-25,MIN(25,D798))))</f>
        <v/>
      </c>
      <c r="F798">
        <f>SUMPRODUCT(Risk_Inputs!B798:AJ798,Risk_Coefs!$B$3:$AJ$3)</f>
        <v/>
      </c>
      <c r="G798">
        <f>MAX(0,F798)</f>
        <v/>
      </c>
      <c r="H798">
        <f>(SUMPRODUCT(--ISNUMBER($E$2:$E$800),--($E$2:$E$800&lt;E798))+(SUMPRODUCT(--ISNUMBER($E$2:$E$800),--($E$2:$E$800=E798))+1)/2)/COUNT($E$2:$E$800)</f>
        <v/>
      </c>
      <c r="I798">
        <f>(SUMPRODUCT(--ISNUMBER($G$2:$G$800),--($G$2:$G$800&lt;G798))+(SUMPRODUCT(--ISNUMBER($G$2:$G$800),--($G$2:$G$800=G798))+1)/2)/COUNT($G$2:$G$800)</f>
        <v/>
      </c>
      <c r="J798" t="n">
        <v>22.76943835385362</v>
      </c>
      <c r="K798" t="n">
        <v>3.546869344914952</v>
      </c>
      <c r="L798" t="n">
        <v>0.180962721679334</v>
      </c>
      <c r="M798">
        <f>IF(OR(B798="NW",COUNT(Risk_Rank_Keys!B798)=0),0.5,(SUMPRODUCT(--ISNUMBER(Risk_Rank_Keys!$B$2:$B$800),--(Risk_Rank_Keys!$B$2:$B$800&lt;Risk_Rank_Keys!B798))+(SUMPRODUCT(--ISNUMBER(Risk_Rank_Keys!$B$2:$B$800),--(Risk_Rank_Keys!$B$2:$B$800=Risk_Rank_Keys!B798))+1)/2)/COUNT(Risk_Rank_Keys!$B$2:$B$800))</f>
        <v/>
      </c>
      <c r="N798">
        <f>IF(OR(B798="NW",COUNT(Risk_Rank_Keys!C798)=0),0.5,(SUMPRODUCT(--ISNUMBER(Risk_Rank_Keys!$C$2:$C$800),--(Risk_Rank_Keys!$C$2:$C$800&lt;Risk_Rank_Keys!C798))+(SUMPRODUCT(--ISNUMBER(Risk_Rank_Keys!$C$2:$C$800),--(Risk_Rank_Keys!$C$2:$C$800=Risk_Rank_Keys!C798))+1)/2)/COUNT(Risk_Rank_Keys!$C$2:$C$800))</f>
        <v/>
      </c>
      <c r="O798">
        <f>IF(OR(B798="NW",COUNT(Risk_Rank_Keys!D798)=0),0.5,(SUMPRODUCT(--ISNUMBER(Risk_Rank_Keys!$D$2:$D$800),--(Risk_Rank_Keys!$D$2:$D$800&lt;Risk_Rank_Keys!D798))+(SUMPRODUCT(--ISNUMBER(Risk_Rank_Keys!$D$2:$D$800),--(Risk_Rank_Keys!$D$2:$D$800=Risk_Rank_Keys!D798))+1)/2)/COUNT(Risk_Rank_Keys!$D$2:$D$800))</f>
        <v/>
      </c>
      <c r="P798">
        <f>AVERAGE(M798:O798)</f>
        <v/>
      </c>
      <c r="Q798">
        <f>0.4*H798+0.4*I798+0.2*P798</f>
        <v/>
      </c>
      <c r="R798">
        <f>PERCENTILE($Q$2:$Q$800,0.75)</f>
        <v/>
      </c>
      <c r="S798">
        <f>OR(Q798&gt;=R798,AND(B798="CW",COUNT(J798:L798)&lt;3))</f>
        <v/>
      </c>
      <c r="T798" t="n">
        <v>0.2240639464605023</v>
      </c>
      <c r="U798" t="n">
        <v>5.163326595913445</v>
      </c>
      <c r="V798" t="n">
        <v>0.230817461855213</v>
      </c>
      <c r="W798">
        <f>Q798-V798</f>
        <v/>
      </c>
    </row>
    <row r="799">
      <c r="A799" t="inlineStr">
        <is>
          <t>2026-10-12</t>
        </is>
      </c>
      <c r="B799" t="inlineStr">
        <is>
          <t>CW</t>
        </is>
      </c>
      <c r="C799" t="n">
        <v>43.95841324067013</v>
      </c>
      <c r="D799">
        <f>SUMPRODUCT(Risk_Inputs!B799:AJ799,Risk_Coefs!$B$2:$AJ$2)</f>
        <v/>
      </c>
      <c r="E799">
        <f>1/(1+EXP(-MAX(-25,MIN(25,D799))))</f>
        <v/>
      </c>
      <c r="F799">
        <f>SUMPRODUCT(Risk_Inputs!B799:AJ799,Risk_Coefs!$B$3:$AJ$3)</f>
        <v/>
      </c>
      <c r="G799">
        <f>MAX(0,F799)</f>
        <v/>
      </c>
      <c r="H799">
        <f>(SUMPRODUCT(--ISNUMBER($E$2:$E$800),--($E$2:$E$800&lt;E799))+(SUMPRODUCT(--ISNUMBER($E$2:$E$800),--($E$2:$E$800=E799))+1)/2)/COUNT($E$2:$E$800)</f>
        <v/>
      </c>
      <c r="I799">
        <f>(SUMPRODUCT(--ISNUMBER($G$2:$G$800),--($G$2:$G$800&lt;G799))+(SUMPRODUCT(--ISNUMBER($G$2:$G$800),--($G$2:$G$800=G799))+1)/2)/COUNT($G$2:$G$800)</f>
        <v/>
      </c>
      <c r="J799" t="n">
        <v>9.789109503928078</v>
      </c>
      <c r="K799" t="n">
        <v>2.297702297702309</v>
      </c>
      <c r="L799" t="n">
        <v>0.2247752247752262</v>
      </c>
      <c r="M799">
        <f>IF(OR(B799="NW",COUNT(Risk_Rank_Keys!B799)=0),0.5,(SUMPRODUCT(--ISNUMBER(Risk_Rank_Keys!$B$2:$B$800),--(Risk_Rank_Keys!$B$2:$B$800&lt;Risk_Rank_Keys!B799))+(SUMPRODUCT(--ISNUMBER(Risk_Rank_Keys!$B$2:$B$800),--(Risk_Rank_Keys!$B$2:$B$800=Risk_Rank_Keys!B799))+1)/2)/COUNT(Risk_Rank_Keys!$B$2:$B$800))</f>
        <v/>
      </c>
      <c r="N799">
        <f>IF(OR(B799="NW",COUNT(Risk_Rank_Keys!C799)=0),0.5,(SUMPRODUCT(--ISNUMBER(Risk_Rank_Keys!$C$2:$C$800),--(Risk_Rank_Keys!$C$2:$C$800&lt;Risk_Rank_Keys!C799))+(SUMPRODUCT(--ISNUMBER(Risk_Rank_Keys!$C$2:$C$800),--(Risk_Rank_Keys!$C$2:$C$800=Risk_Rank_Keys!C799))+1)/2)/COUNT(Risk_Rank_Keys!$C$2:$C$800))</f>
        <v/>
      </c>
      <c r="O799">
        <f>IF(OR(B799="NW",COUNT(Risk_Rank_Keys!D799)=0),0.5,(SUMPRODUCT(--ISNUMBER(Risk_Rank_Keys!$D$2:$D$800),--(Risk_Rank_Keys!$D$2:$D$800&lt;Risk_Rank_Keys!D799))+(SUMPRODUCT(--ISNUMBER(Risk_Rank_Keys!$D$2:$D$800),--(Risk_Rank_Keys!$D$2:$D$800=Risk_Rank_Keys!D799))+1)/2)/COUNT(Risk_Rank_Keys!$D$2:$D$800))</f>
        <v/>
      </c>
      <c r="P799">
        <f>AVERAGE(M799:O799)</f>
        <v/>
      </c>
      <c r="Q799">
        <f>0.4*H799+0.4*I799+0.2*P799</f>
        <v/>
      </c>
      <c r="R799">
        <f>PERCENTILE($Q$2:$Q$800,0.75)</f>
        <v/>
      </c>
      <c r="S799">
        <f>OR(Q799&gt;=R799,AND(B799="CW",COUNT(J799:L799)&lt;3))</f>
        <v/>
      </c>
      <c r="T799" t="n">
        <v>0.3361523336104131</v>
      </c>
      <c r="U799" t="n">
        <v>9.976613825344737</v>
      </c>
      <c r="V799" t="n">
        <v>0.7065250670730324</v>
      </c>
      <c r="W799">
        <f>Q799-V799</f>
        <v/>
      </c>
    </row>
    <row r="800">
      <c r="A800" t="inlineStr">
        <is>
          <t>2026-10-13</t>
        </is>
      </c>
      <c r="B800" t="inlineStr">
        <is>
          <t>CW</t>
        </is>
      </c>
      <c r="C800" t="n">
        <v>10.8348972628641</v>
      </c>
      <c r="D800">
        <f>SUMPRODUCT(Risk_Inputs!B800:AJ800,Risk_Coefs!$B$2:$AJ$2)</f>
        <v/>
      </c>
      <c r="E800">
        <f>1/(1+EXP(-MAX(-25,MIN(25,D800))))</f>
        <v/>
      </c>
      <c r="F800">
        <f>SUMPRODUCT(Risk_Inputs!B800:AJ800,Risk_Coefs!$B$3:$AJ$3)</f>
        <v/>
      </c>
      <c r="G800">
        <f>MAX(0,F800)</f>
        <v/>
      </c>
      <c r="H800">
        <f>(SUMPRODUCT(--ISNUMBER($E$2:$E$800),--($E$2:$E$800&lt;E800))+(SUMPRODUCT(--ISNUMBER($E$2:$E$800),--($E$2:$E$800=E800))+1)/2)/COUNT($E$2:$E$800)</f>
        <v/>
      </c>
      <c r="I800">
        <f>(SUMPRODUCT(--ISNUMBER($G$2:$G$800),--($G$2:$G$800&lt;G800))+(SUMPRODUCT(--ISNUMBER($G$2:$G$800),--($G$2:$G$800=G800))+1)/2)/COUNT($G$2:$G$800)</f>
        <v/>
      </c>
      <c r="M800">
        <f>IF(OR(B800="NW",COUNT(Risk_Rank_Keys!B800)=0),0.5,(SUMPRODUCT(--ISNUMBER(Risk_Rank_Keys!$B$2:$B$800),--(Risk_Rank_Keys!$B$2:$B$800&lt;Risk_Rank_Keys!B800))+(SUMPRODUCT(--ISNUMBER(Risk_Rank_Keys!$B$2:$B$800),--(Risk_Rank_Keys!$B$2:$B$800=Risk_Rank_Keys!B800))+1)/2)/COUNT(Risk_Rank_Keys!$B$2:$B$800))</f>
        <v/>
      </c>
      <c r="N800">
        <f>IF(OR(B800="NW",COUNT(Risk_Rank_Keys!C800)=0),0.5,(SUMPRODUCT(--ISNUMBER(Risk_Rank_Keys!$C$2:$C$800),--(Risk_Rank_Keys!$C$2:$C$800&lt;Risk_Rank_Keys!C800))+(SUMPRODUCT(--ISNUMBER(Risk_Rank_Keys!$C$2:$C$800),--(Risk_Rank_Keys!$C$2:$C$800=Risk_Rank_Keys!C800))+1)/2)/COUNT(Risk_Rank_Keys!$C$2:$C$800))</f>
        <v/>
      </c>
      <c r="O800">
        <f>IF(OR(B800="NW",COUNT(Risk_Rank_Keys!D800)=0),0.5,(SUMPRODUCT(--ISNUMBER(Risk_Rank_Keys!$D$2:$D$800),--(Risk_Rank_Keys!$D$2:$D$800&lt;Risk_Rank_Keys!D800))+(SUMPRODUCT(--ISNUMBER(Risk_Rank_Keys!$D$2:$D$800),--(Risk_Rank_Keys!$D$2:$D$800=Risk_Rank_Keys!D800))+1)/2)/COUNT(Risk_Rank_Keys!$D$2:$D$800))</f>
        <v/>
      </c>
      <c r="P800">
        <f>AVERAGE(M800:O800)</f>
        <v/>
      </c>
      <c r="Q800">
        <f>0.4*H800+0.4*I800+0.2*P800</f>
        <v/>
      </c>
      <c r="R800">
        <f>PERCENTILE($Q$2:$Q$800,0.75)</f>
        <v/>
      </c>
      <c r="S800">
        <f>OR(Q800&gt;=R800,AND(B800="CW",COUNT(J800:L800)&lt;3))</f>
        <v/>
      </c>
      <c r="T800" t="n">
        <v>0.2618370583880513</v>
      </c>
      <c r="U800" t="n">
        <v>6.435425737736564</v>
      </c>
      <c r="V800" t="n">
        <v>0.3693366708385482</v>
      </c>
      <c r="W800">
        <f>Q800-V800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Leg</t>
        </is>
      </c>
      <c r="C1" t="inlineStr">
        <is>
          <t>Stage</t>
        </is>
      </c>
      <c r="D1" t="inlineStr">
        <is>
          <t>Net_PnL</t>
        </is>
      </c>
      <c r="E1" t="inlineStr">
        <is>
          <t>Loss_probability</t>
        </is>
      </c>
      <c r="F1" t="inlineStr">
        <is>
          <t>Expected_downside</t>
        </is>
      </c>
      <c r="G1" t="inlineStr">
        <is>
          <t>Loss_rank</t>
        </is>
      </c>
      <c r="H1" t="inlineStr">
        <is>
          <t>Downside_rank</t>
        </is>
      </c>
      <c r="I1" t="inlineStr">
        <is>
          <t>Instability</t>
        </is>
      </c>
      <c r="J1" t="inlineStr">
        <is>
          <t>Risk_score</t>
        </is>
      </c>
      <c r="K1" t="inlineStr">
        <is>
          <t>Risk_threshold</t>
        </is>
      </c>
      <c r="L1" t="inlineStr">
        <is>
          <t>Dicey</t>
        </is>
      </c>
      <c r="M1" t="inlineStr">
        <is>
          <t>Flag_reason</t>
        </is>
      </c>
      <c r="N1" t="inlineStr">
        <is>
          <t>Prev_flat_DD</t>
        </is>
      </c>
      <c r="O1" t="inlineStr">
        <is>
          <t>Prev_flat_loss_streak</t>
        </is>
      </c>
      <c r="P1" t="inlineStr">
        <is>
          <t>Actual_loss_label</t>
        </is>
      </c>
      <c r="Q1" t="inlineStr">
        <is>
          <t>Actual_negative_part</t>
        </is>
      </c>
      <c r="R1" t="inlineStr">
        <is>
          <t>u_range_bps</t>
        </is>
      </c>
      <c r="S1" t="inlineStr">
        <is>
          <t>str_range_pct</t>
        </is>
      </c>
      <c r="T1" t="inlineStr">
        <is>
          <t>spread_pct</t>
        </is>
      </c>
      <c r="U1" t="inlineStr">
        <is>
          <t>U_rank</t>
        </is>
      </c>
      <c r="V1" t="inlineStr">
        <is>
          <t>Straddle_rank</t>
        </is>
      </c>
      <c r="W1" t="inlineStr">
        <is>
          <t>Spread_rank</t>
        </is>
      </c>
      <c r="X1" t="inlineStr">
        <is>
          <t>Replayed_loss</t>
        </is>
      </c>
      <c r="Y1" t="inlineStr">
        <is>
          <t>Replayed_downside</t>
        </is>
      </c>
      <c r="Z1" t="inlineStr">
        <is>
          <t>Replayed_risk</t>
        </is>
      </c>
      <c r="AA1" t="inlineStr">
        <is>
          <t>Replay_error</t>
        </is>
      </c>
    </row>
    <row r="2">
      <c r="A2" t="inlineStr">
        <is>
          <t>2021-01-01</t>
        </is>
      </c>
      <c r="B2" t="inlineStr">
        <is>
          <t>CW</t>
        </is>
      </c>
      <c r="C2" t="inlineStr">
        <is>
          <t>09:17</t>
        </is>
      </c>
      <c r="D2" t="n">
        <v>34.78783713722119</v>
      </c>
      <c r="E2" t="n">
        <v>0.2341393052371285</v>
      </c>
      <c r="F2" t="n">
        <v>8.193641186786312</v>
      </c>
      <c r="G2" t="n">
        <v>0.195244055068836</v>
      </c>
      <c r="H2" t="n">
        <v>0.5619524405506884</v>
      </c>
      <c r="I2" t="n">
        <v>0.3914458391445839</v>
      </c>
      <c r="J2" t="n">
        <v>0.3811677660767266</v>
      </c>
      <c r="K2" t="n">
        <v>0.6677157174036119</v>
      </c>
      <c r="L2" t="b">
        <v>0</v>
      </c>
      <c r="N2" t="n">
        <v>0</v>
      </c>
      <c r="O2" t="n">
        <v>0</v>
      </c>
      <c r="P2" t="n">
        <v>0</v>
      </c>
      <c r="Q2" t="n">
        <v>0</v>
      </c>
      <c r="R2" t="n">
        <v>6.784623899730401</v>
      </c>
      <c r="S2" t="n">
        <v>1.453545472402296</v>
      </c>
      <c r="T2" t="n">
        <v>0.3142801021410321</v>
      </c>
      <c r="U2" t="n">
        <v>0.2928870292887029</v>
      </c>
      <c r="V2" t="n">
        <v>0.1213389121338912</v>
      </c>
      <c r="W2" t="n">
        <v>0.7601115760111576</v>
      </c>
      <c r="X2" t="n">
        <v>0.2341393052371285</v>
      </c>
      <c r="Y2" t="n">
        <v>8.19364118678631</v>
      </c>
      <c r="Z2" t="n">
        <v>0.3811677660767266</v>
      </c>
      <c r="AA2" t="n">
        <v>5.551115123125783e-17</v>
      </c>
    </row>
    <row r="3">
      <c r="A3" t="inlineStr">
        <is>
          <t>2021-01-04</t>
        </is>
      </c>
      <c r="B3" t="inlineStr">
        <is>
          <t>CW</t>
        </is>
      </c>
      <c r="C3" t="inlineStr">
        <is>
          <t>09:20+</t>
        </is>
      </c>
      <c r="D3" t="n">
        <v>44.50026738622965</v>
      </c>
      <c r="E3" t="n">
        <v>0.2763399555181705</v>
      </c>
      <c r="F3" t="n">
        <v>10.93196451297463</v>
      </c>
      <c r="G3" t="n">
        <v>0.4367959949937422</v>
      </c>
      <c r="H3" t="n">
        <v>0.8748435544430538</v>
      </c>
      <c r="I3" t="n">
        <v>0.7652254765225477</v>
      </c>
      <c r="J3" t="n">
        <v>0.6777009150792279</v>
      </c>
      <c r="K3" t="n">
        <v>0.6677157174036119</v>
      </c>
      <c r="L3" t="b">
        <v>1</v>
      </c>
      <c r="M3" t="inlineStr">
        <is>
          <t>top_quartile_risk</t>
        </is>
      </c>
      <c r="N3" t="n">
        <v>0</v>
      </c>
      <c r="O3" t="n">
        <v>0</v>
      </c>
      <c r="P3" t="n">
        <v>0</v>
      </c>
      <c r="Q3" t="n">
        <v>0</v>
      </c>
      <c r="R3" t="n">
        <v>39.39524899726029</v>
      </c>
      <c r="S3" t="n">
        <v>3.638908327501754</v>
      </c>
      <c r="T3" t="n">
        <v>0.3265686960578506</v>
      </c>
      <c r="U3" t="n">
        <v>0.9525801952580195</v>
      </c>
      <c r="V3" t="n">
        <v>0.5523012552301255</v>
      </c>
      <c r="W3" t="n">
        <v>0.7907949790794979</v>
      </c>
      <c r="X3" t="n">
        <v>0.2763399555181706</v>
      </c>
      <c r="Y3" t="n">
        <v>10.93196451297463</v>
      </c>
      <c r="Z3" t="n">
        <v>0.6777009150792279</v>
      </c>
      <c r="AA3" t="n">
        <v>0</v>
      </c>
    </row>
    <row r="4">
      <c r="A4" t="inlineStr">
        <is>
          <t>2021-01-05</t>
        </is>
      </c>
      <c r="B4" t="inlineStr">
        <is>
          <t>CW</t>
        </is>
      </c>
      <c r="C4" t="inlineStr">
        <is>
          <t>09:17</t>
        </is>
      </c>
      <c r="D4" t="n">
        <v>-10.68426970169916</v>
      </c>
      <c r="E4" t="n">
        <v>0.1925724311002533</v>
      </c>
      <c r="F4" t="n">
        <v>3.221025586986661</v>
      </c>
      <c r="G4" t="n">
        <v>0.09261576971214018</v>
      </c>
      <c r="H4" t="n">
        <v>0.03003754693366708</v>
      </c>
      <c r="I4" t="n">
        <v>0.6173872617387262</v>
      </c>
      <c r="J4" t="n">
        <v>0.1725387790060681</v>
      </c>
      <c r="K4" t="n">
        <v>0.6677157174036119</v>
      </c>
      <c r="L4" t="b">
        <v>0</v>
      </c>
      <c r="N4" t="n">
        <v>0</v>
      </c>
      <c r="O4" t="n">
        <v>0</v>
      </c>
      <c r="P4" t="n">
        <v>1</v>
      </c>
      <c r="Q4" t="n">
        <v>10.68426970169916</v>
      </c>
      <c r="R4" t="n">
        <v>8.557782788558331</v>
      </c>
      <c r="S4" t="n">
        <v>3.718887262079076</v>
      </c>
      <c r="T4" t="n">
        <v>0.3806734992679389</v>
      </c>
      <c r="U4" t="n">
        <v>0.4239888423988842</v>
      </c>
      <c r="V4" t="n">
        <v>0.5620641562064156</v>
      </c>
      <c r="W4" t="n">
        <v>0.8661087866108786</v>
      </c>
      <c r="X4" t="n">
        <v>0.1925724311002533</v>
      </c>
      <c r="Y4" t="n">
        <v>3.221025586986661</v>
      </c>
      <c r="Z4" t="n">
        <v>0.1725387790060681</v>
      </c>
      <c r="AA4" t="n">
        <v>5.551115123125783e-17</v>
      </c>
    </row>
    <row r="5">
      <c r="A5" t="inlineStr">
        <is>
          <t>2021-01-06</t>
        </is>
      </c>
      <c r="B5" t="inlineStr">
        <is>
          <t>CW</t>
        </is>
      </c>
      <c r="C5" t="inlineStr">
        <is>
          <t>09:17</t>
        </is>
      </c>
      <c r="D5" t="n">
        <v>-45.30674667488596</v>
      </c>
      <c r="E5" t="n">
        <v>0.328091515297164</v>
      </c>
      <c r="F5" t="n">
        <v>10.81176787788056</v>
      </c>
      <c r="G5" t="n">
        <v>0.72090112640801</v>
      </c>
      <c r="H5" t="n">
        <v>0.8623279098873592</v>
      </c>
      <c r="I5" t="n">
        <v>0.4700139470013947</v>
      </c>
      <c r="J5" t="n">
        <v>0.7272944039184267</v>
      </c>
      <c r="K5" t="n">
        <v>0.6677157174036119</v>
      </c>
      <c r="L5" t="b">
        <v>1</v>
      </c>
      <c r="M5" t="inlineStr">
        <is>
          <t>top_quartile_risk</t>
        </is>
      </c>
      <c r="N5" t="n">
        <v>10.68426970169915</v>
      </c>
      <c r="O5" t="n">
        <v>1</v>
      </c>
      <c r="P5" t="n">
        <v>1</v>
      </c>
      <c r="Q5" t="n">
        <v>45.30674667488596</v>
      </c>
      <c r="R5" t="n">
        <v>9.397503854032736</v>
      </c>
      <c r="S5" t="n">
        <v>1.64912280701756</v>
      </c>
      <c r="T5" t="n">
        <v>0.3157894736842125</v>
      </c>
      <c r="U5" t="n">
        <v>0.4686192468619247</v>
      </c>
      <c r="V5" t="n">
        <v>0.1743375174337518</v>
      </c>
      <c r="W5" t="n">
        <v>0.7670850767085077</v>
      </c>
      <c r="X5" t="n">
        <v>0.328091515297164</v>
      </c>
      <c r="Y5" t="n">
        <v>10.81176787788056</v>
      </c>
      <c r="Z5" t="n">
        <v>0.7272944039184267</v>
      </c>
      <c r="AA5" t="n">
        <v>0</v>
      </c>
    </row>
    <row r="6">
      <c r="A6" t="inlineStr">
        <is>
          <t>2021-01-07</t>
        </is>
      </c>
      <c r="B6" t="inlineStr">
        <is>
          <t>CW</t>
        </is>
      </c>
      <c r="C6" t="inlineStr">
        <is>
          <t>09:18</t>
        </is>
      </c>
      <c r="D6" t="n">
        <v>40.42944495091485</v>
      </c>
      <c r="E6" t="n">
        <v>0.3059910238158816</v>
      </c>
      <c r="F6" t="n">
        <v>8.801505249211454</v>
      </c>
      <c r="G6" t="n">
        <v>0.5982478097622027</v>
      </c>
      <c r="H6" t="n">
        <v>0.6520650813516896</v>
      </c>
      <c r="I6" t="n">
        <v>0.4718735471873547</v>
      </c>
      <c r="J6" t="n">
        <v>0.5944998658830279</v>
      </c>
      <c r="K6" t="n">
        <v>0.6677157174036119</v>
      </c>
      <c r="L6" t="b">
        <v>0</v>
      </c>
      <c r="N6" t="n">
        <v>55.99101637658512</v>
      </c>
      <c r="O6" t="n">
        <v>2</v>
      </c>
      <c r="P6" t="n">
        <v>0</v>
      </c>
      <c r="Q6" t="n">
        <v>0</v>
      </c>
      <c r="R6" t="n">
        <v>5.800627170842054</v>
      </c>
      <c r="S6" t="n">
        <v>2.850061957868646</v>
      </c>
      <c r="T6" t="n">
        <v>0.3097893432465879</v>
      </c>
      <c r="U6" t="n">
        <v>0.2092050209205021</v>
      </c>
      <c r="V6" t="n">
        <v>0.4490934449093445</v>
      </c>
      <c r="W6" t="n">
        <v>0.7573221757322176</v>
      </c>
      <c r="X6" t="n">
        <v>0.3059910238158816</v>
      </c>
      <c r="Y6" t="n">
        <v>8.801505249211452</v>
      </c>
      <c r="Z6" t="n">
        <v>0.5944998658830279</v>
      </c>
      <c r="AA6" t="n">
        <v>0</v>
      </c>
    </row>
    <row r="7">
      <c r="A7" t="inlineStr">
        <is>
          <t>2021-01-11</t>
        </is>
      </c>
      <c r="B7" t="inlineStr">
        <is>
          <t>CW</t>
        </is>
      </c>
      <c r="C7" t="inlineStr">
        <is>
          <t>09:19</t>
        </is>
      </c>
      <c r="D7" t="n">
        <v>-37.92181153681947</v>
      </c>
      <c r="E7" t="n">
        <v>0.35706683399404</v>
      </c>
      <c r="F7" t="n">
        <v>10.27798057890095</v>
      </c>
      <c r="G7" t="n">
        <v>0.8335419274092616</v>
      </c>
      <c r="H7" t="n">
        <v>0.8197747183979975</v>
      </c>
      <c r="I7" t="n">
        <v>0.5388191538819154</v>
      </c>
      <c r="J7" t="n">
        <v>0.7690904890992867</v>
      </c>
      <c r="K7" t="n">
        <v>0.6677157174036119</v>
      </c>
      <c r="L7" t="b">
        <v>1</v>
      </c>
      <c r="M7" t="inlineStr">
        <is>
          <t>top_quartile_risk</t>
        </is>
      </c>
      <c r="N7" t="n">
        <v>15.56157142567027</v>
      </c>
      <c r="O7" t="n">
        <v>0</v>
      </c>
      <c r="P7" t="n">
        <v>1</v>
      </c>
      <c r="Q7" t="n">
        <v>37.92181153681947</v>
      </c>
      <c r="R7" t="n">
        <v>10.38291784299147</v>
      </c>
      <c r="S7" t="n">
        <v>2.886207712325524</v>
      </c>
      <c r="T7" t="n">
        <v>0.260231842914602</v>
      </c>
      <c r="U7" t="n">
        <v>0.5258019525801952</v>
      </c>
      <c r="V7" t="n">
        <v>0.4560669456066946</v>
      </c>
      <c r="W7" t="n">
        <v>0.6345885634588564</v>
      </c>
      <c r="X7" t="n">
        <v>0.3570668339940401</v>
      </c>
      <c r="Y7" t="n">
        <v>10.27798057890095</v>
      </c>
      <c r="Z7" t="n">
        <v>0.7690904890992867</v>
      </c>
      <c r="AA7" t="n">
        <v>0</v>
      </c>
    </row>
    <row r="8">
      <c r="A8" t="inlineStr">
        <is>
          <t>2021-01-12</t>
        </is>
      </c>
      <c r="B8" t="inlineStr">
        <is>
          <t>CW</t>
        </is>
      </c>
      <c r="C8" t="inlineStr">
        <is>
          <t>09:17</t>
        </is>
      </c>
      <c r="D8" t="n">
        <v>18.44543084549054</v>
      </c>
      <c r="E8" t="n">
        <v>0.2883238274344674</v>
      </c>
      <c r="F8" t="n">
        <v>7.108222207801915</v>
      </c>
      <c r="G8" t="n">
        <v>0.5118898623279099</v>
      </c>
      <c r="H8" t="n">
        <v>0.4292866082603254</v>
      </c>
      <c r="I8" t="n">
        <v>0.397489539748954</v>
      </c>
      <c r="J8" t="n">
        <v>0.4559684961850849</v>
      </c>
      <c r="K8" t="n">
        <v>0.6677157174036119</v>
      </c>
      <c r="L8" t="b">
        <v>0</v>
      </c>
      <c r="N8" t="n">
        <v>53.48338296248973</v>
      </c>
      <c r="O8" t="n">
        <v>1</v>
      </c>
      <c r="P8" t="n">
        <v>0</v>
      </c>
      <c r="Q8" t="n">
        <v>0</v>
      </c>
      <c r="R8" t="n">
        <v>6.125924080073347</v>
      </c>
      <c r="S8" t="n">
        <v>1.746611053180393</v>
      </c>
      <c r="T8" t="n">
        <v>0.3128258602711202</v>
      </c>
      <c r="U8" t="n">
        <v>0.2329149232914923</v>
      </c>
      <c r="V8" t="n">
        <v>0.200836820083682</v>
      </c>
      <c r="W8" t="n">
        <v>0.7587168758716876</v>
      </c>
      <c r="X8" t="n">
        <v>0.2883238274344674</v>
      </c>
      <c r="Y8" t="n">
        <v>7.108222207801916</v>
      </c>
      <c r="Z8" t="n">
        <v>0.4559684961850849</v>
      </c>
      <c r="AA8" t="n">
        <v>0</v>
      </c>
    </row>
    <row r="9">
      <c r="A9" t="inlineStr">
        <is>
          <t>2021-01-13</t>
        </is>
      </c>
      <c r="B9" t="inlineStr">
        <is>
          <t>CW</t>
        </is>
      </c>
      <c r="C9" t="inlineStr">
        <is>
          <t>09:17</t>
        </is>
      </c>
      <c r="D9" t="n">
        <v>21.29718207997079</v>
      </c>
      <c r="E9" t="n">
        <v>0.3273695355940839</v>
      </c>
      <c r="F9" t="n">
        <v>9.458368912625945</v>
      </c>
      <c r="G9" t="n">
        <v>0.7171464330413017</v>
      </c>
      <c r="H9" t="n">
        <v>0.723404255319149</v>
      </c>
      <c r="I9" t="n">
        <v>0.4281729428172943</v>
      </c>
      <c r="J9" t="n">
        <v>0.6618548639076391</v>
      </c>
      <c r="K9" t="n">
        <v>0.6677157174036119</v>
      </c>
      <c r="L9" t="b">
        <v>0</v>
      </c>
      <c r="N9" t="n">
        <v>35.03795211699919</v>
      </c>
      <c r="O9" t="n">
        <v>0</v>
      </c>
      <c r="P9" t="n">
        <v>0</v>
      </c>
      <c r="Q9" t="n">
        <v>0</v>
      </c>
      <c r="R9" t="n">
        <v>4.0768782760634</v>
      </c>
      <c r="S9" t="n">
        <v>2.719141323792474</v>
      </c>
      <c r="T9" t="n">
        <v>0.3220035778175333</v>
      </c>
      <c r="U9" t="n">
        <v>0.07531380753138076</v>
      </c>
      <c r="V9" t="n">
        <v>0.4267782426778243</v>
      </c>
      <c r="W9" t="n">
        <v>0.7824267782426778</v>
      </c>
      <c r="X9" t="n">
        <v>0.3273695355940839</v>
      </c>
      <c r="Y9" t="n">
        <v>9.458368912625946</v>
      </c>
      <c r="Z9" t="n">
        <v>0.6618548639076391</v>
      </c>
      <c r="AA9" t="n">
        <v>0</v>
      </c>
    </row>
    <row r="10">
      <c r="A10" t="inlineStr">
        <is>
          <t>2021-01-14</t>
        </is>
      </c>
      <c r="B10" t="inlineStr">
        <is>
          <t>CW</t>
        </is>
      </c>
      <c r="C10" t="inlineStr">
        <is>
          <t>09:17</t>
        </is>
      </c>
      <c r="D10" t="n">
        <v>25.73782854298286</v>
      </c>
      <c r="E10" t="n">
        <v>0.2750668172483725</v>
      </c>
      <c r="F10" t="n">
        <v>7.415315512418617</v>
      </c>
      <c r="G10" t="n">
        <v>0.4242803504380476</v>
      </c>
      <c r="H10" t="n">
        <v>0.460575719649562</v>
      </c>
      <c r="I10" t="n">
        <v>0.5713621571362157</v>
      </c>
      <c r="J10" t="n">
        <v>0.468214859462287</v>
      </c>
      <c r="K10" t="n">
        <v>0.6677157174036119</v>
      </c>
      <c r="L10" t="b">
        <v>0</v>
      </c>
      <c r="N10" t="n">
        <v>13.7407700370284</v>
      </c>
      <c r="O10" t="n">
        <v>0</v>
      </c>
      <c r="P10" t="n">
        <v>0</v>
      </c>
      <c r="Q10" t="n">
        <v>0</v>
      </c>
      <c r="R10" t="n">
        <v>6.424063787174796</v>
      </c>
      <c r="S10" t="n">
        <v>3.3197437390798</v>
      </c>
      <c r="T10" t="n">
        <v>0.4659289458357584</v>
      </c>
      <c r="U10" t="n">
        <v>0.2691771269177127</v>
      </c>
      <c r="V10" t="n">
        <v>0.5104602510460251</v>
      </c>
      <c r="W10" t="n">
        <v>0.9344490934449093</v>
      </c>
      <c r="X10" t="n">
        <v>0.2750668172483725</v>
      </c>
      <c r="Y10" t="n">
        <v>7.415315512418617</v>
      </c>
      <c r="Z10" t="n">
        <v>0.468214859462287</v>
      </c>
      <c r="AA10" t="n">
        <v>-5.551115123125783e-17</v>
      </c>
    </row>
    <row r="11">
      <c r="A11" t="inlineStr">
        <is>
          <t>2021-01-15</t>
        </is>
      </c>
      <c r="B11" t="inlineStr">
        <is>
          <t>CW</t>
        </is>
      </c>
      <c r="C11" t="inlineStr">
        <is>
          <t>09:17</t>
        </is>
      </c>
      <c r="D11" t="n">
        <v>-45.13389396822777</v>
      </c>
      <c r="E11" t="n">
        <v>0.2568601511945975</v>
      </c>
      <c r="F11" t="n">
        <v>8.201331555519936</v>
      </c>
      <c r="G11" t="n">
        <v>0.3091364205256571</v>
      </c>
      <c r="H11" t="n">
        <v>0.5632040050062578</v>
      </c>
      <c r="I11" t="n">
        <v>0.5760111576011157</v>
      </c>
      <c r="J11" t="n">
        <v>0.4641384017329891</v>
      </c>
      <c r="K11" t="n">
        <v>0.6677157174036119</v>
      </c>
      <c r="L11" t="b">
        <v>0</v>
      </c>
      <c r="N11" t="n">
        <v>0</v>
      </c>
      <c r="O11" t="n">
        <v>0</v>
      </c>
      <c r="P11" t="n">
        <v>1</v>
      </c>
      <c r="Q11" t="n">
        <v>45.13389396822777</v>
      </c>
      <c r="R11" t="n">
        <v>14.8950668223515</v>
      </c>
      <c r="S11" t="n">
        <v>1.78806700545831</v>
      </c>
      <c r="T11" t="n">
        <v>0.3387916431394714</v>
      </c>
      <c r="U11" t="n">
        <v>0.704323570432357</v>
      </c>
      <c r="V11" t="n">
        <v>0.2105997210599721</v>
      </c>
      <c r="W11" t="n">
        <v>0.8131101813110181</v>
      </c>
      <c r="X11" t="n">
        <v>0.2568601511945975</v>
      </c>
      <c r="Y11" t="n">
        <v>8.201331555519934</v>
      </c>
      <c r="Z11" t="n">
        <v>0.4641384017329891</v>
      </c>
      <c r="AA11" t="n">
        <v>0</v>
      </c>
    </row>
    <row r="12">
      <c r="A12" t="inlineStr">
        <is>
          <t>2021-01-18</t>
        </is>
      </c>
      <c r="B12" t="inlineStr">
        <is>
          <t>CW</t>
        </is>
      </c>
      <c r="C12" t="inlineStr">
        <is>
          <t>09:18</t>
        </is>
      </c>
      <c r="D12" t="n">
        <v>11.47860551381732</v>
      </c>
      <c r="E12" t="n">
        <v>0.4087267863330692</v>
      </c>
      <c r="F12" t="n">
        <v>10.27113152328028</v>
      </c>
      <c r="G12" t="n">
        <v>0.9549436795994993</v>
      </c>
      <c r="H12" t="n">
        <v>0.818523153942428</v>
      </c>
      <c r="I12" t="n">
        <v>0.2612738261273826</v>
      </c>
      <c r="J12" t="n">
        <v>0.7616414986422475</v>
      </c>
      <c r="K12" t="n">
        <v>0.6677157174036119</v>
      </c>
      <c r="L12" t="b">
        <v>1</v>
      </c>
      <c r="M12" t="inlineStr">
        <is>
          <t>top_quartile_risk</t>
        </is>
      </c>
      <c r="N12" t="n">
        <v>45.13389396822777</v>
      </c>
      <c r="O12" t="n">
        <v>1</v>
      </c>
      <c r="P12" t="n">
        <v>0</v>
      </c>
      <c r="Q12" t="n">
        <v>0</v>
      </c>
      <c r="R12" t="n">
        <v>5.10773143756479</v>
      </c>
      <c r="S12" t="n">
        <v>1.174168297455973</v>
      </c>
      <c r="T12" t="n">
        <v>0.2490660024906661</v>
      </c>
      <c r="U12" t="n">
        <v>0.1394700139470014</v>
      </c>
      <c r="V12" t="n">
        <v>0.06276150627615062</v>
      </c>
      <c r="W12" t="n">
        <v>0.5815899581589958</v>
      </c>
      <c r="X12" t="n">
        <v>0.4087267863330692</v>
      </c>
      <c r="Y12" t="n">
        <v>10.27113152328028</v>
      </c>
      <c r="Z12" t="n">
        <v>0.7616414986422475</v>
      </c>
      <c r="AA12" t="n">
        <v>0</v>
      </c>
    </row>
    <row r="13">
      <c r="A13" t="inlineStr">
        <is>
          <t>2021-01-19</t>
        </is>
      </c>
      <c r="B13" t="inlineStr">
        <is>
          <t>CW</t>
        </is>
      </c>
      <c r="C13" t="inlineStr">
        <is>
          <t>09:16</t>
        </is>
      </c>
      <c r="D13" t="n">
        <v>39.15150145451604</v>
      </c>
      <c r="E13" t="n">
        <v>0.2150092795668146</v>
      </c>
      <c r="F13" t="n">
        <v>5.153519918733672</v>
      </c>
      <c r="G13" t="n">
        <v>0.130162703379224</v>
      </c>
      <c r="H13" t="n">
        <v>0.1576971214017522</v>
      </c>
      <c r="I13" t="n">
        <v>0.7354718735471873</v>
      </c>
      <c r="J13" t="n">
        <v>0.262238304621828</v>
      </c>
      <c r="K13" t="n">
        <v>0.6677157174036119</v>
      </c>
      <c r="L13" t="b">
        <v>0</v>
      </c>
      <c r="N13" t="n">
        <v>33.65528845441044</v>
      </c>
      <c r="O13" t="n">
        <v>0</v>
      </c>
      <c r="P13" t="n">
        <v>0</v>
      </c>
      <c r="Q13" t="n">
        <v>0</v>
      </c>
      <c r="R13" t="n">
        <v>10.61430739034329</v>
      </c>
      <c r="S13" t="n">
        <v>5.235849056603784</v>
      </c>
      <c r="T13" t="n">
        <v>0.5660377358490646</v>
      </c>
      <c r="U13" t="n">
        <v>0.5341701534170153</v>
      </c>
      <c r="V13" t="n">
        <v>0.704323570432357</v>
      </c>
      <c r="W13" t="n">
        <v>0.9679218967921897</v>
      </c>
      <c r="X13" t="n">
        <v>0.2150092795668146</v>
      </c>
      <c r="Y13" t="n">
        <v>5.153519918733672</v>
      </c>
      <c r="Z13" t="n">
        <v>0.262238304621828</v>
      </c>
      <c r="AA13" t="n">
        <v>-5.551115123125783e-17</v>
      </c>
    </row>
    <row r="14">
      <c r="A14" t="inlineStr">
        <is>
          <t>2021-01-20</t>
        </is>
      </c>
      <c r="B14" t="inlineStr">
        <is>
          <t>CW</t>
        </is>
      </c>
      <c r="C14" t="inlineStr">
        <is>
          <t>09:17</t>
        </is>
      </c>
      <c r="D14" t="n">
        <v>55.06772074033524</v>
      </c>
      <c r="E14" t="n">
        <v>0.249425571807864</v>
      </c>
      <c r="F14" t="n">
        <v>6.672059700376566</v>
      </c>
      <c r="G14" t="n">
        <v>0.2615769712140175</v>
      </c>
      <c r="H14" t="n">
        <v>0.3754693366708385</v>
      </c>
      <c r="I14" t="n">
        <v>0.7182705718270572</v>
      </c>
      <c r="J14" t="n">
        <v>0.3984726375193539</v>
      </c>
      <c r="K14" t="n">
        <v>0.6677157174036119</v>
      </c>
      <c r="L14" t="b">
        <v>0</v>
      </c>
      <c r="N14" t="n">
        <v>0</v>
      </c>
      <c r="O14" t="n">
        <v>0</v>
      </c>
      <c r="P14" t="n">
        <v>0</v>
      </c>
      <c r="Q14" t="n">
        <v>0</v>
      </c>
      <c r="R14" t="n">
        <v>8.427874593226052</v>
      </c>
      <c r="S14" t="n">
        <v>7.408660351826804</v>
      </c>
      <c r="T14" t="n">
        <v>0.4736129905277325</v>
      </c>
      <c r="U14" t="n">
        <v>0.4114365411436541</v>
      </c>
      <c r="V14" t="n">
        <v>0.8019525801952581</v>
      </c>
      <c r="W14" t="n">
        <v>0.9414225941422594</v>
      </c>
      <c r="X14" t="n">
        <v>0.249425571807864</v>
      </c>
      <c r="Y14" t="n">
        <v>6.672059700376566</v>
      </c>
      <c r="Z14" t="n">
        <v>0.3984726375193539</v>
      </c>
      <c r="AA14" t="n">
        <v>0</v>
      </c>
    </row>
    <row r="15">
      <c r="A15" t="inlineStr">
        <is>
          <t>2021-01-21</t>
        </is>
      </c>
      <c r="B15" t="inlineStr">
        <is>
          <t>CW</t>
        </is>
      </c>
      <c r="C15" t="inlineStr">
        <is>
          <t>09:16</t>
        </is>
      </c>
      <c r="D15" t="n">
        <v>36.43741052857595</v>
      </c>
      <c r="E15" t="n">
        <v>0.4158954647912267</v>
      </c>
      <c r="F15" t="n">
        <v>13.54347690460652</v>
      </c>
      <c r="G15" t="n">
        <v>0.9624530663329162</v>
      </c>
      <c r="H15" t="n">
        <v>0.9637046307884856</v>
      </c>
      <c r="I15" t="n">
        <v>0.5</v>
      </c>
      <c r="J15" t="n">
        <v>0.8704630788485607</v>
      </c>
      <c r="K15" t="n">
        <v>0.6677157174036119</v>
      </c>
      <c r="L15" t="b">
        <v>1</v>
      </c>
      <c r="M15" t="inlineStr">
        <is>
          <t>top_quartile_risk;missing_CW_entry_features</t>
        </is>
      </c>
      <c r="N15" t="n">
        <v>0</v>
      </c>
      <c r="O15" t="n">
        <v>0</v>
      </c>
      <c r="P15" t="n">
        <v>0</v>
      </c>
      <c r="Q15" t="n">
        <v>0</v>
      </c>
      <c r="U15" t="n">
        <v>0.5</v>
      </c>
      <c r="V15" t="n">
        <v>0.5</v>
      </c>
      <c r="W15" t="n">
        <v>0.5</v>
      </c>
      <c r="X15" t="n">
        <v>0.4158954647912266</v>
      </c>
      <c r="Y15" t="n">
        <v>13.54347690460652</v>
      </c>
      <c r="Z15" t="n">
        <v>0.8704630788485607</v>
      </c>
      <c r="AA15" t="n">
        <v>0</v>
      </c>
    </row>
    <row r="16">
      <c r="A16" t="inlineStr">
        <is>
          <t>2021-01-22</t>
        </is>
      </c>
      <c r="B16" t="inlineStr">
        <is>
          <t>CW</t>
        </is>
      </c>
      <c r="C16" t="inlineStr">
        <is>
          <t>09:20+</t>
        </is>
      </c>
      <c r="D16" t="n">
        <v>-40.9149503190211</v>
      </c>
      <c r="E16" t="n">
        <v>0.3684000629710867</v>
      </c>
      <c r="F16" t="n">
        <v>13.782778188743</v>
      </c>
      <c r="G16" t="n">
        <v>0.8660826032540676</v>
      </c>
      <c r="H16" t="n">
        <v>0.9662077596996246</v>
      </c>
      <c r="I16" t="n">
        <v>0.4137610413761041</v>
      </c>
      <c r="J16" t="n">
        <v>0.8156683534566977</v>
      </c>
      <c r="K16" t="n">
        <v>0.6677157174036119</v>
      </c>
      <c r="L16" t="b">
        <v>1</v>
      </c>
      <c r="M16" t="inlineStr">
        <is>
          <t>top_quartile_risk</t>
        </is>
      </c>
      <c r="N16" t="n">
        <v>0</v>
      </c>
      <c r="O16" t="n">
        <v>0</v>
      </c>
      <c r="P16" t="n">
        <v>1</v>
      </c>
      <c r="Q16" t="n">
        <v>40.9149503190211</v>
      </c>
      <c r="R16" t="n">
        <v>7.458331750739288</v>
      </c>
      <c r="S16" t="n">
        <v>1.635474624852458</v>
      </c>
      <c r="T16" t="n">
        <v>0.2866295734277506</v>
      </c>
      <c r="U16" t="n">
        <v>0.3528591352859135</v>
      </c>
      <c r="V16" t="n">
        <v>0.1715481171548117</v>
      </c>
      <c r="W16" t="n">
        <v>0.7168758716875872</v>
      </c>
      <c r="X16" t="n">
        <v>0.3684000629710868</v>
      </c>
      <c r="Y16" t="n">
        <v>13.782778188743</v>
      </c>
      <c r="Z16" t="n">
        <v>0.8156683534566977</v>
      </c>
      <c r="AA16" t="n">
        <v>0</v>
      </c>
    </row>
    <row r="17">
      <c r="A17" t="inlineStr">
        <is>
          <t>2021-01-25</t>
        </is>
      </c>
      <c r="B17" t="inlineStr">
        <is>
          <t>CW</t>
        </is>
      </c>
      <c r="C17" t="inlineStr">
        <is>
          <t>09:20+</t>
        </is>
      </c>
      <c r="D17" t="n">
        <v>-38.68392744354918</v>
      </c>
      <c r="E17" t="n">
        <v>0.3500297818895333</v>
      </c>
      <c r="F17" t="n">
        <v>12.18568600108686</v>
      </c>
      <c r="G17" t="n">
        <v>0.8160200250312891</v>
      </c>
      <c r="H17" t="n">
        <v>0.9286608260325406</v>
      </c>
      <c r="I17" t="n">
        <v>0.6155276615527662</v>
      </c>
      <c r="J17" t="n">
        <v>0.8209778727360852</v>
      </c>
      <c r="K17" t="n">
        <v>0.6677157174036119</v>
      </c>
      <c r="L17" t="b">
        <v>1</v>
      </c>
      <c r="M17" t="inlineStr">
        <is>
          <t>top_quartile_risk</t>
        </is>
      </c>
      <c r="N17" t="n">
        <v>40.9149503190211</v>
      </c>
      <c r="O17" t="n">
        <v>1</v>
      </c>
      <c r="P17" t="n">
        <v>1</v>
      </c>
      <c r="Q17" t="n">
        <v>38.68392744354918</v>
      </c>
      <c r="R17" t="n">
        <v>16.7288503253786</v>
      </c>
      <c r="S17" t="n">
        <v>2.268620758883749</v>
      </c>
      <c r="T17" t="n">
        <v>0.3212206384260177</v>
      </c>
      <c r="U17" t="n">
        <v>0.7405857740585774</v>
      </c>
      <c r="V17" t="n">
        <v>0.3277545327754533</v>
      </c>
      <c r="W17" t="n">
        <v>0.7782426778242678</v>
      </c>
      <c r="X17" t="n">
        <v>0.3500297818895333</v>
      </c>
      <c r="Y17" t="n">
        <v>12.18568600108686</v>
      </c>
      <c r="Z17" t="n">
        <v>0.8209778727360852</v>
      </c>
      <c r="AA17" t="n">
        <v>0</v>
      </c>
    </row>
    <row r="18">
      <c r="A18" t="inlineStr">
        <is>
          <t>2021-01-27</t>
        </is>
      </c>
      <c r="B18" t="inlineStr">
        <is>
          <t>CW</t>
        </is>
      </c>
      <c r="C18" t="inlineStr">
        <is>
          <t>09:16</t>
        </is>
      </c>
      <c r="D18" t="n">
        <v>48.260157215037</v>
      </c>
      <c r="E18" t="n">
        <v>0.1866210188093316</v>
      </c>
      <c r="F18" t="n">
        <v>5.842826651919768</v>
      </c>
      <c r="G18" t="n">
        <v>0.07509386733416772</v>
      </c>
      <c r="H18" t="n">
        <v>0.2453066332916145</v>
      </c>
      <c r="I18" t="n">
        <v>0.9386331938633194</v>
      </c>
      <c r="J18" t="n">
        <v>0.3158868390229768</v>
      </c>
      <c r="K18" t="n">
        <v>0.6677157174036119</v>
      </c>
      <c r="L18" t="b">
        <v>0</v>
      </c>
      <c r="N18" t="n">
        <v>79.59887776257028</v>
      </c>
      <c r="O18" t="n">
        <v>2</v>
      </c>
      <c r="P18" t="n">
        <v>0</v>
      </c>
      <c r="Q18" t="n">
        <v>0</v>
      </c>
      <c r="R18" t="n">
        <v>37.43521168006907</v>
      </c>
      <c r="S18" t="n">
        <v>9.682539682539671</v>
      </c>
      <c r="T18" t="n">
        <v>1.375661375661373</v>
      </c>
      <c r="U18" t="n">
        <v>0.9414225941422594</v>
      </c>
      <c r="V18" t="n">
        <v>0.8744769874476988</v>
      </c>
      <c r="W18" t="n">
        <v>1</v>
      </c>
      <c r="X18" t="n">
        <v>0.1866210188093316</v>
      </c>
      <c r="Y18" t="n">
        <v>5.842826651919768</v>
      </c>
      <c r="Z18" t="n">
        <v>0.3158868390229768</v>
      </c>
      <c r="AA18" t="n">
        <v>-5.551115123125783e-17</v>
      </c>
    </row>
    <row r="19">
      <c r="A19" t="inlineStr">
        <is>
          <t>2021-01-28</t>
        </is>
      </c>
      <c r="B19" t="inlineStr">
        <is>
          <t>CW</t>
        </is>
      </c>
      <c r="C19" t="inlineStr">
        <is>
          <t>09:16</t>
        </is>
      </c>
      <c r="D19" t="n">
        <v>-12.88130494483715</v>
      </c>
      <c r="E19" t="n">
        <v>0.251119026577459</v>
      </c>
      <c r="F19" t="n">
        <v>7.124150786819801</v>
      </c>
      <c r="G19" t="n">
        <v>0.2715894868585732</v>
      </c>
      <c r="H19" t="n">
        <v>0.4317897371714643</v>
      </c>
      <c r="I19" t="n">
        <v>0.8172942817294282</v>
      </c>
      <c r="J19" t="n">
        <v>0.4448105459579006</v>
      </c>
      <c r="K19" t="n">
        <v>0.6677157174036119</v>
      </c>
      <c r="L19" t="b">
        <v>0</v>
      </c>
      <c r="N19" t="n">
        <v>31.33872054753328</v>
      </c>
      <c r="O19" t="n">
        <v>0</v>
      </c>
      <c r="P19" t="n">
        <v>1</v>
      </c>
      <c r="Q19" t="n">
        <v>12.88130494483715</v>
      </c>
      <c r="R19" t="n">
        <v>24.56010011576866</v>
      </c>
      <c r="S19" t="n">
        <v>4.78796169630643</v>
      </c>
      <c r="T19" t="n">
        <v>0.4559963520291837</v>
      </c>
      <c r="U19" t="n">
        <v>0.8507670850767085</v>
      </c>
      <c r="V19" t="n">
        <v>0.6708507670850767</v>
      </c>
      <c r="W19" t="n">
        <v>0.9302649930264993</v>
      </c>
      <c r="X19" t="n">
        <v>0.251119026577459</v>
      </c>
      <c r="Y19" t="n">
        <v>7.124150786819802</v>
      </c>
      <c r="Z19" t="n">
        <v>0.4448105459579006</v>
      </c>
      <c r="AA19" t="n">
        <v>5.551115123125783e-17</v>
      </c>
    </row>
    <row r="20">
      <c r="A20" t="inlineStr">
        <is>
          <t>2021-01-29</t>
        </is>
      </c>
      <c r="B20" t="inlineStr">
        <is>
          <t>CW</t>
        </is>
      </c>
      <c r="C20" t="inlineStr">
        <is>
          <t>09:16</t>
        </is>
      </c>
      <c r="D20" t="n">
        <v>-42.9942281854246</v>
      </c>
      <c r="E20" t="n">
        <v>0.1772040542798534</v>
      </c>
      <c r="F20" t="n">
        <v>9.74579643583842</v>
      </c>
      <c r="G20" t="n">
        <v>0.05882352941176471</v>
      </c>
      <c r="H20" t="n">
        <v>0.7571964956195244</v>
      </c>
      <c r="I20" t="n">
        <v>0.8647140864714086</v>
      </c>
      <c r="J20" t="n">
        <v>0.4993508273067974</v>
      </c>
      <c r="K20" t="n">
        <v>0.6677157174036119</v>
      </c>
      <c r="L20" t="b">
        <v>0</v>
      </c>
      <c r="N20" t="n">
        <v>44.22002549237044</v>
      </c>
      <c r="O20" t="n">
        <v>1</v>
      </c>
      <c r="P20" t="n">
        <v>1</v>
      </c>
      <c r="Q20" t="n">
        <v>42.9942281854246</v>
      </c>
      <c r="R20" t="n">
        <v>59.80818276518553</v>
      </c>
      <c r="S20" t="n">
        <v>8.05191821732139</v>
      </c>
      <c r="T20" t="n">
        <v>0.321617275442225</v>
      </c>
      <c r="U20" t="n">
        <v>0.9902370990237099</v>
      </c>
      <c r="V20" t="n">
        <v>0.8228730822873083</v>
      </c>
      <c r="W20" t="n">
        <v>0.7810320781032078</v>
      </c>
      <c r="X20" t="n">
        <v>0.1772040542798534</v>
      </c>
      <c r="Y20" t="n">
        <v>9.74579643583842</v>
      </c>
      <c r="Z20" t="n">
        <v>0.4993508273067974</v>
      </c>
      <c r="AA20" t="n">
        <v>-5.551115123125783e-17</v>
      </c>
    </row>
    <row r="21">
      <c r="A21" t="inlineStr">
        <is>
          <t>2021-02-01</t>
        </is>
      </c>
      <c r="B21" t="inlineStr">
        <is>
          <t>CW</t>
        </is>
      </c>
      <c r="C21" t="inlineStr">
        <is>
          <t>09:18</t>
        </is>
      </c>
      <c r="D21" t="n">
        <v>31.53839256813476</v>
      </c>
      <c r="E21" t="n">
        <v>0.3701990967412486</v>
      </c>
      <c r="F21" t="n">
        <v>9.747915566471919</v>
      </c>
      <c r="G21" t="n">
        <v>0.8735919899874843</v>
      </c>
      <c r="H21" t="n">
        <v>0.7596996245306633</v>
      </c>
      <c r="I21" t="n">
        <v>0.5523012552301255</v>
      </c>
      <c r="J21" t="n">
        <v>0.7637768968532842</v>
      </c>
      <c r="K21" t="n">
        <v>0.6677157174036119</v>
      </c>
      <c r="L21" t="b">
        <v>1</v>
      </c>
      <c r="M21" t="inlineStr">
        <is>
          <t>top_quartile_risk</t>
        </is>
      </c>
      <c r="N21" t="n">
        <v>87.21425367779504</v>
      </c>
      <c r="O21" t="n">
        <v>2</v>
      </c>
      <c r="P21" t="n">
        <v>0</v>
      </c>
      <c r="Q21" t="n">
        <v>0</v>
      </c>
      <c r="R21" t="n">
        <v>11.38330836036823</v>
      </c>
      <c r="S21" t="n">
        <v>1.623073330219521</v>
      </c>
      <c r="T21" t="n">
        <v>0.4553946753853313</v>
      </c>
      <c r="U21" t="n">
        <v>0.5648535564853556</v>
      </c>
      <c r="V21" t="n">
        <v>0.1659693165969316</v>
      </c>
      <c r="W21" t="n">
        <v>0.9260808926080892</v>
      </c>
      <c r="X21" t="n">
        <v>0.3701990967412486</v>
      </c>
      <c r="Y21" t="n">
        <v>9.747915566471921</v>
      </c>
      <c r="Z21" t="n">
        <v>0.7637768968532842</v>
      </c>
      <c r="AA21" t="n">
        <v>0</v>
      </c>
    </row>
    <row r="22">
      <c r="A22" t="inlineStr">
        <is>
          <t>2021-02-03</t>
        </is>
      </c>
      <c r="B22" t="inlineStr">
        <is>
          <t>CW</t>
        </is>
      </c>
      <c r="C22" t="inlineStr">
        <is>
          <t>09:18</t>
        </is>
      </c>
      <c r="D22" t="n">
        <v>54.11296629708809</v>
      </c>
      <c r="E22" t="n">
        <v>0.2108469468112318</v>
      </c>
      <c r="F22" t="n">
        <v>5.30596218912004</v>
      </c>
      <c r="G22" t="n">
        <v>0.1239048811013767</v>
      </c>
      <c r="H22" t="n">
        <v>0.1739674593241552</v>
      </c>
      <c r="I22" t="n">
        <v>0.801022780102278</v>
      </c>
      <c r="J22" t="n">
        <v>0.2793534921906684</v>
      </c>
      <c r="K22" t="n">
        <v>0.6677157174036119</v>
      </c>
      <c r="L22" t="b">
        <v>0</v>
      </c>
      <c r="N22" t="n">
        <v>55.67586110966027</v>
      </c>
      <c r="O22" t="n">
        <v>0</v>
      </c>
      <c r="P22" t="n">
        <v>0</v>
      </c>
      <c r="Q22" t="n">
        <v>0</v>
      </c>
      <c r="R22" t="n">
        <v>35.66755380026903</v>
      </c>
      <c r="S22" t="n">
        <v>3.15441363520732</v>
      </c>
      <c r="T22" t="n">
        <v>0.6359704909692262</v>
      </c>
      <c r="U22" t="n">
        <v>0.9330543933054394</v>
      </c>
      <c r="V22" t="n">
        <v>0.4881450488145049</v>
      </c>
      <c r="W22" t="n">
        <v>0.9818688981868898</v>
      </c>
      <c r="X22" t="n">
        <v>0.2108469468112318</v>
      </c>
      <c r="Y22" t="n">
        <v>5.30596218912004</v>
      </c>
      <c r="Z22" t="n">
        <v>0.2793534921906684</v>
      </c>
      <c r="AA22" t="n">
        <v>0</v>
      </c>
    </row>
    <row r="23">
      <c r="A23" t="inlineStr">
        <is>
          <t>2021-02-04</t>
        </is>
      </c>
      <c r="B23" t="inlineStr">
        <is>
          <t>CW</t>
        </is>
      </c>
      <c r="C23" t="inlineStr">
        <is>
          <t>09:16</t>
        </is>
      </c>
      <c r="D23" t="n">
        <v>47.12896880934595</v>
      </c>
      <c r="E23" t="n">
        <v>0.2882808486129001</v>
      </c>
      <c r="F23" t="n">
        <v>9.797830129821243</v>
      </c>
      <c r="G23" t="n">
        <v>0.5106382978723404</v>
      </c>
      <c r="H23" t="n">
        <v>0.7647058823529411</v>
      </c>
      <c r="I23" t="n">
        <v>0.8823802882380288</v>
      </c>
      <c r="J23" t="n">
        <v>0.6866137297377184</v>
      </c>
      <c r="K23" t="n">
        <v>0.6677157174036119</v>
      </c>
      <c r="L23" t="b">
        <v>1</v>
      </c>
      <c r="M23" t="inlineStr">
        <is>
          <t>top_quartile_risk</t>
        </is>
      </c>
      <c r="N23" t="n">
        <v>1.562894812572182</v>
      </c>
      <c r="O23" t="n">
        <v>0</v>
      </c>
      <c r="P23" t="n">
        <v>0</v>
      </c>
      <c r="Q23" t="n">
        <v>0</v>
      </c>
      <c r="R23" t="n">
        <v>26.10097581671542</v>
      </c>
      <c r="S23" t="n">
        <v>12.25281116711905</v>
      </c>
      <c r="T23" t="n">
        <v>0.387747188832892</v>
      </c>
      <c r="U23" t="n">
        <v>0.8702928870292888</v>
      </c>
      <c r="V23" t="n">
        <v>0.905160390516039</v>
      </c>
      <c r="W23" t="n">
        <v>0.8716875871687587</v>
      </c>
      <c r="X23" t="n">
        <v>0.2882808486129001</v>
      </c>
      <c r="Y23" t="n">
        <v>9.797830129821243</v>
      </c>
      <c r="Z23" t="n">
        <v>0.6866137297377184</v>
      </c>
      <c r="AA23" t="n">
        <v>0</v>
      </c>
    </row>
    <row r="24">
      <c r="A24" t="inlineStr">
        <is>
          <t>2021-02-05</t>
        </is>
      </c>
      <c r="B24" t="inlineStr">
        <is>
          <t>CW</t>
        </is>
      </c>
      <c r="C24" t="inlineStr">
        <is>
          <t>09:16</t>
        </is>
      </c>
      <c r="D24" t="n">
        <v>-33.66310317682423</v>
      </c>
      <c r="E24" t="n">
        <v>0.187260013745748</v>
      </c>
      <c r="F24" t="n">
        <v>7.578946421206757</v>
      </c>
      <c r="G24" t="n">
        <v>0.07884856070087609</v>
      </c>
      <c r="H24" t="n">
        <v>0.4956195244055069</v>
      </c>
      <c r="I24" t="n">
        <v>0.8642491864249187</v>
      </c>
      <c r="J24" t="n">
        <v>0.402637071327537</v>
      </c>
      <c r="K24" t="n">
        <v>0.6677157174036119</v>
      </c>
      <c r="L24" t="b">
        <v>0</v>
      </c>
      <c r="N24" t="n">
        <v>0</v>
      </c>
      <c r="O24" t="n">
        <v>0</v>
      </c>
      <c r="P24" t="n">
        <v>1</v>
      </c>
      <c r="Q24" t="n">
        <v>33.66310317682423</v>
      </c>
      <c r="R24" t="n">
        <v>18.37140352168811</v>
      </c>
      <c r="S24" t="n">
        <v>8.587343339006653</v>
      </c>
      <c r="T24" t="n">
        <v>0.6189076280365156</v>
      </c>
      <c r="U24" t="n">
        <v>0.7712691771269177</v>
      </c>
      <c r="V24" t="n">
        <v>0.8410041841004184</v>
      </c>
      <c r="W24" t="n">
        <v>0.9804741980474198</v>
      </c>
      <c r="X24" t="n">
        <v>0.187260013745748</v>
      </c>
      <c r="Y24" t="n">
        <v>7.578946421206755</v>
      </c>
      <c r="Z24" t="n">
        <v>0.402637071327537</v>
      </c>
      <c r="AA24" t="n">
        <v>-5.551115123125783e-17</v>
      </c>
    </row>
    <row r="25">
      <c r="A25" t="inlineStr">
        <is>
          <t>2021-02-08</t>
        </is>
      </c>
      <c r="B25" t="inlineStr">
        <is>
          <t>CW</t>
        </is>
      </c>
      <c r="C25" t="inlineStr">
        <is>
          <t>09:16</t>
        </is>
      </c>
      <c r="D25" t="n">
        <v>57.12934908038083</v>
      </c>
      <c r="E25" t="n">
        <v>0.2429908190137729</v>
      </c>
      <c r="F25" t="n">
        <v>9.195371264959341</v>
      </c>
      <c r="G25" t="n">
        <v>0.2352941176470588</v>
      </c>
      <c r="H25" t="n">
        <v>0.7021276595744681</v>
      </c>
      <c r="I25" t="n">
        <v>0.8633193863319386</v>
      </c>
      <c r="J25" t="n">
        <v>0.5476325881549985</v>
      </c>
      <c r="K25" t="n">
        <v>0.6677157174036119</v>
      </c>
      <c r="L25" t="b">
        <v>0</v>
      </c>
      <c r="N25" t="n">
        <v>33.66310317682422</v>
      </c>
      <c r="O25" t="n">
        <v>1</v>
      </c>
      <c r="P25" t="n">
        <v>0</v>
      </c>
      <c r="Q25" t="n">
        <v>0</v>
      </c>
      <c r="R25" t="n">
        <v>27.11359800103621</v>
      </c>
      <c r="S25" t="n">
        <v>6.006521366054592</v>
      </c>
      <c r="T25" t="n">
        <v>0.5148446885189536</v>
      </c>
      <c r="U25" t="n">
        <v>0.8856345885634589</v>
      </c>
      <c r="V25" t="n">
        <v>0.7447698744769874</v>
      </c>
      <c r="W25" t="n">
        <v>0.9595536959553695</v>
      </c>
      <c r="X25" t="n">
        <v>0.2429908190137729</v>
      </c>
      <c r="Y25" t="n">
        <v>9.195371264959341</v>
      </c>
      <c r="Z25" t="n">
        <v>0.5476325881549985</v>
      </c>
      <c r="AA25" t="n">
        <v>0</v>
      </c>
    </row>
    <row r="26">
      <c r="A26" t="inlineStr">
        <is>
          <t>2021-02-09</t>
        </is>
      </c>
      <c r="B26" t="inlineStr">
        <is>
          <t>CW</t>
        </is>
      </c>
      <c r="C26" t="inlineStr">
        <is>
          <t>09:16</t>
        </is>
      </c>
      <c r="D26" t="n">
        <v>24.58928358665873</v>
      </c>
      <c r="E26" t="n">
        <v>0.2111311455787106</v>
      </c>
      <c r="F26" t="n">
        <v>5.060391010178645</v>
      </c>
      <c r="G26" t="n">
        <v>0.1251564455569462</v>
      </c>
      <c r="H26" t="n">
        <v>0.1439299123904881</v>
      </c>
      <c r="I26" t="n">
        <v>0.7963737796373781</v>
      </c>
      <c r="J26" t="n">
        <v>0.2669092991064493</v>
      </c>
      <c r="K26" t="n">
        <v>0.6677157174036119</v>
      </c>
      <c r="L26" t="b">
        <v>0</v>
      </c>
      <c r="N26" t="n">
        <v>0</v>
      </c>
      <c r="O26" t="n">
        <v>0</v>
      </c>
      <c r="P26" t="n">
        <v>0</v>
      </c>
      <c r="Q26" t="n">
        <v>0</v>
      </c>
      <c r="R26" t="n">
        <v>12.9522550801258</v>
      </c>
      <c r="S26" t="n">
        <v>9.418402777777771</v>
      </c>
      <c r="T26" t="n">
        <v>0.4123263888888901</v>
      </c>
      <c r="U26" t="n">
        <v>0.6373779637377964</v>
      </c>
      <c r="V26" t="n">
        <v>0.8633193863319386</v>
      </c>
      <c r="W26" t="n">
        <v>0.8884239888423989</v>
      </c>
      <c r="X26" t="n">
        <v>0.2111311455787106</v>
      </c>
      <c r="Y26" t="n">
        <v>5.060391010178646</v>
      </c>
      <c r="Z26" t="n">
        <v>0.2669092991064493</v>
      </c>
      <c r="AA26" t="n">
        <v>5.551115123125783e-17</v>
      </c>
    </row>
    <row r="27">
      <c r="A27" t="inlineStr">
        <is>
          <t>2021-02-10</t>
        </is>
      </c>
      <c r="B27" t="inlineStr">
        <is>
          <t>NW</t>
        </is>
      </c>
      <c r="C27" t="inlineStr">
        <is>
          <t>NW</t>
        </is>
      </c>
      <c r="D27" t="n">
        <v>48.68731439150532</v>
      </c>
      <c r="E27" t="n">
        <v>0.3956118369332288</v>
      </c>
      <c r="F27" t="n">
        <v>13.9231906666968</v>
      </c>
      <c r="G27" t="n">
        <v>0.932415519399249</v>
      </c>
      <c r="H27" t="n">
        <v>0.9724655819774718</v>
      </c>
      <c r="I27" t="n">
        <v>0.5</v>
      </c>
      <c r="J27" t="n">
        <v>0.8619524405506883</v>
      </c>
      <c r="K27" t="n">
        <v>0.6677157174036119</v>
      </c>
      <c r="L27" t="b">
        <v>1</v>
      </c>
      <c r="M27" t="inlineStr">
        <is>
          <t>top_quartile_risk</t>
        </is>
      </c>
      <c r="N27" t="n">
        <v>0</v>
      </c>
      <c r="O27" t="n">
        <v>0</v>
      </c>
      <c r="P27" t="n">
        <v>0</v>
      </c>
      <c r="Q27" t="n">
        <v>0</v>
      </c>
      <c r="U27" t="n">
        <v>0.5</v>
      </c>
      <c r="V27" t="n">
        <v>0.5</v>
      </c>
      <c r="W27" t="n">
        <v>0.5</v>
      </c>
      <c r="X27" t="n">
        <v>0.3956118369332288</v>
      </c>
      <c r="Y27" t="n">
        <v>13.9231906666968</v>
      </c>
      <c r="Z27" t="n">
        <v>0.8619524405506883</v>
      </c>
      <c r="AA27" t="n">
        <v>0</v>
      </c>
    </row>
    <row r="28">
      <c r="A28" t="inlineStr">
        <is>
          <t>2021-02-11</t>
        </is>
      </c>
      <c r="B28" t="inlineStr">
        <is>
          <t>CW</t>
        </is>
      </c>
      <c r="C28" t="inlineStr">
        <is>
          <t>09:17</t>
        </is>
      </c>
      <c r="D28" t="n">
        <v>73.87448194938891</v>
      </c>
      <c r="E28" t="n">
        <v>0.2706824031150039</v>
      </c>
      <c r="F28" t="n">
        <v>8.497148387438521</v>
      </c>
      <c r="G28" t="n">
        <v>0.3954943679599499</v>
      </c>
      <c r="H28" t="n">
        <v>0.6020025031289111</v>
      </c>
      <c r="I28" t="n">
        <v>0.6857275685727569</v>
      </c>
      <c r="J28" t="n">
        <v>0.5361442621500958</v>
      </c>
      <c r="K28" t="n">
        <v>0.6677157174036119</v>
      </c>
      <c r="L28" t="b">
        <v>0</v>
      </c>
      <c r="N28" t="n">
        <v>0</v>
      </c>
      <c r="O28" t="n">
        <v>0</v>
      </c>
      <c r="P28" t="n">
        <v>0</v>
      </c>
      <c r="Q28" t="n">
        <v>0</v>
      </c>
      <c r="R28" t="n">
        <v>10.21477560658497</v>
      </c>
      <c r="S28" t="n">
        <v>4.788135593220344</v>
      </c>
      <c r="T28" t="n">
        <v>0.3813559322034043</v>
      </c>
      <c r="U28" t="n">
        <v>0.5160390516039052</v>
      </c>
      <c r="V28" t="n">
        <v>0.6722454672245467</v>
      </c>
      <c r="W28" t="n">
        <v>0.8688981868898187</v>
      </c>
      <c r="X28" t="n">
        <v>0.2706824031150039</v>
      </c>
      <c r="Y28" t="n">
        <v>8.497148387438521</v>
      </c>
      <c r="Z28" t="n">
        <v>0.5361442621500958</v>
      </c>
      <c r="AA28" t="n">
        <v>0</v>
      </c>
    </row>
    <row r="29">
      <c r="A29" t="inlineStr">
        <is>
          <t>2021-02-12</t>
        </is>
      </c>
      <c r="B29" t="inlineStr">
        <is>
          <t>CW</t>
        </is>
      </c>
      <c r="C29" t="inlineStr">
        <is>
          <t>09:17</t>
        </is>
      </c>
      <c r="D29" t="n">
        <v>34.58724698997074</v>
      </c>
      <c r="E29" t="n">
        <v>0.208927060054258</v>
      </c>
      <c r="F29" t="n">
        <v>6.557641973092927</v>
      </c>
      <c r="G29" t="n">
        <v>0.1201501877346683</v>
      </c>
      <c r="H29" t="n">
        <v>0.3541927409261577</v>
      </c>
      <c r="I29" t="n">
        <v>0.4300325430032543</v>
      </c>
      <c r="J29" t="n">
        <v>0.2757436800649813</v>
      </c>
      <c r="K29" t="n">
        <v>0.6677157174036119</v>
      </c>
      <c r="L29" t="b">
        <v>0</v>
      </c>
      <c r="N29" t="n">
        <v>0</v>
      </c>
      <c r="O29" t="n">
        <v>0</v>
      </c>
      <c r="P29" t="n">
        <v>0</v>
      </c>
      <c r="Q29" t="n">
        <v>0</v>
      </c>
      <c r="R29" t="n">
        <v>5.886357134165476</v>
      </c>
      <c r="S29" t="n">
        <v>1.444825717897779</v>
      </c>
      <c r="T29" t="n">
        <v>0.5056890012642142</v>
      </c>
      <c r="U29" t="n">
        <v>0.2175732217573222</v>
      </c>
      <c r="V29" t="n">
        <v>0.1185495118549512</v>
      </c>
      <c r="W29" t="n">
        <v>0.9539748953974896</v>
      </c>
      <c r="X29" t="n">
        <v>0.208927060054258</v>
      </c>
      <c r="Y29" t="n">
        <v>6.557641973092927</v>
      </c>
      <c r="Z29" t="n">
        <v>0.2757436800649813</v>
      </c>
      <c r="AA29" t="n">
        <v>0</v>
      </c>
    </row>
    <row r="30">
      <c r="A30" t="inlineStr">
        <is>
          <t>2021-02-16</t>
        </is>
      </c>
      <c r="B30" t="inlineStr">
        <is>
          <t>CW</t>
        </is>
      </c>
      <c r="C30" t="inlineStr">
        <is>
          <t>09:17</t>
        </is>
      </c>
      <c r="D30" t="n">
        <v>17.75922255565358</v>
      </c>
      <c r="E30" t="n">
        <v>0.2558561343641775</v>
      </c>
      <c r="F30" t="n">
        <v>5.047900932458786</v>
      </c>
      <c r="G30" t="n">
        <v>0.3016270337922403</v>
      </c>
      <c r="H30" t="n">
        <v>0.1401752190237797</v>
      </c>
      <c r="I30" t="n">
        <v>0.4718735471873547</v>
      </c>
      <c r="J30" t="n">
        <v>0.271095610563879</v>
      </c>
      <c r="K30" t="n">
        <v>0.6677157174036119</v>
      </c>
      <c r="L30" t="b">
        <v>0</v>
      </c>
      <c r="N30" t="n">
        <v>0</v>
      </c>
      <c r="O30" t="n">
        <v>0</v>
      </c>
      <c r="P30" t="n">
        <v>0</v>
      </c>
      <c r="Q30" t="n">
        <v>0</v>
      </c>
      <c r="R30" t="n">
        <v>7.277736623910437</v>
      </c>
      <c r="S30" t="n">
        <v>2.28384991843394</v>
      </c>
      <c r="T30" t="n">
        <v>0.2990755845568228</v>
      </c>
      <c r="U30" t="n">
        <v>0.3347280334728033</v>
      </c>
      <c r="V30" t="n">
        <v>0.3361227336122734</v>
      </c>
      <c r="W30" t="n">
        <v>0.7447698744769874</v>
      </c>
      <c r="X30" t="n">
        <v>0.2558561343641776</v>
      </c>
      <c r="Y30" t="n">
        <v>5.047900932458788</v>
      </c>
      <c r="Z30" t="n">
        <v>0.271095610563879</v>
      </c>
      <c r="AA30" t="n">
        <v>0</v>
      </c>
    </row>
    <row r="31">
      <c r="A31" t="inlineStr">
        <is>
          <t>2021-02-17</t>
        </is>
      </c>
      <c r="B31" t="inlineStr">
        <is>
          <t>CW</t>
        </is>
      </c>
      <c r="C31" t="inlineStr">
        <is>
          <t>09:17</t>
        </is>
      </c>
      <c r="D31" t="n">
        <v>-40.83971444496503</v>
      </c>
      <c r="E31" t="n">
        <v>0.2825249802730318</v>
      </c>
      <c r="F31" t="n">
        <v>6.77523544210287</v>
      </c>
      <c r="G31" t="n">
        <v>0.4730913642052565</v>
      </c>
      <c r="H31" t="n">
        <v>0.3904881101376721</v>
      </c>
      <c r="I31" t="n">
        <v>0.5848442584844258</v>
      </c>
      <c r="J31" t="n">
        <v>0.4624006414340566</v>
      </c>
      <c r="K31" t="n">
        <v>0.6677157174036119</v>
      </c>
      <c r="L31" t="b">
        <v>0</v>
      </c>
      <c r="N31" t="n">
        <v>0</v>
      </c>
      <c r="O31" t="n">
        <v>0</v>
      </c>
      <c r="P31" t="n">
        <v>1</v>
      </c>
      <c r="Q31" t="n">
        <v>40.83971444496503</v>
      </c>
      <c r="R31" t="n">
        <v>9.23225001718794</v>
      </c>
      <c r="S31" t="n">
        <v>2.349952365830452</v>
      </c>
      <c r="T31" t="n">
        <v>0.476341695776437</v>
      </c>
      <c r="U31" t="n">
        <v>0.4588563458856346</v>
      </c>
      <c r="V31" t="n">
        <v>0.3514644351464435</v>
      </c>
      <c r="W31" t="n">
        <v>0.9442119944211994</v>
      </c>
      <c r="X31" t="n">
        <v>0.2825249802730318</v>
      </c>
      <c r="Y31" t="n">
        <v>6.77523544210287</v>
      </c>
      <c r="Z31" t="n">
        <v>0.4624006414340566</v>
      </c>
      <c r="AA31" t="n">
        <v>0</v>
      </c>
    </row>
    <row r="32">
      <c r="A32" t="inlineStr">
        <is>
          <t>2021-02-18</t>
        </is>
      </c>
      <c r="B32" t="inlineStr">
        <is>
          <t>CW</t>
        </is>
      </c>
      <c r="C32" t="inlineStr">
        <is>
          <t>09:17</t>
        </is>
      </c>
      <c r="D32" t="n">
        <v>31.68499250455251</v>
      </c>
      <c r="E32" t="n">
        <v>0.2752856066370376</v>
      </c>
      <c r="F32" t="n">
        <v>8.298916871158168</v>
      </c>
      <c r="G32" t="n">
        <v>0.4267834793491865</v>
      </c>
      <c r="H32" t="n">
        <v>0.5794743429286608</v>
      </c>
      <c r="I32" t="n">
        <v>0.7424453742445375</v>
      </c>
      <c r="J32" t="n">
        <v>0.5509922037600464</v>
      </c>
      <c r="K32" t="n">
        <v>0.6677157174036119</v>
      </c>
      <c r="L32" t="b">
        <v>0</v>
      </c>
      <c r="N32" t="n">
        <v>40.83971444496501</v>
      </c>
      <c r="O32" t="n">
        <v>1</v>
      </c>
      <c r="P32" t="n">
        <v>0</v>
      </c>
      <c r="Q32" t="n">
        <v>0</v>
      </c>
      <c r="R32" t="n">
        <v>13.27776828322448</v>
      </c>
      <c r="S32" t="n">
        <v>4.678362573099413</v>
      </c>
      <c r="T32" t="n">
        <v>0.4385964912280661</v>
      </c>
      <c r="U32" t="n">
        <v>0.6527196652719666</v>
      </c>
      <c r="V32" t="n">
        <v>0.6624825662482566</v>
      </c>
      <c r="W32" t="n">
        <v>0.9121338912133892</v>
      </c>
      <c r="X32" t="n">
        <v>0.2752856066370376</v>
      </c>
      <c r="Y32" t="n">
        <v>8.298916871158168</v>
      </c>
      <c r="Z32" t="n">
        <v>0.5509922037600464</v>
      </c>
      <c r="AA32" t="n">
        <v>0</v>
      </c>
    </row>
    <row r="33">
      <c r="A33" t="inlineStr">
        <is>
          <t>2021-02-19</t>
        </is>
      </c>
      <c r="B33" t="inlineStr">
        <is>
          <t>CW</t>
        </is>
      </c>
      <c r="C33" t="inlineStr">
        <is>
          <t>09:16</t>
        </is>
      </c>
      <c r="D33" t="n">
        <v>-43.15231447917672</v>
      </c>
      <c r="E33" t="n">
        <v>0.1912028273687675</v>
      </c>
      <c r="F33" t="n">
        <v>4.583310064443355</v>
      </c>
      <c r="G33" t="n">
        <v>0.09136420525657071</v>
      </c>
      <c r="H33" t="n">
        <v>0.09011264080100125</v>
      </c>
      <c r="I33" t="n">
        <v>0.8131101813110181</v>
      </c>
      <c r="J33" t="n">
        <v>0.2352127746852324</v>
      </c>
      <c r="K33" t="n">
        <v>0.6677157174036119</v>
      </c>
      <c r="L33" t="b">
        <v>0</v>
      </c>
      <c r="N33" t="n">
        <v>9.154721940412514</v>
      </c>
      <c r="O33" t="n">
        <v>0</v>
      </c>
      <c r="P33" t="n">
        <v>1</v>
      </c>
      <c r="Q33" t="n">
        <v>43.15231447917672</v>
      </c>
      <c r="R33" t="n">
        <v>24.5916620972712</v>
      </c>
      <c r="S33" t="n">
        <v>3.942158719228779</v>
      </c>
      <c r="T33" t="n">
        <v>0.9123773454983666</v>
      </c>
      <c r="U33" t="n">
        <v>0.8535564853556485</v>
      </c>
      <c r="V33" t="n">
        <v>0.5885634588563459</v>
      </c>
      <c r="W33" t="n">
        <v>0.99721059972106</v>
      </c>
      <c r="X33" t="n">
        <v>0.1912028273687675</v>
      </c>
      <c r="Y33" t="n">
        <v>4.583310064443356</v>
      </c>
      <c r="Z33" t="n">
        <v>0.2352127746852324</v>
      </c>
      <c r="AA33" t="n">
        <v>-2.775557561562891e-17</v>
      </c>
    </row>
    <row r="34">
      <c r="A34" t="inlineStr">
        <is>
          <t>2021-02-22</t>
        </is>
      </c>
      <c r="B34" t="inlineStr">
        <is>
          <t>CW</t>
        </is>
      </c>
      <c r="C34" t="inlineStr">
        <is>
          <t>09:16</t>
        </is>
      </c>
      <c r="D34" t="n">
        <v>-26.68587289687141</v>
      </c>
      <c r="E34" t="n">
        <v>0.2293021529762277</v>
      </c>
      <c r="F34" t="n">
        <v>5.147726693267078</v>
      </c>
      <c r="G34" t="n">
        <v>0.1689612015018774</v>
      </c>
      <c r="H34" t="n">
        <v>0.1539424280350438</v>
      </c>
      <c r="I34" t="n">
        <v>0.8214783821478383</v>
      </c>
      <c r="J34" t="n">
        <v>0.2934571282443361</v>
      </c>
      <c r="K34" t="n">
        <v>0.6677157174036119</v>
      </c>
      <c r="L34" t="b">
        <v>0</v>
      </c>
      <c r="N34" t="n">
        <v>52.30703641958922</v>
      </c>
      <c r="O34" t="n">
        <v>1</v>
      </c>
      <c r="P34" t="n">
        <v>1</v>
      </c>
      <c r="Q34" t="n">
        <v>26.68587289687141</v>
      </c>
      <c r="R34" t="n">
        <v>23.92800211208137</v>
      </c>
      <c r="S34" t="n">
        <v>4.452901998097046</v>
      </c>
      <c r="T34" t="n">
        <v>0.6089438629876341</v>
      </c>
      <c r="U34" t="n">
        <v>0.8437935843793585</v>
      </c>
      <c r="V34" t="n">
        <v>0.6415620641562064</v>
      </c>
      <c r="W34" t="n">
        <v>0.9790794979079498</v>
      </c>
      <c r="X34" t="n">
        <v>0.2293021529762277</v>
      </c>
      <c r="Y34" t="n">
        <v>5.147726693267082</v>
      </c>
      <c r="Z34" t="n">
        <v>0.2934571282443361</v>
      </c>
      <c r="AA34" t="n">
        <v>0</v>
      </c>
    </row>
    <row r="35">
      <c r="A35" t="inlineStr">
        <is>
          <t>2021-02-23</t>
        </is>
      </c>
      <c r="B35" t="inlineStr">
        <is>
          <t>CW</t>
        </is>
      </c>
      <c r="C35" t="inlineStr">
        <is>
          <t>09:20+</t>
        </is>
      </c>
      <c r="D35" t="n">
        <v>32.42168838689592</v>
      </c>
      <c r="E35" t="n">
        <v>0.3055962040534432</v>
      </c>
      <c r="F35" t="n">
        <v>9.071452474446914</v>
      </c>
      <c r="G35" t="n">
        <v>0.5944931163954944</v>
      </c>
      <c r="H35" t="n">
        <v>0.6883604505632041</v>
      </c>
      <c r="I35" t="n">
        <v>0.5178986517898653</v>
      </c>
      <c r="J35" t="n">
        <v>0.6167211571414525</v>
      </c>
      <c r="K35" t="n">
        <v>0.6677157174036119</v>
      </c>
      <c r="L35" t="b">
        <v>0</v>
      </c>
      <c r="N35" t="n">
        <v>78.99290931646061</v>
      </c>
      <c r="O35" t="n">
        <v>2</v>
      </c>
      <c r="P35" t="n">
        <v>0</v>
      </c>
      <c r="Q35" t="n">
        <v>0</v>
      </c>
      <c r="R35" t="n">
        <v>9.407946988263433</v>
      </c>
      <c r="S35" t="n">
        <v>1.684565171615077</v>
      </c>
      <c r="T35" t="n">
        <v>0.4211412929037693</v>
      </c>
      <c r="U35" t="n">
        <v>0.4714086471408647</v>
      </c>
      <c r="V35" t="n">
        <v>0.1841004184100418</v>
      </c>
      <c r="W35" t="n">
        <v>0.898186889818689</v>
      </c>
      <c r="X35" t="n">
        <v>0.3055962040534432</v>
      </c>
      <c r="Y35" t="n">
        <v>9.071452474446916</v>
      </c>
      <c r="Z35" t="n">
        <v>0.6167211571414525</v>
      </c>
      <c r="AA35" t="n">
        <v>0</v>
      </c>
    </row>
    <row r="36">
      <c r="A36" t="inlineStr">
        <is>
          <t>2021-02-24</t>
        </is>
      </c>
      <c r="B36" t="inlineStr">
        <is>
          <t>CW</t>
        </is>
      </c>
      <c r="C36" t="inlineStr">
        <is>
          <t>09:16</t>
        </is>
      </c>
      <c r="D36" t="n">
        <v>279.4368369705755</v>
      </c>
      <c r="E36" t="n">
        <v>0.2029571143201022</v>
      </c>
      <c r="F36" t="n">
        <v>4.112101199851345</v>
      </c>
      <c r="G36" t="n">
        <v>0.1076345431789737</v>
      </c>
      <c r="H36" t="n">
        <v>0.05882352941176471</v>
      </c>
      <c r="I36" t="n">
        <v>0.8577405857740587</v>
      </c>
      <c r="J36" t="n">
        <v>0.2381313461911071</v>
      </c>
      <c r="K36" t="n">
        <v>0.6677157174036119</v>
      </c>
      <c r="L36" t="b">
        <v>0</v>
      </c>
      <c r="N36" t="n">
        <v>46.57122092956467</v>
      </c>
      <c r="O36" t="n">
        <v>0</v>
      </c>
      <c r="P36" t="n">
        <v>0</v>
      </c>
      <c r="Q36" t="n">
        <v>0</v>
      </c>
      <c r="R36" t="n">
        <v>18.36375856240018</v>
      </c>
      <c r="S36" t="n">
        <v>10.0777345918934</v>
      </c>
      <c r="T36" t="n">
        <v>0.4441976679622494</v>
      </c>
      <c r="U36" t="n">
        <v>0.7698744769874477</v>
      </c>
      <c r="V36" t="n">
        <v>0.8856345885634589</v>
      </c>
      <c r="W36" t="n">
        <v>0.9177126917712691</v>
      </c>
      <c r="X36" t="n">
        <v>0.2029571143201022</v>
      </c>
      <c r="Y36" t="n">
        <v>4.112101199851348</v>
      </c>
      <c r="Z36" t="n">
        <v>0.2381313461911071</v>
      </c>
      <c r="AA36" t="n">
        <v>2.775557561562891e-17</v>
      </c>
    </row>
    <row r="37">
      <c r="A37" t="inlineStr">
        <is>
          <t>2021-02-25</t>
        </is>
      </c>
      <c r="B37" t="inlineStr">
        <is>
          <t>CW</t>
        </is>
      </c>
      <c r="C37" t="inlineStr">
        <is>
          <t>09:16</t>
        </is>
      </c>
      <c r="D37" t="n">
        <v>64.43832044303893</v>
      </c>
      <c r="E37" t="n">
        <v>0.196029942475563</v>
      </c>
      <c r="F37" t="n">
        <v>7.205145867509856</v>
      </c>
      <c r="G37" t="n">
        <v>0.09637046307884856</v>
      </c>
      <c r="H37" t="n">
        <v>0.4455569461827284</v>
      </c>
      <c r="I37" t="n">
        <v>0.9390980939098094</v>
      </c>
      <c r="J37" t="n">
        <v>0.4045905824865926</v>
      </c>
      <c r="K37" t="n">
        <v>0.6677157174036119</v>
      </c>
      <c r="L37" t="b">
        <v>0</v>
      </c>
      <c r="N37" t="n">
        <v>0</v>
      </c>
      <c r="O37" t="n">
        <v>0</v>
      </c>
      <c r="P37" t="n">
        <v>0</v>
      </c>
      <c r="Q37" t="n">
        <v>0</v>
      </c>
      <c r="R37" t="n">
        <v>30.73736591692688</v>
      </c>
      <c r="S37" t="n">
        <v>23.69158878504674</v>
      </c>
      <c r="T37" t="n">
        <v>0.4672897196261616</v>
      </c>
      <c r="U37" t="n">
        <v>0.9065550906555091</v>
      </c>
      <c r="V37" t="n">
        <v>0.9748953974895398</v>
      </c>
      <c r="W37" t="n">
        <v>0.9358437935843794</v>
      </c>
      <c r="X37" t="n">
        <v>0.196029942475563</v>
      </c>
      <c r="Y37" t="n">
        <v>7.205145867509857</v>
      </c>
      <c r="Z37" t="n">
        <v>0.4045905824865926</v>
      </c>
      <c r="AA37" t="n">
        <v>5.551115123125783e-17</v>
      </c>
    </row>
    <row r="38">
      <c r="A38" t="inlineStr">
        <is>
          <t>2021-02-26</t>
        </is>
      </c>
      <c r="B38" t="inlineStr">
        <is>
          <t>CW</t>
        </is>
      </c>
      <c r="C38" t="inlineStr">
        <is>
          <t>09:17</t>
        </is>
      </c>
      <c r="D38" t="n">
        <v>-37.30089613971111</v>
      </c>
      <c r="E38" t="n">
        <v>0.2321692487142288</v>
      </c>
      <c r="F38" t="n">
        <v>4.759022922284074</v>
      </c>
      <c r="G38" t="n">
        <v>0.1852315394242804</v>
      </c>
      <c r="H38" t="n">
        <v>0.1051314142678348</v>
      </c>
      <c r="I38" t="n">
        <v>0.7308228730822873</v>
      </c>
      <c r="J38" t="n">
        <v>0.2623097560933035</v>
      </c>
      <c r="K38" t="n">
        <v>0.6677157174036119</v>
      </c>
      <c r="L38" t="b">
        <v>0</v>
      </c>
      <c r="N38" t="n">
        <v>0</v>
      </c>
      <c r="O38" t="n">
        <v>0</v>
      </c>
      <c r="P38" t="n">
        <v>1</v>
      </c>
      <c r="Q38" t="n">
        <v>37.30089613971111</v>
      </c>
      <c r="R38" t="n">
        <v>19.73824056360268</v>
      </c>
      <c r="S38" t="n">
        <v>3.490449361000424</v>
      </c>
      <c r="T38" t="n">
        <v>0.3985158719252485</v>
      </c>
      <c r="U38" t="n">
        <v>0.7838214783821479</v>
      </c>
      <c r="V38" t="n">
        <v>0.5258019525801952</v>
      </c>
      <c r="W38" t="n">
        <v>0.8828451882845189</v>
      </c>
      <c r="X38" t="n">
        <v>0.2321692487142288</v>
      </c>
      <c r="Y38" t="n">
        <v>4.759022922284071</v>
      </c>
      <c r="Z38" t="n">
        <v>0.2623097560933035</v>
      </c>
      <c r="AA38" t="n">
        <v>5.551115123125783e-17</v>
      </c>
    </row>
    <row r="39">
      <c r="A39" t="inlineStr">
        <is>
          <t>2021-03-02</t>
        </is>
      </c>
      <c r="B39" t="inlineStr">
        <is>
          <t>CW</t>
        </is>
      </c>
      <c r="C39" t="inlineStr">
        <is>
          <t>09:16</t>
        </is>
      </c>
      <c r="D39" t="n">
        <v>78.62410432826691</v>
      </c>
      <c r="E39" t="n">
        <v>0.237040728426975</v>
      </c>
      <c r="F39" t="n">
        <v>5.951100471234356</v>
      </c>
      <c r="G39" t="n">
        <v>0.2090112640801001</v>
      </c>
      <c r="H39" t="n">
        <v>0.2603254067584481</v>
      </c>
      <c r="I39" t="n">
        <v>0.8233379823337983</v>
      </c>
      <c r="J39" t="n">
        <v>0.352402264802179</v>
      </c>
      <c r="K39" t="n">
        <v>0.6677157174036119</v>
      </c>
      <c r="L39" t="b">
        <v>0</v>
      </c>
      <c r="N39" t="n">
        <v>37.30089613971109</v>
      </c>
      <c r="O39" t="n">
        <v>1</v>
      </c>
      <c r="P39" t="n">
        <v>0</v>
      </c>
      <c r="Q39" t="n">
        <v>0</v>
      </c>
      <c r="R39" t="n">
        <v>20.56369511705148</v>
      </c>
      <c r="S39" t="n">
        <v>6.883468834688351</v>
      </c>
      <c r="T39" t="n">
        <v>0.4155374887082224</v>
      </c>
      <c r="U39" t="n">
        <v>0.796373779637378</v>
      </c>
      <c r="V39" t="n">
        <v>0.7810320781032078</v>
      </c>
      <c r="W39" t="n">
        <v>0.8926080892608089</v>
      </c>
      <c r="X39" t="n">
        <v>0.237040728426975</v>
      </c>
      <c r="Y39" t="n">
        <v>5.951100471234354</v>
      </c>
      <c r="Z39" t="n">
        <v>0.352402264802179</v>
      </c>
      <c r="AA39" t="n">
        <v>-5.551115123125783e-17</v>
      </c>
    </row>
    <row r="40">
      <c r="A40" t="inlineStr">
        <is>
          <t>2021-03-03</t>
        </is>
      </c>
      <c r="B40" t="inlineStr">
        <is>
          <t>NW</t>
        </is>
      </c>
      <c r="C40" t="inlineStr">
        <is>
          <t>NW</t>
        </is>
      </c>
      <c r="D40" t="n">
        <v>-40.56616246258991</v>
      </c>
      <c r="E40" t="n">
        <v>0.4472763778987304</v>
      </c>
      <c r="F40" t="n">
        <v>14.94991931470549</v>
      </c>
      <c r="G40" t="n">
        <v>0.9799749687108886</v>
      </c>
      <c r="H40" t="n">
        <v>0.983729662077597</v>
      </c>
      <c r="I40" t="n">
        <v>0.5</v>
      </c>
      <c r="J40" t="n">
        <v>0.8854818523153943</v>
      </c>
      <c r="K40" t="n">
        <v>0.6677157174036119</v>
      </c>
      <c r="L40" t="b">
        <v>1</v>
      </c>
      <c r="M40" t="inlineStr">
        <is>
          <t>top_quartile_risk</t>
        </is>
      </c>
      <c r="N40" t="n">
        <v>0</v>
      </c>
      <c r="O40" t="n">
        <v>0</v>
      </c>
      <c r="P40" t="n">
        <v>1</v>
      </c>
      <c r="Q40" t="n">
        <v>40.56616246258991</v>
      </c>
      <c r="U40" t="n">
        <v>0.5</v>
      </c>
      <c r="V40" t="n">
        <v>0.5</v>
      </c>
      <c r="W40" t="n">
        <v>0.5</v>
      </c>
      <c r="X40" t="n">
        <v>0.4472763778987304</v>
      </c>
      <c r="Y40" t="n">
        <v>14.94991931470549</v>
      </c>
      <c r="Z40" t="n">
        <v>0.8854818523153943</v>
      </c>
      <c r="AA40" t="n">
        <v>0</v>
      </c>
    </row>
    <row r="41">
      <c r="A41" t="inlineStr">
        <is>
          <t>2021-03-04</t>
        </is>
      </c>
      <c r="B41" t="inlineStr">
        <is>
          <t>CW</t>
        </is>
      </c>
      <c r="C41" t="inlineStr">
        <is>
          <t>09:17</t>
        </is>
      </c>
      <c r="D41" t="n">
        <v>44.09841637667048</v>
      </c>
      <c r="E41" t="n">
        <v>0.3042927084554218</v>
      </c>
      <c r="F41" t="n">
        <v>7.929359258253406</v>
      </c>
      <c r="G41" t="n">
        <v>0.5869837296620776</v>
      </c>
      <c r="H41" t="n">
        <v>0.5281602002503129</v>
      </c>
      <c r="I41" t="n">
        <v>0.7833565783356579</v>
      </c>
      <c r="J41" t="n">
        <v>0.6027288876320878</v>
      </c>
      <c r="K41" t="n">
        <v>0.6677157174036119</v>
      </c>
      <c r="L41" t="b">
        <v>0</v>
      </c>
      <c r="N41" t="n">
        <v>40.56616246258989</v>
      </c>
      <c r="O41" t="n">
        <v>1</v>
      </c>
      <c r="P41" t="n">
        <v>0</v>
      </c>
      <c r="Q41" t="n">
        <v>0</v>
      </c>
      <c r="R41" t="n">
        <v>14.2490359480916</v>
      </c>
      <c r="S41" t="n">
        <v>5.544314042897607</v>
      </c>
      <c r="T41" t="n">
        <v>0.4856333468231496</v>
      </c>
      <c r="U41" t="n">
        <v>0.6820083682008368</v>
      </c>
      <c r="V41" t="n">
        <v>0.7224546722454672</v>
      </c>
      <c r="W41" t="n">
        <v>0.9456066945606695</v>
      </c>
      <c r="X41" t="n">
        <v>0.3042927084554218</v>
      </c>
      <c r="Y41" t="n">
        <v>7.929359258253403</v>
      </c>
      <c r="Z41" t="n">
        <v>0.6027288876320878</v>
      </c>
      <c r="AA41" t="n">
        <v>0</v>
      </c>
    </row>
    <row r="42">
      <c r="A42" t="inlineStr">
        <is>
          <t>2021-03-05</t>
        </is>
      </c>
      <c r="B42" t="inlineStr">
        <is>
          <t>CW</t>
        </is>
      </c>
      <c r="C42" t="inlineStr">
        <is>
          <t>09:16</t>
        </is>
      </c>
      <c r="D42" t="n">
        <v>52.4966806645451</v>
      </c>
      <c r="E42" t="n">
        <v>0.1515079252585551</v>
      </c>
      <c r="F42" t="n">
        <v>7.241366122259401</v>
      </c>
      <c r="G42" t="n">
        <v>0.02377972465581978</v>
      </c>
      <c r="H42" t="n">
        <v>0.4480600750938674</v>
      </c>
      <c r="I42" t="n">
        <v>0.9493258949325895</v>
      </c>
      <c r="J42" t="n">
        <v>0.3786010988863927</v>
      </c>
      <c r="K42" t="n">
        <v>0.6677157174036119</v>
      </c>
      <c r="L42" t="b">
        <v>0</v>
      </c>
      <c r="N42" t="n">
        <v>0</v>
      </c>
      <c r="O42" t="n">
        <v>0</v>
      </c>
      <c r="P42" t="n">
        <v>0</v>
      </c>
      <c r="Q42" t="n">
        <v>0</v>
      </c>
      <c r="R42" t="n">
        <v>52.15202415462146</v>
      </c>
      <c r="S42" t="n">
        <v>9.974920200638394</v>
      </c>
      <c r="T42" t="n">
        <v>0.7523939808481493</v>
      </c>
      <c r="U42" t="n">
        <v>0.9776847977684798</v>
      </c>
      <c r="V42" t="n">
        <v>0.8814504881450488</v>
      </c>
      <c r="W42" t="n">
        <v>0.9888423988842399</v>
      </c>
      <c r="X42" t="n">
        <v>0.1515079252585551</v>
      </c>
      <c r="Y42" t="n">
        <v>7.2413661222594</v>
      </c>
      <c r="Z42" t="n">
        <v>0.3786010988863927</v>
      </c>
      <c r="AA42" t="n">
        <v>0</v>
      </c>
    </row>
    <row r="43">
      <c r="A43" t="inlineStr">
        <is>
          <t>2021-03-08</t>
        </is>
      </c>
      <c r="B43" t="inlineStr">
        <is>
          <t>CW</t>
        </is>
      </c>
      <c r="C43" t="inlineStr">
        <is>
          <t>09:16</t>
        </is>
      </c>
      <c r="D43" t="n">
        <v>49.87771748656094</v>
      </c>
      <c r="E43" t="n">
        <v>0.2846071642866472</v>
      </c>
      <c r="F43" t="n">
        <v>10.57848396151778</v>
      </c>
      <c r="G43" t="n">
        <v>0.4893617021276596</v>
      </c>
      <c r="H43" t="n">
        <v>0.8473091364205256</v>
      </c>
      <c r="I43" t="n">
        <v>0.6885169688516969</v>
      </c>
      <c r="J43" t="n">
        <v>0.6723717291896134</v>
      </c>
      <c r="K43" t="n">
        <v>0.6677157174036119</v>
      </c>
      <c r="L43" t="b">
        <v>1</v>
      </c>
      <c r="M43" t="inlineStr">
        <is>
          <t>top_quartile_risk</t>
        </is>
      </c>
      <c r="N43" t="n">
        <v>0</v>
      </c>
      <c r="O43" t="n">
        <v>0</v>
      </c>
      <c r="P43" t="n">
        <v>0</v>
      </c>
      <c r="Q43" t="n">
        <v>0</v>
      </c>
      <c r="R43" t="n">
        <v>34.62557764785788</v>
      </c>
      <c r="S43" t="n">
        <v>3.305785123966963</v>
      </c>
      <c r="T43" t="n">
        <v>0.2601775329048039</v>
      </c>
      <c r="U43" t="n">
        <v>0.9232914923291492</v>
      </c>
      <c r="V43" t="n">
        <v>0.5090655509065551</v>
      </c>
      <c r="W43" t="n">
        <v>0.6331938633193863</v>
      </c>
      <c r="X43" t="n">
        <v>0.2846071642866472</v>
      </c>
      <c r="Y43" t="n">
        <v>10.57848396151778</v>
      </c>
      <c r="Z43" t="n">
        <v>0.6723717291896134</v>
      </c>
      <c r="AA43" t="n">
        <v>0</v>
      </c>
    </row>
    <row r="44">
      <c r="A44" t="inlineStr">
        <is>
          <t>2021-03-09</t>
        </is>
      </c>
      <c r="B44" t="inlineStr">
        <is>
          <t>CW</t>
        </is>
      </c>
      <c r="C44" t="inlineStr">
        <is>
          <t>09:17</t>
        </is>
      </c>
      <c r="D44" t="n">
        <v>50.94682034198642</v>
      </c>
      <c r="E44" t="n">
        <v>0.2864334068623639</v>
      </c>
      <c r="F44" t="n">
        <v>8.979521066958998</v>
      </c>
      <c r="G44" t="n">
        <v>0.5031289111389237</v>
      </c>
      <c r="H44" t="n">
        <v>0.6783479349186483</v>
      </c>
      <c r="I44" t="n">
        <v>0.5825197582519759</v>
      </c>
      <c r="J44" t="n">
        <v>0.589094690073424</v>
      </c>
      <c r="K44" t="n">
        <v>0.6677157174036119</v>
      </c>
      <c r="L44" t="b">
        <v>0</v>
      </c>
      <c r="N44" t="n">
        <v>0</v>
      </c>
      <c r="O44" t="n">
        <v>0</v>
      </c>
      <c r="P44" t="n">
        <v>0</v>
      </c>
      <c r="Q44" t="n">
        <v>0</v>
      </c>
      <c r="R44" t="n">
        <v>11.663082698546</v>
      </c>
      <c r="S44" t="n">
        <v>2.758286958625704</v>
      </c>
      <c r="T44" t="n">
        <v>0.2903459956448141</v>
      </c>
      <c r="U44" t="n">
        <v>0.5857740585774058</v>
      </c>
      <c r="V44" t="n">
        <v>0.4365411436541143</v>
      </c>
      <c r="W44" t="n">
        <v>0.7252440725244073</v>
      </c>
      <c r="X44" t="n">
        <v>0.286433406862364</v>
      </c>
      <c r="Y44" t="n">
        <v>8.979521066959</v>
      </c>
      <c r="Z44" t="n">
        <v>0.589094690073424</v>
      </c>
      <c r="AA44" t="n">
        <v>0</v>
      </c>
    </row>
    <row r="45">
      <c r="A45" t="inlineStr">
        <is>
          <t>2021-03-10</t>
        </is>
      </c>
      <c r="B45" t="inlineStr">
        <is>
          <t>CW</t>
        </is>
      </c>
      <c r="C45" t="inlineStr">
        <is>
          <t>09:18</t>
        </is>
      </c>
      <c r="D45" t="n">
        <v>49.75441466304878</v>
      </c>
      <c r="E45" t="n">
        <v>0.2737850289978586</v>
      </c>
      <c r="F45" t="n">
        <v>6.326124081434884</v>
      </c>
      <c r="G45" t="n">
        <v>0.4142678347934919</v>
      </c>
      <c r="H45" t="n">
        <v>0.3153942428035044</v>
      </c>
      <c r="I45" t="n">
        <v>0.4834960483496049</v>
      </c>
      <c r="J45" t="n">
        <v>0.3885640407087195</v>
      </c>
      <c r="K45" t="n">
        <v>0.6677157174036119</v>
      </c>
      <c r="L45" t="b">
        <v>0</v>
      </c>
      <c r="N45" t="n">
        <v>0</v>
      </c>
      <c r="O45" t="n">
        <v>0</v>
      </c>
      <c r="P45" t="n">
        <v>0</v>
      </c>
      <c r="Q45" t="n">
        <v>0</v>
      </c>
      <c r="R45" t="n">
        <v>4.473640062763256</v>
      </c>
      <c r="S45" t="n">
        <v>3.218997361477569</v>
      </c>
      <c r="T45" t="n">
        <v>0.3693931398416826</v>
      </c>
      <c r="U45" t="n">
        <v>0.09762900976290098</v>
      </c>
      <c r="V45" t="n">
        <v>0.497907949790795</v>
      </c>
      <c r="W45" t="n">
        <v>0.8549511854951185</v>
      </c>
      <c r="X45" t="n">
        <v>0.2737850289978586</v>
      </c>
      <c r="Y45" t="n">
        <v>6.326124081434889</v>
      </c>
      <c r="Z45" t="n">
        <v>0.3885640407087195</v>
      </c>
      <c r="AA45" t="n">
        <v>0</v>
      </c>
    </row>
    <row r="46">
      <c r="A46" t="inlineStr">
        <is>
          <t>2021-03-16</t>
        </is>
      </c>
      <c r="B46" t="inlineStr">
        <is>
          <t>CW</t>
        </is>
      </c>
      <c r="C46" t="inlineStr">
        <is>
          <t>09:17</t>
        </is>
      </c>
      <c r="D46" t="n">
        <v>27.18814877156771</v>
      </c>
      <c r="E46" t="n">
        <v>0.2354848800911002</v>
      </c>
      <c r="F46" t="n">
        <v>5.297123945305684</v>
      </c>
      <c r="G46" t="n">
        <v>0.2027534418022528</v>
      </c>
      <c r="H46" t="n">
        <v>0.1702127659574468</v>
      </c>
      <c r="I46" t="n">
        <v>0.6225011622501162</v>
      </c>
      <c r="J46" t="n">
        <v>0.2736867155539031</v>
      </c>
      <c r="K46" t="n">
        <v>0.6677157174036119</v>
      </c>
      <c r="L46" t="b">
        <v>0</v>
      </c>
      <c r="N46" t="n">
        <v>0</v>
      </c>
      <c r="O46" t="n">
        <v>0</v>
      </c>
      <c r="P46" t="n">
        <v>0</v>
      </c>
      <c r="Q46" t="n">
        <v>0</v>
      </c>
      <c r="R46" t="n">
        <v>12.80409731114005</v>
      </c>
      <c r="S46" t="n">
        <v>2.460711331679069</v>
      </c>
      <c r="T46" t="n">
        <v>0.3722084367245622</v>
      </c>
      <c r="U46" t="n">
        <v>0.6290097629009763</v>
      </c>
      <c r="V46" t="n">
        <v>0.3807531380753138</v>
      </c>
      <c r="W46" t="n">
        <v>0.8577405857740585</v>
      </c>
      <c r="X46" t="n">
        <v>0.2354848800911002</v>
      </c>
      <c r="Y46" t="n">
        <v>5.297123945305687</v>
      </c>
      <c r="Z46" t="n">
        <v>0.2736867155539031</v>
      </c>
      <c r="AA46" t="n">
        <v>0</v>
      </c>
    </row>
    <row r="47">
      <c r="A47" t="inlineStr">
        <is>
          <t>2021-03-17</t>
        </is>
      </c>
      <c r="B47" t="inlineStr">
        <is>
          <t>CW</t>
        </is>
      </c>
      <c r="C47" t="inlineStr">
        <is>
          <t>09:16</t>
        </is>
      </c>
      <c r="D47" t="n">
        <v>33.45399803025244</v>
      </c>
      <c r="E47" t="n">
        <v>0.1727538175429712</v>
      </c>
      <c r="F47" t="n">
        <v>5.092349924221272</v>
      </c>
      <c r="G47" t="n">
        <v>0.04630788485607009</v>
      </c>
      <c r="H47" t="n">
        <v>0.1476846057571965</v>
      </c>
      <c r="I47" t="n">
        <v>0.9265457926545793</v>
      </c>
      <c r="J47" t="n">
        <v>0.2629061547762225</v>
      </c>
      <c r="K47" t="n">
        <v>0.6677157174036119</v>
      </c>
      <c r="L47" t="b">
        <v>0</v>
      </c>
      <c r="N47" t="n">
        <v>0</v>
      </c>
      <c r="O47" t="n">
        <v>0</v>
      </c>
      <c r="P47" t="n">
        <v>0</v>
      </c>
      <c r="Q47" t="n">
        <v>0</v>
      </c>
      <c r="R47" t="n">
        <v>53.07132235205729</v>
      </c>
      <c r="S47" t="n">
        <v>9.826589595375729</v>
      </c>
      <c r="T47" t="n">
        <v>0.4523749685850673</v>
      </c>
      <c r="U47" t="n">
        <v>0.9804741980474198</v>
      </c>
      <c r="V47" t="n">
        <v>0.8758716875871687</v>
      </c>
      <c r="W47" t="n">
        <v>0.9232914923291492</v>
      </c>
      <c r="X47" t="n">
        <v>0.1727538175429713</v>
      </c>
      <c r="Y47" t="n">
        <v>5.092349924221271</v>
      </c>
      <c r="Z47" t="n">
        <v>0.2629061547762225</v>
      </c>
      <c r="AA47" t="n">
        <v>0</v>
      </c>
    </row>
    <row r="48">
      <c r="A48" t="inlineStr">
        <is>
          <t>2021-03-18</t>
        </is>
      </c>
      <c r="B48" t="inlineStr">
        <is>
          <t>CW</t>
        </is>
      </c>
      <c r="C48" t="inlineStr">
        <is>
          <t>09:16</t>
        </is>
      </c>
      <c r="D48" t="n">
        <v>66.85815497683522</v>
      </c>
      <c r="E48" t="n">
        <v>0.1428442533739087</v>
      </c>
      <c r="F48" t="n">
        <v>4.906802480541968</v>
      </c>
      <c r="G48" t="n">
        <v>0.016270337922403</v>
      </c>
      <c r="H48" t="n">
        <v>0.1251564455569462</v>
      </c>
      <c r="I48" t="n">
        <v>0.9246861924686192</v>
      </c>
      <c r="J48" t="n">
        <v>0.2415079518854635</v>
      </c>
      <c r="K48" t="n">
        <v>0.6677157174036119</v>
      </c>
      <c r="L48" t="b">
        <v>0</v>
      </c>
      <c r="N48" t="n">
        <v>0</v>
      </c>
      <c r="O48" t="n">
        <v>0</v>
      </c>
      <c r="P48" t="n">
        <v>0</v>
      </c>
      <c r="Q48" t="n">
        <v>0</v>
      </c>
      <c r="R48" t="n">
        <v>40.4472434580536</v>
      </c>
      <c r="S48" t="n">
        <v>19.06103286384976</v>
      </c>
      <c r="T48" t="n">
        <v>0.3755868544600992</v>
      </c>
      <c r="U48" t="n">
        <v>0.9553695955369595</v>
      </c>
      <c r="V48" t="n">
        <v>0.9581589958158996</v>
      </c>
      <c r="W48" t="n">
        <v>0.8605299860529986</v>
      </c>
      <c r="X48" t="n">
        <v>0.1428442533739087</v>
      </c>
      <c r="Y48" t="n">
        <v>4.906802480541965</v>
      </c>
      <c r="Z48" t="n">
        <v>0.2415079518854635</v>
      </c>
      <c r="AA48" t="n">
        <v>2.775557561562891e-17</v>
      </c>
    </row>
    <row r="49">
      <c r="A49" t="inlineStr">
        <is>
          <t>2021-03-19</t>
        </is>
      </c>
      <c r="B49" t="inlineStr">
        <is>
          <t>CW</t>
        </is>
      </c>
      <c r="C49" t="inlineStr">
        <is>
          <t>09:16</t>
        </is>
      </c>
      <c r="D49" t="n">
        <v>-33.84589568937523</v>
      </c>
      <c r="E49" t="n">
        <v>0.2713827637418036</v>
      </c>
      <c r="F49" t="n">
        <v>7.943727299871008</v>
      </c>
      <c r="G49" t="n">
        <v>0.3967459324155194</v>
      </c>
      <c r="H49" t="n">
        <v>0.5319148936170213</v>
      </c>
      <c r="I49" t="n">
        <v>0.7294281729428173</v>
      </c>
      <c r="J49" t="n">
        <v>0.5173499650015798</v>
      </c>
      <c r="K49" t="n">
        <v>0.6677157174036119</v>
      </c>
      <c r="L49" t="b">
        <v>0</v>
      </c>
      <c r="N49" t="n">
        <v>0</v>
      </c>
      <c r="O49" t="n">
        <v>0</v>
      </c>
      <c r="P49" t="n">
        <v>1</v>
      </c>
      <c r="Q49" t="n">
        <v>33.84589568937523</v>
      </c>
      <c r="R49" t="n">
        <v>21.08103259107012</v>
      </c>
      <c r="S49" t="n">
        <v>5.374968006142821</v>
      </c>
      <c r="T49" t="n">
        <v>0.2687484003071367</v>
      </c>
      <c r="U49" t="n">
        <v>0.8117154811715481</v>
      </c>
      <c r="V49" t="n">
        <v>0.7140864714086471</v>
      </c>
      <c r="W49" t="n">
        <v>0.6624825662482566</v>
      </c>
      <c r="X49" t="n">
        <v>0.2713827637418036</v>
      </c>
      <c r="Y49" t="n">
        <v>7.943727299871009</v>
      </c>
      <c r="Z49" t="n">
        <v>0.5173499650015798</v>
      </c>
      <c r="AA49" t="n">
        <v>0</v>
      </c>
    </row>
    <row r="50">
      <c r="A50" t="inlineStr">
        <is>
          <t>2021-03-22</t>
        </is>
      </c>
      <c r="B50" t="inlineStr">
        <is>
          <t>CW</t>
        </is>
      </c>
      <c r="C50" t="inlineStr">
        <is>
          <t>09:16</t>
        </is>
      </c>
      <c r="D50" t="n">
        <v>57.52154360229104</v>
      </c>
      <c r="E50" t="n">
        <v>0.190892633885303</v>
      </c>
      <c r="F50" t="n">
        <v>4.010386325911726</v>
      </c>
      <c r="G50" t="n">
        <v>0.09011264080100125</v>
      </c>
      <c r="H50" t="n">
        <v>0.05256570713391739</v>
      </c>
      <c r="I50" t="n">
        <v>0.8940027894002789</v>
      </c>
      <c r="J50" t="n">
        <v>0.2358718970540232</v>
      </c>
      <c r="K50" t="n">
        <v>0.6677157174036119</v>
      </c>
      <c r="L50" t="b">
        <v>0</v>
      </c>
      <c r="N50" t="n">
        <v>33.84589568937531</v>
      </c>
      <c r="O50" t="n">
        <v>1</v>
      </c>
      <c r="P50" t="n">
        <v>0</v>
      </c>
      <c r="Q50" t="n">
        <v>0</v>
      </c>
      <c r="R50" t="n">
        <v>48.01263096287347</v>
      </c>
      <c r="S50" t="n">
        <v>7.397683397683394</v>
      </c>
      <c r="T50" t="n">
        <v>0.4324324324324342</v>
      </c>
      <c r="U50" t="n">
        <v>0.9721059972105998</v>
      </c>
      <c r="V50" t="n">
        <v>0.800557880055788</v>
      </c>
      <c r="W50" t="n">
        <v>0.9093444909344491</v>
      </c>
      <c r="X50" t="n">
        <v>0.190892633885303</v>
      </c>
      <c r="Y50" t="n">
        <v>4.010386325911726</v>
      </c>
      <c r="Z50" t="n">
        <v>0.2358718970540232</v>
      </c>
      <c r="AA50" t="n">
        <v>2.775557561562891e-17</v>
      </c>
    </row>
    <row r="51">
      <c r="A51" t="inlineStr">
        <is>
          <t>2021-03-23</t>
        </is>
      </c>
      <c r="B51" t="inlineStr">
        <is>
          <t>CW</t>
        </is>
      </c>
      <c r="C51" t="inlineStr">
        <is>
          <t>09:16</t>
        </is>
      </c>
      <c r="D51" t="n">
        <v>50.16032218620659</v>
      </c>
      <c r="E51" t="n">
        <v>0.1773872399754077</v>
      </c>
      <c r="F51" t="n">
        <v>3.402030494401828</v>
      </c>
      <c r="G51" t="n">
        <v>0.06007509386733417</v>
      </c>
      <c r="H51" t="n">
        <v>0.03379224030037547</v>
      </c>
      <c r="I51" t="n">
        <v>0.893537889353789</v>
      </c>
      <c r="J51" t="n">
        <v>0.2162545115378417</v>
      </c>
      <c r="K51" t="n">
        <v>0.6677157174036119</v>
      </c>
      <c r="L51" t="b">
        <v>0</v>
      </c>
      <c r="N51" t="n">
        <v>0</v>
      </c>
      <c r="O51" t="n">
        <v>0</v>
      </c>
      <c r="P51" t="n">
        <v>0</v>
      </c>
      <c r="Q51" t="n">
        <v>0</v>
      </c>
      <c r="R51" t="n">
        <v>34.46781423947442</v>
      </c>
      <c r="S51" t="n">
        <v>14.92075763432546</v>
      </c>
      <c r="T51" t="n">
        <v>0.3478933127174299</v>
      </c>
      <c r="U51" t="n">
        <v>0.9218967921896792</v>
      </c>
      <c r="V51" t="n">
        <v>0.9274755927475593</v>
      </c>
      <c r="W51" t="n">
        <v>0.8312412831241283</v>
      </c>
      <c r="X51" t="n">
        <v>0.1773872399754077</v>
      </c>
      <c r="Y51" t="n">
        <v>3.40203049440183</v>
      </c>
      <c r="Z51" t="n">
        <v>0.2162545115378417</v>
      </c>
      <c r="AA51" t="n">
        <v>-2.775557561562891e-17</v>
      </c>
    </row>
    <row r="52">
      <c r="A52" t="inlineStr">
        <is>
          <t>2021-03-24</t>
        </is>
      </c>
      <c r="B52" t="inlineStr">
        <is>
          <t>CW</t>
        </is>
      </c>
      <c r="C52" t="inlineStr">
        <is>
          <t>09:16</t>
        </is>
      </c>
      <c r="D52" t="n">
        <v>-37.22039303088042</v>
      </c>
      <c r="E52" t="n">
        <v>0.2404290043168122</v>
      </c>
      <c r="F52" t="n">
        <v>5.447035690063629</v>
      </c>
      <c r="G52" t="n">
        <v>0.2265331664580726</v>
      </c>
      <c r="H52" t="n">
        <v>0.1902377972465582</v>
      </c>
      <c r="I52" t="n">
        <v>0.8479776847977685</v>
      </c>
      <c r="J52" t="n">
        <v>0.3363039224414061</v>
      </c>
      <c r="K52" t="n">
        <v>0.6677157174036119</v>
      </c>
      <c r="L52" t="b">
        <v>0</v>
      </c>
      <c r="N52" t="n">
        <v>0</v>
      </c>
      <c r="O52" t="n">
        <v>0</v>
      </c>
      <c r="P52" t="n">
        <v>1</v>
      </c>
      <c r="Q52" t="n">
        <v>37.22039303088042</v>
      </c>
      <c r="R52" t="n">
        <v>24.05532046091349</v>
      </c>
      <c r="S52" t="n">
        <v>17.18238993710692</v>
      </c>
      <c r="T52" t="n">
        <v>0.3018867924528344</v>
      </c>
      <c r="U52" t="n">
        <v>0.8451882845188284</v>
      </c>
      <c r="V52" t="n">
        <v>0.9483960948396095</v>
      </c>
      <c r="W52" t="n">
        <v>0.7503486750348675</v>
      </c>
      <c r="X52" t="n">
        <v>0.2404290043168122</v>
      </c>
      <c r="Y52" t="n">
        <v>5.447035690063627</v>
      </c>
      <c r="Z52" t="n">
        <v>0.3363039224414061</v>
      </c>
      <c r="AA52" t="n">
        <v>-5.551115123125783e-17</v>
      </c>
    </row>
    <row r="53">
      <c r="A53" t="inlineStr">
        <is>
          <t>2021-03-25</t>
        </is>
      </c>
      <c r="B53" t="inlineStr">
        <is>
          <t>CW</t>
        </is>
      </c>
      <c r="C53" t="inlineStr">
        <is>
          <t>09:16</t>
        </is>
      </c>
      <c r="D53" t="n">
        <v>-56.25284647219738</v>
      </c>
      <c r="E53" t="n">
        <v>0.2487202825314986</v>
      </c>
      <c r="F53" t="n">
        <v>9.053286431464061</v>
      </c>
      <c r="G53" t="n">
        <v>0.2565707133917397</v>
      </c>
      <c r="H53" t="n">
        <v>0.6871088861076345</v>
      </c>
      <c r="I53" t="n">
        <v>0.9028358902835891</v>
      </c>
      <c r="J53" t="n">
        <v>0.5580390178564676</v>
      </c>
      <c r="K53" t="n">
        <v>0.6677157174036119</v>
      </c>
      <c r="L53" t="b">
        <v>0</v>
      </c>
      <c r="N53" t="n">
        <v>37.22039303088036</v>
      </c>
      <c r="O53" t="n">
        <v>1</v>
      </c>
      <c r="P53" t="n">
        <v>1</v>
      </c>
      <c r="Q53" t="n">
        <v>56.25284647219738</v>
      </c>
      <c r="R53" t="n">
        <v>39.38052335096187</v>
      </c>
      <c r="S53" t="n">
        <v>9.074540871444</v>
      </c>
      <c r="T53" t="n">
        <v>0.4321209938782818</v>
      </c>
      <c r="U53" t="n">
        <v>0.9511854951185496</v>
      </c>
      <c r="V53" t="n">
        <v>0.8493723849372385</v>
      </c>
      <c r="W53" t="n">
        <v>0.9079497907949791</v>
      </c>
      <c r="X53" t="n">
        <v>0.2487202825314986</v>
      </c>
      <c r="Y53" t="n">
        <v>9.053286431464059</v>
      </c>
      <c r="Z53" t="n">
        <v>0.5580390178564676</v>
      </c>
      <c r="AA53" t="n">
        <v>0</v>
      </c>
    </row>
    <row r="54">
      <c r="A54" t="inlineStr">
        <is>
          <t>2021-03-26</t>
        </is>
      </c>
      <c r="B54" t="inlineStr">
        <is>
          <t>CW</t>
        </is>
      </c>
      <c r="C54" t="inlineStr">
        <is>
          <t>09:16</t>
        </is>
      </c>
      <c r="D54" t="n">
        <v>41.68810014735715</v>
      </c>
      <c r="E54" t="n">
        <v>0.1489372536870305</v>
      </c>
      <c r="F54" t="n">
        <v>5.531398186983019</v>
      </c>
      <c r="G54" t="n">
        <v>0.02127659574468085</v>
      </c>
      <c r="H54" t="n">
        <v>0.2052565707133917</v>
      </c>
      <c r="I54" t="n">
        <v>0.9084146908414691</v>
      </c>
      <c r="J54" t="n">
        <v>0.2722962047515229</v>
      </c>
      <c r="K54" t="n">
        <v>0.6677157174036119</v>
      </c>
      <c r="L54" t="b">
        <v>0</v>
      </c>
      <c r="N54" t="n">
        <v>93.47323950307782</v>
      </c>
      <c r="O54" t="n">
        <v>2</v>
      </c>
      <c r="P54" t="n">
        <v>0</v>
      </c>
      <c r="Q54" t="n">
        <v>0</v>
      </c>
      <c r="R54" t="n">
        <v>31.7778719854956</v>
      </c>
      <c r="S54" t="n">
        <v>9.613519878099472</v>
      </c>
      <c r="T54" t="n">
        <v>0.4709793600221606</v>
      </c>
      <c r="U54" t="n">
        <v>0.9163179916317992</v>
      </c>
      <c r="V54" t="n">
        <v>0.8702928870292888</v>
      </c>
      <c r="W54" t="n">
        <v>0.9386331938633193</v>
      </c>
      <c r="X54" t="n">
        <v>0.1489372536870305</v>
      </c>
      <c r="Y54" t="n">
        <v>5.531398186983022</v>
      </c>
      <c r="Z54" t="n">
        <v>0.2722962047515229</v>
      </c>
      <c r="AA54" t="n">
        <v>0</v>
      </c>
    </row>
    <row r="55">
      <c r="A55" t="inlineStr">
        <is>
          <t>2021-03-31</t>
        </is>
      </c>
      <c r="B55" t="inlineStr">
        <is>
          <t>CW</t>
        </is>
      </c>
      <c r="C55" t="inlineStr">
        <is>
          <t>09:16</t>
        </is>
      </c>
      <c r="D55" t="n">
        <v>44.78493916045089</v>
      </c>
      <c r="E55" t="n">
        <v>0.2847712238074233</v>
      </c>
      <c r="F55" t="n">
        <v>7.683945192723181</v>
      </c>
      <c r="G55" t="n">
        <v>0.4918648310387985</v>
      </c>
      <c r="H55" t="n">
        <v>0.5131414267834794</v>
      </c>
      <c r="I55" t="n">
        <v>0.7587168758716877</v>
      </c>
      <c r="J55" t="n">
        <v>0.5537458783032487</v>
      </c>
      <c r="K55" t="n">
        <v>0.6677157174036119</v>
      </c>
      <c r="L55" t="b">
        <v>0</v>
      </c>
      <c r="N55" t="n">
        <v>51.78513935572073</v>
      </c>
      <c r="O55" t="n">
        <v>0</v>
      </c>
      <c r="P55" t="n">
        <v>0</v>
      </c>
      <c r="Q55" t="n">
        <v>0</v>
      </c>
      <c r="R55" t="n">
        <v>27.89263532999524</v>
      </c>
      <c r="S55" t="n">
        <v>5.149459934689776</v>
      </c>
      <c r="T55" t="n">
        <v>0.2763124843004327</v>
      </c>
      <c r="U55" t="n">
        <v>0.8940027894002789</v>
      </c>
      <c r="V55" t="n">
        <v>0.698744769874477</v>
      </c>
      <c r="W55" t="n">
        <v>0.6834030683403068</v>
      </c>
      <c r="X55" t="n">
        <v>0.2847712238074233</v>
      </c>
      <c r="Y55" t="n">
        <v>7.68394519272318</v>
      </c>
      <c r="Z55" t="n">
        <v>0.5537458783032487</v>
      </c>
      <c r="AA55" t="n">
        <v>0</v>
      </c>
    </row>
    <row r="56">
      <c r="A56" t="inlineStr">
        <is>
          <t>2021-04-01</t>
        </is>
      </c>
      <c r="B56" t="inlineStr">
        <is>
          <t>CW</t>
        </is>
      </c>
      <c r="C56" t="inlineStr">
        <is>
          <t>09:16</t>
        </is>
      </c>
      <c r="D56" t="n">
        <v>63.5476490007597</v>
      </c>
      <c r="E56" t="n">
        <v>0.257283031043114</v>
      </c>
      <c r="F56" t="n">
        <v>9.127168799682488</v>
      </c>
      <c r="G56" t="n">
        <v>0.3141426783479349</v>
      </c>
      <c r="H56" t="n">
        <v>0.6946182728410513</v>
      </c>
      <c r="I56" t="n">
        <v>0.8158995815899582</v>
      </c>
      <c r="J56" t="n">
        <v>0.5666842967935861</v>
      </c>
      <c r="K56" t="n">
        <v>0.6677157174036119</v>
      </c>
      <c r="L56" t="b">
        <v>0</v>
      </c>
      <c r="N56" t="n">
        <v>7.000200195269827</v>
      </c>
      <c r="O56" t="n">
        <v>0</v>
      </c>
      <c r="P56" t="n">
        <v>0</v>
      </c>
      <c r="Q56" t="n">
        <v>0</v>
      </c>
      <c r="R56" t="n">
        <v>12.04391291845059</v>
      </c>
      <c r="S56" t="n">
        <v>10.55786076532966</v>
      </c>
      <c r="T56" t="n">
        <v>0.5071461502996616</v>
      </c>
      <c r="U56" t="n">
        <v>0.602510460251046</v>
      </c>
      <c r="V56" t="n">
        <v>0.8898186889818689</v>
      </c>
      <c r="W56" t="n">
        <v>0.9553695955369595</v>
      </c>
      <c r="X56" t="n">
        <v>0.257283031043114</v>
      </c>
      <c r="Y56" t="n">
        <v>9.127168799682487</v>
      </c>
      <c r="Z56" t="n">
        <v>0.5666842967935861</v>
      </c>
      <c r="AA56" t="n">
        <v>0</v>
      </c>
    </row>
    <row r="57">
      <c r="A57" t="inlineStr">
        <is>
          <t>2021-04-05</t>
        </is>
      </c>
      <c r="B57" t="inlineStr">
        <is>
          <t>CW</t>
        </is>
      </c>
      <c r="C57" t="inlineStr">
        <is>
          <t>09:16</t>
        </is>
      </c>
      <c r="D57" t="n">
        <v>-33.91412644035</v>
      </c>
      <c r="E57" t="n">
        <v>0.1808627167954635</v>
      </c>
      <c r="F57" t="n">
        <v>3.725551820952139</v>
      </c>
      <c r="G57" t="n">
        <v>0.06633291614518148</v>
      </c>
      <c r="H57" t="n">
        <v>0.03754693366708386</v>
      </c>
      <c r="I57" t="n">
        <v>0.8219432821943281</v>
      </c>
      <c r="J57" t="n">
        <v>0.2059405963637718</v>
      </c>
      <c r="K57" t="n">
        <v>0.6677157174036119</v>
      </c>
      <c r="L57" t="b">
        <v>0</v>
      </c>
      <c r="N57" t="n">
        <v>0</v>
      </c>
      <c r="O57" t="n">
        <v>0</v>
      </c>
      <c r="P57" t="n">
        <v>1</v>
      </c>
      <c r="Q57" t="n">
        <v>33.91412644035</v>
      </c>
      <c r="R57" t="n">
        <v>61.79784771847949</v>
      </c>
      <c r="S57" t="n">
        <v>14.21678442185077</v>
      </c>
      <c r="T57" t="n">
        <v>0.2412545235223121</v>
      </c>
      <c r="U57" t="n">
        <v>0.9944211994421199</v>
      </c>
      <c r="V57" t="n">
        <v>0.9218967921896792</v>
      </c>
      <c r="W57" t="n">
        <v>0.5495118549511855</v>
      </c>
      <c r="X57" t="n">
        <v>0.1808627167954635</v>
      </c>
      <c r="Y57" t="n">
        <v>3.72555182095214</v>
      </c>
      <c r="Z57" t="n">
        <v>0.2059405963637718</v>
      </c>
      <c r="AA57" t="n">
        <v>-2.775557561562891e-17</v>
      </c>
    </row>
    <row r="58">
      <c r="A58" t="inlineStr">
        <is>
          <t>2021-04-06</t>
        </is>
      </c>
      <c r="B58" t="inlineStr">
        <is>
          <t>CW</t>
        </is>
      </c>
      <c r="C58" t="inlineStr">
        <is>
          <t>09:18</t>
        </is>
      </c>
      <c r="D58" t="n">
        <v>18.14973836034928</v>
      </c>
      <c r="E58" t="n">
        <v>0.2531182251230261</v>
      </c>
      <c r="F58" t="n">
        <v>6.07643697197774</v>
      </c>
      <c r="G58" t="n">
        <v>0.2866082603254068</v>
      </c>
      <c r="H58" t="n">
        <v>0.2753441802252816</v>
      </c>
      <c r="I58" t="n">
        <v>0.6620176662017666</v>
      </c>
      <c r="J58" t="n">
        <v>0.3571845094606287</v>
      </c>
      <c r="K58" t="n">
        <v>0.6677157174036119</v>
      </c>
      <c r="L58" t="b">
        <v>0</v>
      </c>
      <c r="N58" t="n">
        <v>33.91412644034995</v>
      </c>
      <c r="O58" t="n">
        <v>1</v>
      </c>
      <c r="P58" t="n">
        <v>0</v>
      </c>
      <c r="Q58" t="n">
        <v>0</v>
      </c>
      <c r="R58" t="n">
        <v>18.18343393466169</v>
      </c>
      <c r="S58" t="n">
        <v>2.135922330097088</v>
      </c>
      <c r="T58" t="n">
        <v>0.446601941747575</v>
      </c>
      <c r="U58" t="n">
        <v>0.7629009762900977</v>
      </c>
      <c r="V58" t="n">
        <v>0.302649930264993</v>
      </c>
      <c r="W58" t="n">
        <v>0.9205020920502092</v>
      </c>
      <c r="X58" t="n">
        <v>0.2531182251230261</v>
      </c>
      <c r="Y58" t="n">
        <v>6.07643697197774</v>
      </c>
      <c r="Z58" t="n">
        <v>0.3571845094606287</v>
      </c>
      <c r="AA58" t="n">
        <v>5.551115123125783e-17</v>
      </c>
    </row>
    <row r="59">
      <c r="A59" t="inlineStr">
        <is>
          <t>2021-04-07</t>
        </is>
      </c>
      <c r="B59" t="inlineStr">
        <is>
          <t>CW</t>
        </is>
      </c>
      <c r="C59" t="inlineStr">
        <is>
          <t>09:16</t>
        </is>
      </c>
      <c r="D59" t="n">
        <v>63.23625100705834</v>
      </c>
      <c r="E59" t="n">
        <v>0.1714705193374949</v>
      </c>
      <c r="F59" t="n">
        <v>6.292622983931005</v>
      </c>
      <c r="G59" t="n">
        <v>0.04505632040050062</v>
      </c>
      <c r="H59" t="n">
        <v>0.3103879849812266</v>
      </c>
      <c r="I59" t="n">
        <v>0.9381682938168293</v>
      </c>
      <c r="J59" t="n">
        <v>0.3298113809160568</v>
      </c>
      <c r="K59" t="n">
        <v>0.6677157174036119</v>
      </c>
      <c r="L59" t="b">
        <v>0</v>
      </c>
      <c r="N59" t="n">
        <v>15.76438808000057</v>
      </c>
      <c r="O59" t="n">
        <v>0</v>
      </c>
      <c r="P59" t="n">
        <v>0</v>
      </c>
      <c r="Q59" t="n">
        <v>0</v>
      </c>
      <c r="R59" t="n">
        <v>45.60304927851892</v>
      </c>
      <c r="S59" t="n">
        <v>9.093090211132433</v>
      </c>
      <c r="T59" t="n">
        <v>0.8877159309021153</v>
      </c>
      <c r="U59" t="n">
        <v>0.9693165969316597</v>
      </c>
      <c r="V59" t="n">
        <v>0.8507670850767085</v>
      </c>
      <c r="W59" t="n">
        <v>0.9944211994421199</v>
      </c>
      <c r="X59" t="n">
        <v>0.1714705193374949</v>
      </c>
      <c r="Y59" t="n">
        <v>6.292622983931007</v>
      </c>
      <c r="Z59" t="n">
        <v>0.3298113809160568</v>
      </c>
      <c r="AA59" t="n">
        <v>0</v>
      </c>
    </row>
    <row r="60">
      <c r="A60" t="inlineStr">
        <is>
          <t>2021-04-08</t>
        </is>
      </c>
      <c r="B60" t="inlineStr">
        <is>
          <t>CW</t>
        </is>
      </c>
      <c r="C60" t="inlineStr">
        <is>
          <t>09:16</t>
        </is>
      </c>
      <c r="D60" t="n">
        <v>12.37410282778888</v>
      </c>
      <c r="E60" t="n">
        <v>0.1945107336274679</v>
      </c>
      <c r="F60" t="n">
        <v>8.262173801002046</v>
      </c>
      <c r="G60" t="n">
        <v>0.09386733416770963</v>
      </c>
      <c r="H60" t="n">
        <v>0.574468085106383</v>
      </c>
      <c r="I60" t="n">
        <v>0.9167828916782891</v>
      </c>
      <c r="J60" t="n">
        <v>0.4506907460452949</v>
      </c>
      <c r="K60" t="n">
        <v>0.6677157174036119</v>
      </c>
      <c r="L60" t="b">
        <v>0</v>
      </c>
      <c r="N60" t="n">
        <v>0</v>
      </c>
      <c r="O60" t="n">
        <v>0</v>
      </c>
      <c r="P60" t="n">
        <v>0</v>
      </c>
      <c r="Q60" t="n">
        <v>0</v>
      </c>
      <c r="R60" t="n">
        <v>42.89180726207395</v>
      </c>
      <c r="S60" t="n">
        <v>7.949200376293499</v>
      </c>
      <c r="T60" t="n">
        <v>0.5644402634054509</v>
      </c>
      <c r="U60" t="n">
        <v>0.9623430962343096</v>
      </c>
      <c r="V60" t="n">
        <v>0.8214783821478382</v>
      </c>
      <c r="W60" t="n">
        <v>0.9665271966527197</v>
      </c>
      <c r="X60" t="n">
        <v>0.194510733627468</v>
      </c>
      <c r="Y60" t="n">
        <v>8.262173801002048</v>
      </c>
      <c r="Z60" t="n">
        <v>0.4506907460452949</v>
      </c>
      <c r="AA60" t="n">
        <v>0</v>
      </c>
    </row>
    <row r="61">
      <c r="A61" t="inlineStr">
        <is>
          <t>2021-04-09</t>
        </is>
      </c>
      <c r="B61" t="inlineStr">
        <is>
          <t>CW</t>
        </is>
      </c>
      <c r="C61" t="inlineStr">
        <is>
          <t>09:16</t>
        </is>
      </c>
      <c r="D61" t="n">
        <v>40.25598289717514</v>
      </c>
      <c r="E61" t="n">
        <v>0.1743349101982634</v>
      </c>
      <c r="F61" t="n">
        <v>6.242566939487585</v>
      </c>
      <c r="G61" t="n">
        <v>0.04881101376720901</v>
      </c>
      <c r="H61" t="n">
        <v>0.3016270337922403</v>
      </c>
      <c r="I61" t="n">
        <v>0.8586703858670385</v>
      </c>
      <c r="J61" t="n">
        <v>0.3119092961971874</v>
      </c>
      <c r="K61" t="n">
        <v>0.6677157174036119</v>
      </c>
      <c r="L61" t="b">
        <v>0</v>
      </c>
      <c r="N61" t="n">
        <v>0</v>
      </c>
      <c r="O61" t="n">
        <v>0</v>
      </c>
      <c r="P61" t="n">
        <v>0</v>
      </c>
      <c r="Q61" t="n">
        <v>0</v>
      </c>
      <c r="R61" t="n">
        <v>35.04156759582396</v>
      </c>
      <c r="S61" t="n">
        <v>4.997016706443914</v>
      </c>
      <c r="T61" t="n">
        <v>0.5220763723150358</v>
      </c>
      <c r="U61" t="n">
        <v>0.9246861924686193</v>
      </c>
      <c r="V61" t="n">
        <v>0.6889818688981869</v>
      </c>
      <c r="W61" t="n">
        <v>0.9623430962343096</v>
      </c>
      <c r="X61" t="n">
        <v>0.1743349101982634</v>
      </c>
      <c r="Y61" t="n">
        <v>6.242566939487586</v>
      </c>
      <c r="Z61" t="n">
        <v>0.3119092961971874</v>
      </c>
      <c r="AA61" t="n">
        <v>5.551115123125783e-17</v>
      </c>
    </row>
    <row r="62">
      <c r="A62" t="inlineStr">
        <is>
          <t>2021-04-12</t>
        </is>
      </c>
      <c r="B62" t="inlineStr">
        <is>
          <t>CW</t>
        </is>
      </c>
      <c r="C62" t="inlineStr">
        <is>
          <t>09:17</t>
        </is>
      </c>
      <c r="D62" t="n">
        <v>-31.26908144971185</v>
      </c>
      <c r="E62" t="n">
        <v>0.3308157473532721</v>
      </c>
      <c r="F62" t="n">
        <v>6.197827523978056</v>
      </c>
      <c r="G62" t="n">
        <v>0.7396745932415519</v>
      </c>
      <c r="H62" t="n">
        <v>0.295369211514393</v>
      </c>
      <c r="I62" t="n">
        <v>0.4072524407252441</v>
      </c>
      <c r="J62" t="n">
        <v>0.4954680100474268</v>
      </c>
      <c r="K62" t="n">
        <v>0.6677157174036119</v>
      </c>
      <c r="L62" t="b">
        <v>0</v>
      </c>
      <c r="N62" t="n">
        <v>0</v>
      </c>
      <c r="O62" t="n">
        <v>0</v>
      </c>
      <c r="P62" t="n">
        <v>1</v>
      </c>
      <c r="Q62" t="n">
        <v>31.26908144971185</v>
      </c>
      <c r="R62" t="n">
        <v>3.461381605326602</v>
      </c>
      <c r="S62" t="n">
        <v>3.392568659127621</v>
      </c>
      <c r="T62" t="n">
        <v>0.2692514808831448</v>
      </c>
      <c r="U62" t="n">
        <v>0.04044630404463041</v>
      </c>
      <c r="V62" t="n">
        <v>0.5160390516039052</v>
      </c>
      <c r="W62" t="n">
        <v>0.6652719665271967</v>
      </c>
      <c r="X62" t="n">
        <v>0.3308157473532721</v>
      </c>
      <c r="Y62" t="n">
        <v>6.197827523978056</v>
      </c>
      <c r="Z62" t="n">
        <v>0.4954680100474268</v>
      </c>
      <c r="AA62" t="n">
        <v>0</v>
      </c>
    </row>
    <row r="63">
      <c r="A63" t="inlineStr">
        <is>
          <t>2021-04-15</t>
        </is>
      </c>
      <c r="B63" t="inlineStr">
        <is>
          <t>CW</t>
        </is>
      </c>
      <c r="C63" t="inlineStr">
        <is>
          <t>09:16</t>
        </is>
      </c>
      <c r="D63" t="n">
        <v>53.04545949748105</v>
      </c>
      <c r="E63" t="n">
        <v>0.1977243263776141</v>
      </c>
      <c r="F63" t="n">
        <v>6.339160661020887</v>
      </c>
      <c r="G63" t="n">
        <v>0.09887359198998748</v>
      </c>
      <c r="H63" t="n">
        <v>0.3204005006257822</v>
      </c>
      <c r="I63" t="n">
        <v>0.9186424918642491</v>
      </c>
      <c r="J63" t="n">
        <v>0.3514381354191577</v>
      </c>
      <c r="K63" t="n">
        <v>0.6677157174036119</v>
      </c>
      <c r="L63" t="b">
        <v>0</v>
      </c>
      <c r="N63" t="n">
        <v>31.26908144971185</v>
      </c>
      <c r="O63" t="n">
        <v>1</v>
      </c>
      <c r="P63" t="n">
        <v>0</v>
      </c>
      <c r="Q63" t="n">
        <v>0</v>
      </c>
      <c r="R63" t="n">
        <v>25.70047576886058</v>
      </c>
      <c r="S63" t="n">
        <v>26.57672849915681</v>
      </c>
      <c r="T63" t="n">
        <v>0.4384485666104591</v>
      </c>
      <c r="U63" t="n">
        <v>0.8661087866108786</v>
      </c>
      <c r="V63" t="n">
        <v>0.9790794979079498</v>
      </c>
      <c r="W63" t="n">
        <v>0.9107391910739191</v>
      </c>
      <c r="X63" t="n">
        <v>0.1977243263776141</v>
      </c>
      <c r="Y63" t="n">
        <v>6.339160661020887</v>
      </c>
      <c r="Z63" t="n">
        <v>0.3514381354191577</v>
      </c>
      <c r="AA63" t="n">
        <v>0</v>
      </c>
    </row>
    <row r="64">
      <c r="A64" t="inlineStr">
        <is>
          <t>2021-04-16</t>
        </is>
      </c>
      <c r="B64" t="inlineStr">
        <is>
          <t>CW</t>
        </is>
      </c>
      <c r="C64" t="inlineStr">
        <is>
          <t>09:16</t>
        </is>
      </c>
      <c r="D64" t="n">
        <v>39.720532399371</v>
      </c>
      <c r="E64" t="n">
        <v>0.1845782661754249</v>
      </c>
      <c r="F64" t="n">
        <v>7.42773600724032</v>
      </c>
      <c r="G64" t="n">
        <v>0.07133917396745933</v>
      </c>
      <c r="H64" t="n">
        <v>0.4680851063829787</v>
      </c>
      <c r="I64" t="n">
        <v>0.802417480241748</v>
      </c>
      <c r="J64" t="n">
        <v>0.3762532081885248</v>
      </c>
      <c r="K64" t="n">
        <v>0.6677157174036119</v>
      </c>
      <c r="L64" t="b">
        <v>0</v>
      </c>
      <c r="N64" t="n">
        <v>0</v>
      </c>
      <c r="O64" t="n">
        <v>0</v>
      </c>
      <c r="P64" t="n">
        <v>0</v>
      </c>
      <c r="Q64" t="n">
        <v>0</v>
      </c>
      <c r="R64" t="n">
        <v>43.26901698950255</v>
      </c>
      <c r="S64" t="n">
        <v>3.605580812039504</v>
      </c>
      <c r="T64" t="n">
        <v>0.4232638344568096</v>
      </c>
      <c r="U64" t="n">
        <v>0.9637377963737797</v>
      </c>
      <c r="V64" t="n">
        <v>0.5411436541143654</v>
      </c>
      <c r="W64" t="n">
        <v>0.902370990237099</v>
      </c>
      <c r="X64" t="n">
        <v>0.1845782661754249</v>
      </c>
      <c r="Y64" t="n">
        <v>7.427736007240318</v>
      </c>
      <c r="Z64" t="n">
        <v>0.3762532081885248</v>
      </c>
      <c r="AA64" t="n">
        <v>0</v>
      </c>
    </row>
    <row r="65">
      <c r="A65" t="inlineStr">
        <is>
          <t>2021-04-19</t>
        </is>
      </c>
      <c r="B65" t="inlineStr">
        <is>
          <t>CW</t>
        </is>
      </c>
      <c r="C65" t="inlineStr">
        <is>
          <t>09:17</t>
        </is>
      </c>
      <c r="D65" t="n">
        <v>58.9782833223342</v>
      </c>
      <c r="E65" t="n">
        <v>0.1776005195351607</v>
      </c>
      <c r="F65" t="n">
        <v>2.518385161018816</v>
      </c>
      <c r="G65" t="n">
        <v>0.06132665832290363</v>
      </c>
      <c r="H65" t="n">
        <v>0.016270337922403</v>
      </c>
      <c r="I65" t="n">
        <v>0.9302649930264993</v>
      </c>
      <c r="J65" t="n">
        <v>0.2170917971034226</v>
      </c>
      <c r="K65" t="n">
        <v>0.6677157174036119</v>
      </c>
      <c r="L65" t="b">
        <v>0</v>
      </c>
      <c r="N65" t="n">
        <v>0</v>
      </c>
      <c r="O65" t="n">
        <v>0</v>
      </c>
      <c r="P65" t="n">
        <v>0</v>
      </c>
      <c r="Q65" t="n">
        <v>0</v>
      </c>
      <c r="R65" t="n">
        <v>37.32488697884563</v>
      </c>
      <c r="S65" t="n">
        <v>9.149223497636738</v>
      </c>
      <c r="T65" t="n">
        <v>0.8946657663740732</v>
      </c>
      <c r="U65" t="n">
        <v>0.9400278940027894</v>
      </c>
      <c r="V65" t="n">
        <v>0.8549511854951185</v>
      </c>
      <c r="W65" t="n">
        <v>0.99581589958159</v>
      </c>
      <c r="X65" t="n">
        <v>0.1776005195351607</v>
      </c>
      <c r="Y65" t="n">
        <v>2.518385161018814</v>
      </c>
      <c r="Z65" t="n">
        <v>0.2170917971034226</v>
      </c>
      <c r="AA65" t="n">
        <v>-5.551115123125783e-17</v>
      </c>
    </row>
    <row r="66">
      <c r="A66" t="inlineStr">
        <is>
          <t>2021-04-22</t>
        </is>
      </c>
      <c r="B66" t="inlineStr">
        <is>
          <t>CW</t>
        </is>
      </c>
      <c r="C66" t="inlineStr">
        <is>
          <t>09:16</t>
        </is>
      </c>
      <c r="D66" t="n">
        <v>-8.272505688925667</v>
      </c>
      <c r="E66" t="n">
        <v>0.1759079641761617</v>
      </c>
      <c r="F66" t="n">
        <v>5.24947383155723</v>
      </c>
      <c r="G66" t="n">
        <v>0.05632040050062578</v>
      </c>
      <c r="H66" t="n">
        <v>0.1639549436795995</v>
      </c>
      <c r="I66" t="n">
        <v>0.9465364946536495</v>
      </c>
      <c r="J66" t="n">
        <v>0.27741743660282</v>
      </c>
      <c r="K66" t="n">
        <v>0.6677157174036119</v>
      </c>
      <c r="L66" t="b">
        <v>0</v>
      </c>
      <c r="N66" t="n">
        <v>0</v>
      </c>
      <c r="O66" t="n">
        <v>0</v>
      </c>
      <c r="P66" t="n">
        <v>1</v>
      </c>
      <c r="Q66" t="n">
        <v>8.272505688925667</v>
      </c>
      <c r="R66" t="n">
        <v>31.42355778227487</v>
      </c>
      <c r="S66" t="n">
        <v>15.84589614740371</v>
      </c>
      <c r="T66" t="n">
        <v>0.7370184254606232</v>
      </c>
      <c r="U66" t="n">
        <v>0.9107391910739191</v>
      </c>
      <c r="V66" t="n">
        <v>0.9414225941422594</v>
      </c>
      <c r="W66" t="n">
        <v>0.9874476987447699</v>
      </c>
      <c r="X66" t="n">
        <v>0.1759079641761617</v>
      </c>
      <c r="Y66" t="n">
        <v>5.249473831557228</v>
      </c>
      <c r="Z66" t="n">
        <v>0.27741743660282</v>
      </c>
      <c r="AA66" t="n">
        <v>5.551115123125783e-17</v>
      </c>
    </row>
    <row r="67">
      <c r="A67" t="inlineStr">
        <is>
          <t>2021-04-23</t>
        </is>
      </c>
      <c r="B67" t="inlineStr">
        <is>
          <t>CW</t>
        </is>
      </c>
      <c r="C67" t="inlineStr">
        <is>
          <t>09:16</t>
        </is>
      </c>
      <c r="D67" t="n">
        <v>47.72217250532616</v>
      </c>
      <c r="E67" t="n">
        <v>0.1883754251022627</v>
      </c>
      <c r="F67" t="n">
        <v>6.61172183528365</v>
      </c>
      <c r="G67" t="n">
        <v>0.08260325406758448</v>
      </c>
      <c r="H67" t="n">
        <v>0.3642052565707134</v>
      </c>
      <c r="I67" t="n">
        <v>0.8140399814039982</v>
      </c>
      <c r="J67" t="n">
        <v>0.3415314005361189</v>
      </c>
      <c r="K67" t="n">
        <v>0.6677157174036119</v>
      </c>
      <c r="L67" t="b">
        <v>0</v>
      </c>
      <c r="N67" t="n">
        <v>8.272505688925776</v>
      </c>
      <c r="O67" t="n">
        <v>1</v>
      </c>
      <c r="P67" t="n">
        <v>0</v>
      </c>
      <c r="Q67" t="n">
        <v>0</v>
      </c>
      <c r="R67" t="n">
        <v>35.50163920718737</v>
      </c>
      <c r="S67" t="n">
        <v>4.62372881355931</v>
      </c>
      <c r="T67" t="n">
        <v>0.3661016949152527</v>
      </c>
      <c r="U67" t="n">
        <v>0.9316596931659693</v>
      </c>
      <c r="V67" t="n">
        <v>0.6569037656903766</v>
      </c>
      <c r="W67" t="n">
        <v>0.8535564853556485</v>
      </c>
      <c r="X67" t="n">
        <v>0.1883754251022627</v>
      </c>
      <c r="Y67" t="n">
        <v>6.61172183528365</v>
      </c>
      <c r="Z67" t="n">
        <v>0.3415314005361189</v>
      </c>
      <c r="AA67" t="n">
        <v>-5.551115123125783e-17</v>
      </c>
    </row>
    <row r="68">
      <c r="A68" t="inlineStr">
        <is>
          <t>2021-04-26</t>
        </is>
      </c>
      <c r="B68" t="inlineStr">
        <is>
          <t>CW</t>
        </is>
      </c>
      <c r="C68" t="inlineStr">
        <is>
          <t>09:18</t>
        </is>
      </c>
      <c r="D68" t="n">
        <v>-38.09927879033212</v>
      </c>
      <c r="E68" t="n">
        <v>0.3162093986127857</v>
      </c>
      <c r="F68" t="n">
        <v>8.481828700172402</v>
      </c>
      <c r="G68" t="n">
        <v>0.6458072590738423</v>
      </c>
      <c r="H68" t="n">
        <v>0.5994993742177722</v>
      </c>
      <c r="I68" t="n">
        <v>0.6527196652719666</v>
      </c>
      <c r="J68" t="n">
        <v>0.6286665863710392</v>
      </c>
      <c r="K68" t="n">
        <v>0.6677157174036119</v>
      </c>
      <c r="L68" t="b">
        <v>0</v>
      </c>
      <c r="N68" t="n">
        <v>0</v>
      </c>
      <c r="O68" t="n">
        <v>0</v>
      </c>
      <c r="P68" t="n">
        <v>1</v>
      </c>
      <c r="Q68" t="n">
        <v>38.09927879033212</v>
      </c>
      <c r="R68" t="n">
        <v>13.08646762310948</v>
      </c>
      <c r="S68" t="n">
        <v>2.742324939634353</v>
      </c>
      <c r="T68" t="n">
        <v>0.3966885132804337</v>
      </c>
      <c r="U68" t="n">
        <v>0.6457461645746164</v>
      </c>
      <c r="V68" t="n">
        <v>0.4337517433751744</v>
      </c>
      <c r="W68" t="n">
        <v>0.8786610878661087</v>
      </c>
      <c r="X68" t="n">
        <v>0.3162093986127856</v>
      </c>
      <c r="Y68" t="n">
        <v>8.4818287001724</v>
      </c>
      <c r="Z68" t="n">
        <v>0.6286665863710392</v>
      </c>
      <c r="AA68" t="n">
        <v>0</v>
      </c>
    </row>
    <row r="69">
      <c r="A69" t="inlineStr">
        <is>
          <t>2021-04-27</t>
        </is>
      </c>
      <c r="B69" t="inlineStr">
        <is>
          <t>CW</t>
        </is>
      </c>
      <c r="C69" t="inlineStr">
        <is>
          <t>09:16</t>
        </is>
      </c>
      <c r="D69" t="n">
        <v>32.96119563351855</v>
      </c>
      <c r="E69" t="n">
        <v>0.1779046631379928</v>
      </c>
      <c r="F69" t="n">
        <v>4.565095974848956</v>
      </c>
      <c r="G69" t="n">
        <v>0.06382978723404255</v>
      </c>
      <c r="H69" t="n">
        <v>0.08886107634543179</v>
      </c>
      <c r="I69" t="n">
        <v>0.8675034867503486</v>
      </c>
      <c r="J69" t="n">
        <v>0.2345770427818595</v>
      </c>
      <c r="K69" t="n">
        <v>0.6677157174036119</v>
      </c>
      <c r="L69" t="b">
        <v>0</v>
      </c>
      <c r="N69" t="n">
        <v>38.09927879033216</v>
      </c>
      <c r="O69" t="n">
        <v>1</v>
      </c>
      <c r="P69" t="n">
        <v>0</v>
      </c>
      <c r="Q69" t="n">
        <v>0</v>
      </c>
      <c r="R69" t="n">
        <v>39.30774314351827</v>
      </c>
      <c r="S69" t="n">
        <v>5.815423514538564</v>
      </c>
      <c r="T69" t="n">
        <v>0.4424778761061995</v>
      </c>
      <c r="U69" t="n">
        <v>0.9497907949790795</v>
      </c>
      <c r="V69" t="n">
        <v>0.7377963737796374</v>
      </c>
      <c r="W69" t="n">
        <v>0.9149232914923291</v>
      </c>
      <c r="X69" t="n">
        <v>0.1779046631379928</v>
      </c>
      <c r="Y69" t="n">
        <v>4.565095974848956</v>
      </c>
      <c r="Z69" t="n">
        <v>0.2345770427818595</v>
      </c>
      <c r="AA69" t="n">
        <v>-2.775557561562891e-17</v>
      </c>
    </row>
    <row r="70">
      <c r="A70" t="inlineStr">
        <is>
          <t>2021-04-28</t>
        </is>
      </c>
      <c r="B70" t="inlineStr">
        <is>
          <t>CW</t>
        </is>
      </c>
      <c r="C70" t="inlineStr">
        <is>
          <t>09:17</t>
        </is>
      </c>
      <c r="D70" t="n">
        <v>2.053864143288316</v>
      </c>
      <c r="E70" t="n">
        <v>0.2814970735363787</v>
      </c>
      <c r="F70" t="n">
        <v>9.231549974294202</v>
      </c>
      <c r="G70" t="n">
        <v>0.4680851063829787</v>
      </c>
      <c r="H70" t="n">
        <v>0.7096370463078848</v>
      </c>
      <c r="I70" t="n">
        <v>0.606694560669456</v>
      </c>
      <c r="J70" t="n">
        <v>0.5924277732102367</v>
      </c>
      <c r="K70" t="n">
        <v>0.6677157174036119</v>
      </c>
      <c r="L70" t="b">
        <v>0</v>
      </c>
      <c r="N70" t="n">
        <v>5.138083156813536</v>
      </c>
      <c r="O70" t="n">
        <v>0</v>
      </c>
      <c r="P70" t="n">
        <v>0</v>
      </c>
      <c r="Q70" t="n">
        <v>0</v>
      </c>
      <c r="R70" t="n">
        <v>10.69565926006534</v>
      </c>
      <c r="S70" t="n">
        <v>2.609478104379138</v>
      </c>
      <c r="T70" t="n">
        <v>0.389922015596884</v>
      </c>
      <c r="U70" t="n">
        <v>0.5355648535564853</v>
      </c>
      <c r="V70" t="n">
        <v>0.4100418410041841</v>
      </c>
      <c r="W70" t="n">
        <v>0.8744769874476988</v>
      </c>
      <c r="X70" t="n">
        <v>0.2814970735363787</v>
      </c>
      <c r="Y70" t="n">
        <v>9.2315499742942</v>
      </c>
      <c r="Z70" t="n">
        <v>0.5924277732102367</v>
      </c>
      <c r="AA70" t="n">
        <v>0</v>
      </c>
    </row>
    <row r="71">
      <c r="A71" t="inlineStr">
        <is>
          <t>2021-04-30</t>
        </is>
      </c>
      <c r="B71" t="inlineStr">
        <is>
          <t>CW</t>
        </is>
      </c>
      <c r="C71" t="inlineStr">
        <is>
          <t>09:18</t>
        </is>
      </c>
      <c r="D71" t="n">
        <v>46.21800444212757</v>
      </c>
      <c r="E71" t="n">
        <v>0.2338009538331942</v>
      </c>
      <c r="F71" t="n">
        <v>5.505492791213284</v>
      </c>
      <c r="G71" t="n">
        <v>0.1927409261576971</v>
      </c>
      <c r="H71" t="n">
        <v>0.2015018773466833</v>
      </c>
      <c r="I71" t="n">
        <v>0.6815434681543469</v>
      </c>
      <c r="J71" t="n">
        <v>0.2940058150326216</v>
      </c>
      <c r="K71" t="n">
        <v>0.6677157174036119</v>
      </c>
      <c r="L71" t="b">
        <v>0</v>
      </c>
      <c r="N71" t="n">
        <v>3.084219013525171</v>
      </c>
      <c r="O71" t="n">
        <v>0</v>
      </c>
      <c r="P71" t="n">
        <v>0</v>
      </c>
      <c r="Q71" t="n">
        <v>0</v>
      </c>
      <c r="R71" t="n">
        <v>22.24306216208005</v>
      </c>
      <c r="S71" t="n">
        <v>2.207740391009445</v>
      </c>
      <c r="T71" t="n">
        <v>0.4255885091102525</v>
      </c>
      <c r="U71" t="n">
        <v>0.8242677824267782</v>
      </c>
      <c r="V71" t="n">
        <v>0.3152022315202231</v>
      </c>
      <c r="W71" t="n">
        <v>0.905160390516039</v>
      </c>
      <c r="X71" t="n">
        <v>0.2338009538331943</v>
      </c>
      <c r="Y71" t="n">
        <v>5.505492791213284</v>
      </c>
      <c r="Z71" t="n">
        <v>0.2940058150326216</v>
      </c>
      <c r="AA71" t="n">
        <v>0</v>
      </c>
    </row>
    <row r="72">
      <c r="A72" t="inlineStr">
        <is>
          <t>2021-05-05</t>
        </is>
      </c>
      <c r="B72" t="inlineStr">
        <is>
          <t>CW</t>
        </is>
      </c>
      <c r="C72" t="inlineStr">
        <is>
          <t>09:16</t>
        </is>
      </c>
      <c r="D72" t="n">
        <v>29.18179789675423</v>
      </c>
      <c r="E72" t="n">
        <v>0.1889969245614778</v>
      </c>
      <c r="F72" t="n">
        <v>5.912174258568914</v>
      </c>
      <c r="G72" t="n">
        <v>0.08635794743429287</v>
      </c>
      <c r="H72" t="n">
        <v>0.2528160200250313</v>
      </c>
      <c r="I72" t="n">
        <v>0.8944676894467688</v>
      </c>
      <c r="J72" t="n">
        <v>0.3145631248730835</v>
      </c>
      <c r="K72" t="n">
        <v>0.6677157174036119</v>
      </c>
      <c r="L72" t="b">
        <v>0</v>
      </c>
      <c r="N72" t="n">
        <v>0</v>
      </c>
      <c r="O72" t="n">
        <v>0</v>
      </c>
      <c r="P72" t="n">
        <v>0</v>
      </c>
      <c r="Q72" t="n">
        <v>0</v>
      </c>
      <c r="R72" t="n">
        <v>20.39940244174716</v>
      </c>
      <c r="S72" t="n">
        <v>13.88959552276773</v>
      </c>
      <c r="T72" t="n">
        <v>0.5850928516916771</v>
      </c>
      <c r="U72" t="n">
        <v>0.7949790794979079</v>
      </c>
      <c r="V72" t="n">
        <v>0.9177126917712691</v>
      </c>
      <c r="W72" t="n">
        <v>0.9707112970711297</v>
      </c>
      <c r="X72" t="n">
        <v>0.1889969245614778</v>
      </c>
      <c r="Y72" t="n">
        <v>5.912174258568913</v>
      </c>
      <c r="Z72" t="n">
        <v>0.3145631248730835</v>
      </c>
      <c r="AA72" t="n">
        <v>-5.551115123125783e-17</v>
      </c>
    </row>
    <row r="73">
      <c r="A73" t="inlineStr">
        <is>
          <t>2021-05-06</t>
        </is>
      </c>
      <c r="B73" t="inlineStr">
        <is>
          <t>CW</t>
        </is>
      </c>
      <c r="C73" t="inlineStr">
        <is>
          <t>09:16</t>
        </is>
      </c>
      <c r="D73" t="n">
        <v>62.01351616313526</v>
      </c>
      <c r="E73" t="n">
        <v>0.1374959994602256</v>
      </c>
      <c r="F73" t="n">
        <v>3.516226513639785</v>
      </c>
      <c r="G73" t="n">
        <v>0.01376720901126408</v>
      </c>
      <c r="H73" t="n">
        <v>0.03504380475594493</v>
      </c>
      <c r="I73" t="n">
        <v>0.9358437935843794</v>
      </c>
      <c r="J73" t="n">
        <v>0.2066931642237595</v>
      </c>
      <c r="K73" t="n">
        <v>0.6677157174036119</v>
      </c>
      <c r="L73" t="b">
        <v>0</v>
      </c>
      <c r="N73" t="n">
        <v>0</v>
      </c>
      <c r="O73" t="n">
        <v>0</v>
      </c>
      <c r="P73" t="n">
        <v>0</v>
      </c>
      <c r="Q73" t="n">
        <v>0</v>
      </c>
      <c r="R73" t="n">
        <v>24.87943697493312</v>
      </c>
      <c r="S73" t="n">
        <v>26.36568848758466</v>
      </c>
      <c r="T73" t="n">
        <v>0.586907449209931</v>
      </c>
      <c r="U73" t="n">
        <v>0.8563458856345886</v>
      </c>
      <c r="V73" t="n">
        <v>0.9776847977684798</v>
      </c>
      <c r="W73" t="n">
        <v>0.9735006973500697</v>
      </c>
      <c r="X73" t="n">
        <v>0.1374959994602256</v>
      </c>
      <c r="Y73" t="n">
        <v>3.516226513639785</v>
      </c>
      <c r="Z73" t="n">
        <v>0.2066931642237595</v>
      </c>
      <c r="AA73" t="n">
        <v>0</v>
      </c>
    </row>
    <row r="74">
      <c r="A74" t="inlineStr">
        <is>
          <t>2021-05-07</t>
        </is>
      </c>
      <c r="B74" t="inlineStr">
        <is>
          <t>CW</t>
        </is>
      </c>
      <c r="C74" t="inlineStr">
        <is>
          <t>09:17</t>
        </is>
      </c>
      <c r="D74" t="n">
        <v>20.39843979748699</v>
      </c>
      <c r="E74" t="n">
        <v>0.2497276832017622</v>
      </c>
      <c r="F74" t="n">
        <v>8.918605327645174</v>
      </c>
      <c r="G74" t="n">
        <v>0.2640801001251564</v>
      </c>
      <c r="H74" t="n">
        <v>0.6683354192740926</v>
      </c>
      <c r="I74" t="n">
        <v>0.4291027429102743</v>
      </c>
      <c r="J74" t="n">
        <v>0.4587867563417544</v>
      </c>
      <c r="K74" t="n">
        <v>0.6677157174036119</v>
      </c>
      <c r="L74" t="b">
        <v>0</v>
      </c>
      <c r="N74" t="n">
        <v>0</v>
      </c>
      <c r="O74" t="n">
        <v>0</v>
      </c>
      <c r="P74" t="n">
        <v>0</v>
      </c>
      <c r="Q74" t="n">
        <v>0</v>
      </c>
      <c r="R74" t="n">
        <v>7.519025156703535</v>
      </c>
      <c r="S74" t="n">
        <v>1.468128600631849</v>
      </c>
      <c r="T74" t="n">
        <v>0.3345103140680192</v>
      </c>
      <c r="U74" t="n">
        <v>0.3556485355648535</v>
      </c>
      <c r="V74" t="n">
        <v>0.1269177126917713</v>
      </c>
      <c r="W74" t="n">
        <v>0.8047419804741981</v>
      </c>
      <c r="X74" t="n">
        <v>0.2497276832017622</v>
      </c>
      <c r="Y74" t="n">
        <v>8.918605327645173</v>
      </c>
      <c r="Z74" t="n">
        <v>0.4587867563417544</v>
      </c>
      <c r="AA74" t="n">
        <v>0</v>
      </c>
    </row>
    <row r="75">
      <c r="A75" t="inlineStr">
        <is>
          <t>2021-05-10</t>
        </is>
      </c>
      <c r="B75" t="inlineStr">
        <is>
          <t>CW</t>
        </is>
      </c>
      <c r="C75" t="inlineStr">
        <is>
          <t>09:17</t>
        </is>
      </c>
      <c r="D75" t="n">
        <v>43.46045435391043</v>
      </c>
      <c r="E75" t="n">
        <v>0.2584695457305313</v>
      </c>
      <c r="F75" t="n">
        <v>7.172587459626802</v>
      </c>
      <c r="G75" t="n">
        <v>0.3216520650813517</v>
      </c>
      <c r="H75" t="n">
        <v>0.4380475594493116</v>
      </c>
      <c r="I75" t="n">
        <v>0.4416550441655044</v>
      </c>
      <c r="J75" t="n">
        <v>0.3922108586453663</v>
      </c>
      <c r="K75" t="n">
        <v>0.6677157174036119</v>
      </c>
      <c r="L75" t="b">
        <v>0</v>
      </c>
      <c r="N75" t="n">
        <v>0</v>
      </c>
      <c r="O75" t="n">
        <v>0</v>
      </c>
      <c r="P75" t="n">
        <v>0</v>
      </c>
      <c r="Q75" t="n">
        <v>0</v>
      </c>
      <c r="R75" t="n">
        <v>6.867096558077213</v>
      </c>
      <c r="S75" t="n">
        <v>1.816877838871615</v>
      </c>
      <c r="T75" t="n">
        <v>0.3346880229500372</v>
      </c>
      <c r="U75" t="n">
        <v>0.298465829846583</v>
      </c>
      <c r="V75" t="n">
        <v>0.2203626220362622</v>
      </c>
      <c r="W75" t="n">
        <v>0.8061366806136681</v>
      </c>
      <c r="X75" t="n">
        <v>0.2584695457305313</v>
      </c>
      <c r="Y75" t="n">
        <v>7.172587459626806</v>
      </c>
      <c r="Z75" t="n">
        <v>0.3922108586453663</v>
      </c>
      <c r="AA75" t="n">
        <v>-5.551115123125783e-17</v>
      </c>
    </row>
    <row r="76">
      <c r="A76" t="inlineStr">
        <is>
          <t>2021-05-12</t>
        </is>
      </c>
      <c r="B76" t="inlineStr">
        <is>
          <t>CW</t>
        </is>
      </c>
      <c r="C76" t="inlineStr">
        <is>
          <t>09:16</t>
        </is>
      </c>
      <c r="D76" t="n">
        <v>35.97977920769731</v>
      </c>
      <c r="E76" t="n">
        <v>0.123957974594394</v>
      </c>
      <c r="F76" t="n">
        <v>0.7607306819570354</v>
      </c>
      <c r="G76" t="n">
        <v>0.006257822277847309</v>
      </c>
      <c r="H76" t="n">
        <v>0.005006257822277847</v>
      </c>
      <c r="I76" t="n">
        <v>0.915853091585309</v>
      </c>
      <c r="J76" t="n">
        <v>0.1876762503571119</v>
      </c>
      <c r="K76" t="n">
        <v>0.6677157174036119</v>
      </c>
      <c r="L76" t="b">
        <v>0</v>
      </c>
      <c r="N76" t="n">
        <v>0</v>
      </c>
      <c r="O76" t="n">
        <v>0</v>
      </c>
      <c r="P76" t="n">
        <v>0</v>
      </c>
      <c r="Q76" t="n">
        <v>0</v>
      </c>
      <c r="R76" t="n">
        <v>24.71205887622746</v>
      </c>
      <c r="S76" t="n">
        <v>22.25563909774436</v>
      </c>
      <c r="T76" t="n">
        <v>0.451127819548875</v>
      </c>
      <c r="U76" t="n">
        <v>0.8549511854951185</v>
      </c>
      <c r="V76" t="n">
        <v>0.9707112970711297</v>
      </c>
      <c r="W76" t="n">
        <v>0.9218967921896792</v>
      </c>
      <c r="X76" t="n">
        <v>0.1239579745943941</v>
      </c>
      <c r="Y76" t="n">
        <v>0.7607306819570361</v>
      </c>
      <c r="Z76" t="n">
        <v>0.1876762503571119</v>
      </c>
      <c r="AA76" t="n">
        <v>-2.775557561562891e-17</v>
      </c>
    </row>
    <row r="77">
      <c r="A77" t="inlineStr">
        <is>
          <t>2021-05-14</t>
        </is>
      </c>
      <c r="B77" t="inlineStr">
        <is>
          <t>CW</t>
        </is>
      </c>
      <c r="C77" t="inlineStr">
        <is>
          <t>09:17</t>
        </is>
      </c>
      <c r="D77" t="n">
        <v>15.86082667089233</v>
      </c>
      <c r="E77" t="n">
        <v>0.2011675990585523</v>
      </c>
      <c r="F77" t="n">
        <v>6.981605422908708</v>
      </c>
      <c r="G77" t="n">
        <v>0.1038798498122653</v>
      </c>
      <c r="H77" t="n">
        <v>0.4142678347934919</v>
      </c>
      <c r="I77" t="n">
        <v>0.6694560669456067</v>
      </c>
      <c r="J77" t="n">
        <v>0.3411502872314243</v>
      </c>
      <c r="K77" t="n">
        <v>0.6677157174036119</v>
      </c>
      <c r="L77" t="b">
        <v>0</v>
      </c>
      <c r="N77" t="n">
        <v>0</v>
      </c>
      <c r="O77" t="n">
        <v>0</v>
      </c>
      <c r="P77" t="n">
        <v>0</v>
      </c>
      <c r="Q77" t="n">
        <v>0</v>
      </c>
      <c r="R77" t="n">
        <v>17.991350573347</v>
      </c>
      <c r="S77" t="n">
        <v>2.490075784915184</v>
      </c>
      <c r="T77" t="n">
        <v>0.3789245759653595</v>
      </c>
      <c r="U77" t="n">
        <v>0.7587168758716876</v>
      </c>
      <c r="V77" t="n">
        <v>0.3877266387726639</v>
      </c>
      <c r="W77" t="n">
        <v>0.8619246861924686</v>
      </c>
      <c r="X77" t="n">
        <v>0.2011675990585523</v>
      </c>
      <c r="Y77" t="n">
        <v>6.981605422908709</v>
      </c>
      <c r="Z77" t="n">
        <v>0.3411502872314243</v>
      </c>
      <c r="AA77" t="n">
        <v>-5.551115123125783e-17</v>
      </c>
    </row>
    <row r="78">
      <c r="A78" t="inlineStr">
        <is>
          <t>2021-05-19</t>
        </is>
      </c>
      <c r="B78" t="inlineStr">
        <is>
          <t>CW</t>
        </is>
      </c>
      <c r="C78" t="inlineStr">
        <is>
          <t>09:18</t>
        </is>
      </c>
      <c r="D78" t="n">
        <v>-0.4174452016531397</v>
      </c>
      <c r="E78" t="n">
        <v>0.3167374155174499</v>
      </c>
      <c r="F78" t="n">
        <v>6.239399216664427</v>
      </c>
      <c r="G78" t="n">
        <v>0.6495619524405507</v>
      </c>
      <c r="H78" t="n">
        <v>0.3003754693366709</v>
      </c>
      <c r="I78" t="n">
        <v>0.3556485355648535</v>
      </c>
      <c r="J78" t="n">
        <v>0.4511046758238594</v>
      </c>
      <c r="K78" t="n">
        <v>0.6677157174036119</v>
      </c>
      <c r="L78" t="b">
        <v>0</v>
      </c>
      <c r="N78" t="n">
        <v>0</v>
      </c>
      <c r="O78" t="n">
        <v>0</v>
      </c>
      <c r="P78" t="n">
        <v>1</v>
      </c>
      <c r="Q78" t="n">
        <v>0.4174452016531397</v>
      </c>
      <c r="R78" t="n">
        <v>5.077978499906376</v>
      </c>
      <c r="S78" t="n">
        <v>1.407483693786482</v>
      </c>
      <c r="T78" t="n">
        <v>0.3432887058015791</v>
      </c>
      <c r="U78" t="n">
        <v>0.1352859135285913</v>
      </c>
      <c r="V78" t="n">
        <v>0.1087866108786611</v>
      </c>
      <c r="W78" t="n">
        <v>0.8228730822873083</v>
      </c>
      <c r="X78" t="n">
        <v>0.3167374155174499</v>
      </c>
      <c r="Y78" t="n">
        <v>6.239399216664427</v>
      </c>
      <c r="Z78" t="n">
        <v>0.4511046758238594</v>
      </c>
      <c r="AA78" t="n">
        <v>0</v>
      </c>
    </row>
    <row r="79">
      <c r="A79" t="inlineStr">
        <is>
          <t>2021-05-20</t>
        </is>
      </c>
      <c r="B79" t="inlineStr">
        <is>
          <t>CW</t>
        </is>
      </c>
      <c r="C79" t="inlineStr">
        <is>
          <t>09:17</t>
        </is>
      </c>
      <c r="D79" t="n">
        <v>19.93490976430896</v>
      </c>
      <c r="E79" t="n">
        <v>0.2327607788410044</v>
      </c>
      <c r="F79" t="n">
        <v>8.325270803429865</v>
      </c>
      <c r="G79" t="n">
        <v>0.1902377972465582</v>
      </c>
      <c r="H79" t="n">
        <v>0.5857321652065082</v>
      </c>
      <c r="I79" t="n">
        <v>0.7168758716875873</v>
      </c>
      <c r="J79" t="n">
        <v>0.453763159318744</v>
      </c>
      <c r="K79" t="n">
        <v>0.6677157174036119</v>
      </c>
      <c r="L79" t="b">
        <v>0</v>
      </c>
      <c r="N79" t="n">
        <v>0.4174452016532086</v>
      </c>
      <c r="O79" t="n">
        <v>1</v>
      </c>
      <c r="P79" t="n">
        <v>0</v>
      </c>
      <c r="Q79" t="n">
        <v>0</v>
      </c>
      <c r="R79" t="n">
        <v>9.066002490659784</v>
      </c>
      <c r="S79" t="n">
        <v>5.754985754985768</v>
      </c>
      <c r="T79" t="n">
        <v>0.5698005698005698</v>
      </c>
      <c r="U79" t="n">
        <v>0.4490934449093445</v>
      </c>
      <c r="V79" t="n">
        <v>0.7322175732217573</v>
      </c>
      <c r="W79" t="n">
        <v>0.9693165969316597</v>
      </c>
      <c r="X79" t="n">
        <v>0.2327607788410044</v>
      </c>
      <c r="Y79" t="n">
        <v>8.325270803429863</v>
      </c>
      <c r="Z79" t="n">
        <v>0.453763159318744</v>
      </c>
      <c r="AA79" t="n">
        <v>0</v>
      </c>
    </row>
    <row r="80">
      <c r="A80" t="inlineStr">
        <is>
          <t>2021-05-24</t>
        </is>
      </c>
      <c r="B80" t="inlineStr">
        <is>
          <t>CW</t>
        </is>
      </c>
      <c r="C80" t="inlineStr">
        <is>
          <t>09:18</t>
        </is>
      </c>
      <c r="D80" t="n">
        <v>53.21464527771855</v>
      </c>
      <c r="E80" t="n">
        <v>0.3037923585394407</v>
      </c>
      <c r="F80" t="n">
        <v>6.509464064893205</v>
      </c>
      <c r="G80" t="n">
        <v>0.5857321652065082</v>
      </c>
      <c r="H80" t="n">
        <v>0.344180225281602</v>
      </c>
      <c r="I80" t="n">
        <v>0.600185960018596</v>
      </c>
      <c r="J80" t="n">
        <v>0.4920021481989633</v>
      </c>
      <c r="K80" t="n">
        <v>0.6677157174036119</v>
      </c>
      <c r="L80" t="b">
        <v>0</v>
      </c>
      <c r="N80" t="n">
        <v>0</v>
      </c>
      <c r="O80" t="n">
        <v>0</v>
      </c>
      <c r="P80" t="n">
        <v>0</v>
      </c>
      <c r="Q80" t="n">
        <v>0</v>
      </c>
      <c r="R80" t="n">
        <v>12.94638749786465</v>
      </c>
      <c r="S80" t="n">
        <v>2.126230975828111</v>
      </c>
      <c r="T80" t="n">
        <v>0.380483437779771</v>
      </c>
      <c r="U80" t="n">
        <v>0.6359832635983264</v>
      </c>
      <c r="V80" t="n">
        <v>0.299860529986053</v>
      </c>
      <c r="W80" t="n">
        <v>0.8647140864714087</v>
      </c>
      <c r="X80" t="n">
        <v>0.3037923585394408</v>
      </c>
      <c r="Y80" t="n">
        <v>6.509464064893206</v>
      </c>
      <c r="Z80" t="n">
        <v>0.4920021481989633</v>
      </c>
      <c r="AA80" t="n">
        <v>-5.551115123125783e-17</v>
      </c>
    </row>
    <row r="81">
      <c r="A81" t="inlineStr">
        <is>
          <t>2021-05-26</t>
        </is>
      </c>
      <c r="B81" t="inlineStr">
        <is>
          <t>NW</t>
        </is>
      </c>
      <c r="C81" t="inlineStr">
        <is>
          <t>NW</t>
        </is>
      </c>
      <c r="D81" t="n">
        <v>-12.11671340272259</v>
      </c>
      <c r="E81" t="n">
        <v>0.3694165933850648</v>
      </c>
      <c r="F81" t="n">
        <v>11.25062100152266</v>
      </c>
      <c r="G81" t="n">
        <v>0.8710888610763454</v>
      </c>
      <c r="H81" t="n">
        <v>0.8961201501877347</v>
      </c>
      <c r="I81" t="n">
        <v>0.5</v>
      </c>
      <c r="J81" t="n">
        <v>0.8068836045056321</v>
      </c>
      <c r="K81" t="n">
        <v>0.6677157174036119</v>
      </c>
      <c r="L81" t="b">
        <v>1</v>
      </c>
      <c r="M81" t="inlineStr">
        <is>
          <t>top_quartile_risk</t>
        </is>
      </c>
      <c r="N81" t="n">
        <v>0</v>
      </c>
      <c r="O81" t="n">
        <v>0</v>
      </c>
      <c r="P81" t="n">
        <v>1</v>
      </c>
      <c r="Q81" t="n">
        <v>12.11671340272259</v>
      </c>
      <c r="U81" t="n">
        <v>0.5</v>
      </c>
      <c r="V81" t="n">
        <v>0.5</v>
      </c>
      <c r="W81" t="n">
        <v>0.5</v>
      </c>
      <c r="X81" t="n">
        <v>0.3694165933850648</v>
      </c>
      <c r="Y81" t="n">
        <v>11.25062100152266</v>
      </c>
      <c r="Z81" t="n">
        <v>0.8068836045056321</v>
      </c>
      <c r="AA81" t="n">
        <v>0</v>
      </c>
    </row>
    <row r="82">
      <c r="A82" t="inlineStr">
        <is>
          <t>2021-05-27</t>
        </is>
      </c>
      <c r="B82" t="inlineStr">
        <is>
          <t>CW</t>
        </is>
      </c>
      <c r="C82" t="inlineStr">
        <is>
          <t>09:16</t>
        </is>
      </c>
      <c r="D82" t="n">
        <v>37.3033368303023</v>
      </c>
      <c r="E82" t="n">
        <v>0.1574575930241994</v>
      </c>
      <c r="F82" t="n">
        <v>4.446770682268111</v>
      </c>
      <c r="G82" t="n">
        <v>0.03128911138923655</v>
      </c>
      <c r="H82" t="n">
        <v>0.08385481852315395</v>
      </c>
      <c r="I82" t="n">
        <v>0.889353788935379</v>
      </c>
      <c r="J82" t="n">
        <v>0.223928329752032</v>
      </c>
      <c r="K82" t="n">
        <v>0.6677157174036119</v>
      </c>
      <c r="L82" t="b">
        <v>0</v>
      </c>
      <c r="N82" t="n">
        <v>12.11671340272255</v>
      </c>
      <c r="O82" t="n">
        <v>1</v>
      </c>
      <c r="P82" t="n">
        <v>0</v>
      </c>
      <c r="Q82" t="n">
        <v>0</v>
      </c>
      <c r="R82" t="n">
        <v>15.77951798963155</v>
      </c>
      <c r="S82" t="n">
        <v>28.49740932642487</v>
      </c>
      <c r="T82" t="n">
        <v>0.5181347150259019</v>
      </c>
      <c r="U82" t="n">
        <v>0.7238493723849372</v>
      </c>
      <c r="V82" t="n">
        <v>0.9832635983263598</v>
      </c>
      <c r="W82" t="n">
        <v>0.9609483960948396</v>
      </c>
      <c r="X82" t="n">
        <v>0.1574575930241994</v>
      </c>
      <c r="Y82" t="n">
        <v>4.446770682268111</v>
      </c>
      <c r="Z82" t="n">
        <v>0.223928329752032</v>
      </c>
      <c r="AA82" t="n">
        <v>2.775557561562891e-17</v>
      </c>
    </row>
    <row r="83">
      <c r="A83" t="inlineStr">
        <is>
          <t>2021-05-28</t>
        </is>
      </c>
      <c r="B83" t="inlineStr">
        <is>
          <t>CW</t>
        </is>
      </c>
      <c r="C83" t="inlineStr">
        <is>
          <t>09:17</t>
        </is>
      </c>
      <c r="D83" t="n">
        <v>29.43815794095508</v>
      </c>
      <c r="E83" t="n">
        <v>0.2314717430847662</v>
      </c>
      <c r="F83" t="n">
        <v>8.104025098996066</v>
      </c>
      <c r="G83" t="n">
        <v>0.181476846057572</v>
      </c>
      <c r="H83" t="n">
        <v>0.5544430538172715</v>
      </c>
      <c r="I83" t="n">
        <v>0.4216643421664343</v>
      </c>
      <c r="J83" t="n">
        <v>0.3787008283832243</v>
      </c>
      <c r="K83" t="n">
        <v>0.6677157174036119</v>
      </c>
      <c r="L83" t="b">
        <v>0</v>
      </c>
      <c r="N83" t="n">
        <v>0</v>
      </c>
      <c r="O83" t="n">
        <v>0</v>
      </c>
      <c r="P83" t="n">
        <v>0</v>
      </c>
      <c r="Q83" t="n">
        <v>0</v>
      </c>
      <c r="R83" t="n">
        <v>6.35241651109799</v>
      </c>
      <c r="S83" t="n">
        <v>2.306733167082299</v>
      </c>
      <c r="T83" t="n">
        <v>0.2701579384871179</v>
      </c>
      <c r="U83" t="n">
        <v>0.2566248256624826</v>
      </c>
      <c r="V83" t="n">
        <v>0.3403068340306834</v>
      </c>
      <c r="W83" t="n">
        <v>0.6680613668061367</v>
      </c>
      <c r="X83" t="n">
        <v>0.2314717430847662</v>
      </c>
      <c r="Y83" t="n">
        <v>8.104025098996066</v>
      </c>
      <c r="Z83" t="n">
        <v>0.3787008283832243</v>
      </c>
      <c r="AA83" t="n">
        <v>0</v>
      </c>
    </row>
    <row r="84">
      <c r="A84" t="inlineStr">
        <is>
          <t>2021-06-01</t>
        </is>
      </c>
      <c r="B84" t="inlineStr">
        <is>
          <t>CW</t>
        </is>
      </c>
      <c r="C84" t="inlineStr">
        <is>
          <t>09:17</t>
        </is>
      </c>
      <c r="D84" t="n">
        <v>-35.83019947364445</v>
      </c>
      <c r="E84" t="n">
        <v>0.211225183056766</v>
      </c>
      <c r="F84" t="n">
        <v>4.767497524129254</v>
      </c>
      <c r="G84" t="n">
        <v>0.1264080100125156</v>
      </c>
      <c r="H84" t="n">
        <v>0.1088861076345432</v>
      </c>
      <c r="I84" t="n">
        <v>0.4630404463040446</v>
      </c>
      <c r="J84" t="n">
        <v>0.1867257363196325</v>
      </c>
      <c r="K84" t="n">
        <v>0.6677157174036119</v>
      </c>
      <c r="L84" t="b">
        <v>0</v>
      </c>
      <c r="N84" t="n">
        <v>0</v>
      </c>
      <c r="O84" t="n">
        <v>0</v>
      </c>
      <c r="P84" t="n">
        <v>1</v>
      </c>
      <c r="Q84" t="n">
        <v>35.83019947364445</v>
      </c>
      <c r="R84" t="n">
        <v>4.234841193455479</v>
      </c>
      <c r="S84" t="n">
        <v>2.665441176470603</v>
      </c>
      <c r="T84" t="n">
        <v>0.3982843137254937</v>
      </c>
      <c r="U84" t="n">
        <v>0.08507670850767085</v>
      </c>
      <c r="V84" t="n">
        <v>0.4225941422594142</v>
      </c>
      <c r="W84" t="n">
        <v>0.8814504881450488</v>
      </c>
      <c r="X84" t="n">
        <v>0.211225183056766</v>
      </c>
      <c r="Y84" t="n">
        <v>4.767497524129256</v>
      </c>
      <c r="Z84" t="n">
        <v>0.1867257363196325</v>
      </c>
      <c r="AA84" t="n">
        <v>-2.775557561562891e-17</v>
      </c>
    </row>
    <row r="85">
      <c r="A85" t="inlineStr">
        <is>
          <t>2021-06-02</t>
        </is>
      </c>
      <c r="B85" t="inlineStr">
        <is>
          <t>CW</t>
        </is>
      </c>
      <c r="C85" t="inlineStr">
        <is>
          <t>09:17</t>
        </is>
      </c>
      <c r="D85" t="n">
        <v>39.32606457304792</v>
      </c>
      <c r="E85" t="n">
        <v>0.2157462236186916</v>
      </c>
      <c r="F85" t="n">
        <v>5.229576017368245</v>
      </c>
      <c r="G85" t="n">
        <v>0.1314142678347935</v>
      </c>
      <c r="H85" t="n">
        <v>0.1614518147684606</v>
      </c>
      <c r="I85" t="n">
        <v>0.6252905625290562</v>
      </c>
      <c r="J85" t="n">
        <v>0.2422045455471129</v>
      </c>
      <c r="K85" t="n">
        <v>0.6677157174036119</v>
      </c>
      <c r="L85" t="b">
        <v>0</v>
      </c>
      <c r="N85" t="n">
        <v>35.83019947364437</v>
      </c>
      <c r="O85" t="n">
        <v>1</v>
      </c>
      <c r="P85" t="n">
        <v>0</v>
      </c>
      <c r="Q85" t="n">
        <v>0</v>
      </c>
      <c r="R85" t="n">
        <v>8.648155113824977</v>
      </c>
      <c r="S85" t="n">
        <v>3.87096774193548</v>
      </c>
      <c r="T85" t="n">
        <v>0.3795066413662239</v>
      </c>
      <c r="U85" t="n">
        <v>0.4323570432357043</v>
      </c>
      <c r="V85" t="n">
        <v>0.5801952580195258</v>
      </c>
      <c r="W85" t="n">
        <v>0.8633193863319386</v>
      </c>
      <c r="X85" t="n">
        <v>0.2157462236186916</v>
      </c>
      <c r="Y85" t="n">
        <v>5.229576017368246</v>
      </c>
      <c r="Z85" t="n">
        <v>0.2422045455471129</v>
      </c>
      <c r="AA85" t="n">
        <v>-2.775557561562891e-17</v>
      </c>
    </row>
    <row r="86">
      <c r="A86" t="inlineStr">
        <is>
          <t>2021-06-03</t>
        </is>
      </c>
      <c r="B86" t="inlineStr">
        <is>
          <t>NW</t>
        </is>
      </c>
      <c r="C86" t="inlineStr">
        <is>
          <t>NW</t>
        </is>
      </c>
      <c r="D86" t="n">
        <v>19.40736085670329</v>
      </c>
      <c r="E86" t="n">
        <v>0.3369084596219428</v>
      </c>
      <c r="F86" t="n">
        <v>10.00096556194125</v>
      </c>
      <c r="G86" t="n">
        <v>0.7659574468085106</v>
      </c>
      <c r="H86" t="n">
        <v>0.7897371714643304</v>
      </c>
      <c r="I86" t="n">
        <v>0.5</v>
      </c>
      <c r="J86" t="n">
        <v>0.7222778473091364</v>
      </c>
      <c r="K86" t="n">
        <v>0.6677157174036119</v>
      </c>
      <c r="L86" t="b">
        <v>1</v>
      </c>
      <c r="M86" t="inlineStr">
        <is>
          <t>top_quartile_risk</t>
        </is>
      </c>
      <c r="N86" t="n">
        <v>0</v>
      </c>
      <c r="O86" t="n">
        <v>0</v>
      </c>
      <c r="P86" t="n">
        <v>0</v>
      </c>
      <c r="Q86" t="n">
        <v>0</v>
      </c>
      <c r="U86" t="n">
        <v>0.5</v>
      </c>
      <c r="V86" t="n">
        <v>0.5</v>
      </c>
      <c r="W86" t="n">
        <v>0.5</v>
      </c>
      <c r="X86" t="n">
        <v>0.3369084596219428</v>
      </c>
      <c r="Y86" t="n">
        <v>10.00096556194125</v>
      </c>
      <c r="Z86" t="n">
        <v>0.7222778473091364</v>
      </c>
      <c r="AA86" t="n">
        <v>0</v>
      </c>
    </row>
    <row r="87">
      <c r="A87" t="inlineStr">
        <is>
          <t>2021-06-04</t>
        </is>
      </c>
      <c r="B87" t="inlineStr">
        <is>
          <t>CW</t>
        </is>
      </c>
      <c r="C87" t="inlineStr">
        <is>
          <t>09:16</t>
        </is>
      </c>
      <c r="D87" t="n">
        <v>30.23708101893354</v>
      </c>
      <c r="E87" t="n">
        <v>0.1827313731773838</v>
      </c>
      <c r="F87" t="n">
        <v>5.403009696521829</v>
      </c>
      <c r="G87" t="n">
        <v>0.07008760951188986</v>
      </c>
      <c r="H87" t="n">
        <v>0.1864831038798498</v>
      </c>
      <c r="I87" t="n">
        <v>0.8484425848442584</v>
      </c>
      <c r="J87" t="n">
        <v>0.2723168023255476</v>
      </c>
      <c r="K87" t="n">
        <v>0.6677157174036119</v>
      </c>
      <c r="L87" t="b">
        <v>0</v>
      </c>
      <c r="N87" t="n">
        <v>0</v>
      </c>
      <c r="O87" t="n">
        <v>0</v>
      </c>
      <c r="P87" t="n">
        <v>0</v>
      </c>
      <c r="Q87" t="n">
        <v>0</v>
      </c>
      <c r="R87" t="n">
        <v>20.81394311068022</v>
      </c>
      <c r="S87" t="n">
        <v>8.75494940607126</v>
      </c>
      <c r="T87" t="n">
        <v>0.4179498460184789</v>
      </c>
      <c r="U87" t="n">
        <v>0.8061366806136681</v>
      </c>
      <c r="V87" t="n">
        <v>0.8437935843793585</v>
      </c>
      <c r="W87" t="n">
        <v>0.895397489539749</v>
      </c>
      <c r="X87" t="n">
        <v>0.1827313731773838</v>
      </c>
      <c r="Y87" t="n">
        <v>5.403009696521829</v>
      </c>
      <c r="Z87" t="n">
        <v>0.2723168023255476</v>
      </c>
      <c r="AA87" t="n">
        <v>-5.551115123125783e-17</v>
      </c>
    </row>
    <row r="88">
      <c r="A88" t="inlineStr">
        <is>
          <t>2021-06-07</t>
        </is>
      </c>
      <c r="B88" t="inlineStr">
        <is>
          <t>CW</t>
        </is>
      </c>
      <c r="C88" t="inlineStr">
        <is>
          <t>09:17</t>
        </is>
      </c>
      <c r="D88" t="n">
        <v>9.31839406938454</v>
      </c>
      <c r="E88" t="n">
        <v>0.3655423091098589</v>
      </c>
      <c r="F88" t="n">
        <v>10.04480570734585</v>
      </c>
      <c r="G88" t="n">
        <v>0.8623279098873592</v>
      </c>
      <c r="H88" t="n">
        <v>0.7934918648310388</v>
      </c>
      <c r="I88" t="n">
        <v>0.1390051139005114</v>
      </c>
      <c r="J88" t="n">
        <v>0.6901289326674617</v>
      </c>
      <c r="K88" t="n">
        <v>0.6677157174036119</v>
      </c>
      <c r="L88" t="b">
        <v>1</v>
      </c>
      <c r="M88" t="inlineStr">
        <is>
          <t>top_quartile_risk</t>
        </is>
      </c>
      <c r="N88" t="n">
        <v>0</v>
      </c>
      <c r="O88" t="n">
        <v>0</v>
      </c>
      <c r="P88" t="n">
        <v>0</v>
      </c>
      <c r="Q88" t="n">
        <v>0</v>
      </c>
      <c r="R88" t="n">
        <v>6.235167617847385</v>
      </c>
      <c r="S88" t="n">
        <v>1.324503311258297</v>
      </c>
      <c r="T88" t="n">
        <v>0.1379690949227373</v>
      </c>
      <c r="U88" t="n">
        <v>0.2440725244072524</v>
      </c>
      <c r="V88" t="n">
        <v>0.08926080892608089</v>
      </c>
      <c r="W88" t="n">
        <v>0.08368200836820083</v>
      </c>
      <c r="X88" t="n">
        <v>0.3655423091098589</v>
      </c>
      <c r="Y88" t="n">
        <v>10.04480570734585</v>
      </c>
      <c r="Z88" t="n">
        <v>0.6901289326674617</v>
      </c>
      <c r="AA88" t="n">
        <v>0</v>
      </c>
    </row>
    <row r="89">
      <c r="A89" t="inlineStr">
        <is>
          <t>2021-06-08</t>
        </is>
      </c>
      <c r="B89" t="inlineStr">
        <is>
          <t>CW</t>
        </is>
      </c>
      <c r="C89" t="inlineStr">
        <is>
          <t>09:17</t>
        </is>
      </c>
      <c r="D89" t="n">
        <v>23.9075689528817</v>
      </c>
      <c r="E89" t="n">
        <v>0.2751978360616555</v>
      </c>
      <c r="F89" t="n">
        <v>6.467010484858682</v>
      </c>
      <c r="G89" t="n">
        <v>0.425531914893617</v>
      </c>
      <c r="H89" t="n">
        <v>0.3379224030037547</v>
      </c>
      <c r="I89" t="n">
        <v>0.4244537424453743</v>
      </c>
      <c r="J89" t="n">
        <v>0.3902724756480236</v>
      </c>
      <c r="K89" t="n">
        <v>0.6677157174036119</v>
      </c>
      <c r="L89" t="b">
        <v>0</v>
      </c>
      <c r="N89" t="n">
        <v>0</v>
      </c>
      <c r="O89" t="n">
        <v>0</v>
      </c>
      <c r="P89" t="n">
        <v>0</v>
      </c>
      <c r="Q89" t="n">
        <v>0</v>
      </c>
      <c r="R89" t="n">
        <v>5.909376846680958</v>
      </c>
      <c r="S89" t="n">
        <v>1.764705882352934</v>
      </c>
      <c r="T89" t="n">
        <v>0.359477124183014</v>
      </c>
      <c r="U89" t="n">
        <v>0.2189679218967922</v>
      </c>
      <c r="V89" t="n">
        <v>0.2064156206415621</v>
      </c>
      <c r="W89" t="n">
        <v>0.8479776847977685</v>
      </c>
      <c r="X89" t="n">
        <v>0.2751978360616555</v>
      </c>
      <c r="Y89" t="n">
        <v>6.467010484858681</v>
      </c>
      <c r="Z89" t="n">
        <v>0.3902724756480236</v>
      </c>
      <c r="AA89" t="n">
        <v>0</v>
      </c>
    </row>
    <row r="90">
      <c r="A90" t="inlineStr">
        <is>
          <t>2021-06-09</t>
        </is>
      </c>
      <c r="B90" t="inlineStr">
        <is>
          <t>CW</t>
        </is>
      </c>
      <c r="C90" t="inlineStr">
        <is>
          <t>09:17</t>
        </is>
      </c>
      <c r="D90" t="n">
        <v>-43.54766377203834</v>
      </c>
      <c r="E90" t="n">
        <v>0.3123907872747181</v>
      </c>
      <c r="F90" t="n">
        <v>8.525058850049035</v>
      </c>
      <c r="G90" t="n">
        <v>0.6257822277847309</v>
      </c>
      <c r="H90" t="n">
        <v>0.609511889862328</v>
      </c>
      <c r="I90" t="n">
        <v>0.4137610413761041</v>
      </c>
      <c r="J90" t="n">
        <v>0.5768698553340443</v>
      </c>
      <c r="K90" t="n">
        <v>0.6677157174036119</v>
      </c>
      <c r="L90" t="b">
        <v>0</v>
      </c>
      <c r="N90" t="n">
        <v>0</v>
      </c>
      <c r="O90" t="n">
        <v>0</v>
      </c>
      <c r="P90" t="n">
        <v>1</v>
      </c>
      <c r="Q90" t="n">
        <v>43.54766377203834</v>
      </c>
      <c r="R90" t="n">
        <v>5.746068229004167</v>
      </c>
      <c r="S90" t="n">
        <v>2.571926765475143</v>
      </c>
      <c r="T90" t="n">
        <v>0.261551874455104</v>
      </c>
      <c r="U90" t="n">
        <v>0.198047419804742</v>
      </c>
      <c r="V90" t="n">
        <v>0.403068340306834</v>
      </c>
      <c r="W90" t="n">
        <v>0.6401673640167364</v>
      </c>
      <c r="X90" t="n">
        <v>0.3123907872747182</v>
      </c>
      <c r="Y90" t="n">
        <v>8.525058850049037</v>
      </c>
      <c r="Z90" t="n">
        <v>0.5768698553340443</v>
      </c>
      <c r="AA90" t="n">
        <v>0</v>
      </c>
    </row>
    <row r="91">
      <c r="A91" t="inlineStr">
        <is>
          <t>2021-06-10</t>
        </is>
      </c>
      <c r="B91" t="inlineStr">
        <is>
          <t>CW</t>
        </is>
      </c>
      <c r="C91" t="inlineStr">
        <is>
          <t>09:17</t>
        </is>
      </c>
      <c r="D91" t="n">
        <v>20.40486239274858</v>
      </c>
      <c r="E91" t="n">
        <v>0.2757566493349846</v>
      </c>
      <c r="F91" t="n">
        <v>9.163045319737558</v>
      </c>
      <c r="G91" t="n">
        <v>0.4317897371714643</v>
      </c>
      <c r="H91" t="n">
        <v>0.6996245306633292</v>
      </c>
      <c r="I91" t="n">
        <v>0.6052998605299861</v>
      </c>
      <c r="J91" t="n">
        <v>0.5736256792399146</v>
      </c>
      <c r="K91" t="n">
        <v>0.6677157174036119</v>
      </c>
      <c r="L91" t="b">
        <v>0</v>
      </c>
      <c r="N91" t="n">
        <v>43.54766377203828</v>
      </c>
      <c r="O91" t="n">
        <v>1</v>
      </c>
      <c r="P91" t="n">
        <v>0</v>
      </c>
      <c r="Q91" t="n">
        <v>0</v>
      </c>
      <c r="R91" t="n">
        <v>7.01660383616752</v>
      </c>
      <c r="S91" t="n">
        <v>4.545454545454546</v>
      </c>
      <c r="T91" t="n">
        <v>0.3636363636363774</v>
      </c>
      <c r="U91" t="n">
        <v>0.3152022315202231</v>
      </c>
      <c r="V91" t="n">
        <v>0.6485355648535565</v>
      </c>
      <c r="W91" t="n">
        <v>0.8521617852161785</v>
      </c>
      <c r="X91" t="n">
        <v>0.2757566493349847</v>
      </c>
      <c r="Y91" t="n">
        <v>9.163045319737556</v>
      </c>
      <c r="Z91" t="n">
        <v>0.5736256792399146</v>
      </c>
      <c r="AA91" t="n">
        <v>0</v>
      </c>
    </row>
    <row r="92">
      <c r="A92" t="inlineStr">
        <is>
          <t>2021-06-11</t>
        </is>
      </c>
      <c r="B92" t="inlineStr">
        <is>
          <t>CW</t>
        </is>
      </c>
      <c r="C92" t="inlineStr">
        <is>
          <t>09:18</t>
        </is>
      </c>
      <c r="D92" t="n">
        <v>27.55330591582184</v>
      </c>
      <c r="E92" t="n">
        <v>0.2644475576619001</v>
      </c>
      <c r="F92" t="n">
        <v>6.932171436237963</v>
      </c>
      <c r="G92" t="n">
        <v>0.3629536921151439</v>
      </c>
      <c r="H92" t="n">
        <v>0.409261576971214</v>
      </c>
      <c r="I92" t="n">
        <v>0.2436076243607624</v>
      </c>
      <c r="J92" t="n">
        <v>0.3576076325066957</v>
      </c>
      <c r="K92" t="n">
        <v>0.6677157174036119</v>
      </c>
      <c r="L92" t="b">
        <v>0</v>
      </c>
      <c r="N92" t="n">
        <v>23.14280137928972</v>
      </c>
      <c r="O92" t="n">
        <v>0</v>
      </c>
      <c r="P92" t="n">
        <v>0</v>
      </c>
      <c r="Q92" t="n">
        <v>0</v>
      </c>
      <c r="R92" t="n">
        <v>5.853448630451221</v>
      </c>
      <c r="S92" t="n">
        <v>1.227596366314756</v>
      </c>
      <c r="T92" t="n">
        <v>0.2209673459366574</v>
      </c>
      <c r="U92" t="n">
        <v>0.2105997210599721</v>
      </c>
      <c r="V92" t="n">
        <v>0.07670850767085077</v>
      </c>
      <c r="W92" t="n">
        <v>0.4435146443514644</v>
      </c>
      <c r="X92" t="n">
        <v>0.2644475576619001</v>
      </c>
      <c r="Y92" t="n">
        <v>6.932171436237963</v>
      </c>
      <c r="Z92" t="n">
        <v>0.3576076325066957</v>
      </c>
      <c r="AA92" t="n">
        <v>0</v>
      </c>
    </row>
    <row r="93">
      <c r="A93" t="inlineStr">
        <is>
          <t>2021-06-14</t>
        </is>
      </c>
      <c r="B93" t="inlineStr">
        <is>
          <t>CW</t>
        </is>
      </c>
      <c r="C93" t="inlineStr">
        <is>
          <t>09:20+</t>
        </is>
      </c>
      <c r="D93" t="n">
        <v>14.45393337177704</v>
      </c>
      <c r="E93" t="n">
        <v>0.2955440350965403</v>
      </c>
      <c r="F93" t="n">
        <v>8.317818866175802</v>
      </c>
      <c r="G93" t="n">
        <v>0.5494367959949937</v>
      </c>
      <c r="H93" t="n">
        <v>0.5832290362953693</v>
      </c>
      <c r="I93" t="n">
        <v>0.804277080427708</v>
      </c>
      <c r="J93" t="n">
        <v>0.6139217490016868</v>
      </c>
      <c r="K93" t="n">
        <v>0.6677157174036119</v>
      </c>
      <c r="L93" t="b">
        <v>0</v>
      </c>
      <c r="N93" t="n">
        <v>0</v>
      </c>
      <c r="O93" t="n">
        <v>0</v>
      </c>
      <c r="P93" t="n">
        <v>0</v>
      </c>
      <c r="Q93" t="n">
        <v>0</v>
      </c>
      <c r="R93" t="n">
        <v>24.36115734629124</v>
      </c>
      <c r="S93" t="n">
        <v>6.266250650025992</v>
      </c>
      <c r="T93" t="n">
        <v>0.3380135205408172</v>
      </c>
      <c r="U93" t="n">
        <v>0.8479776847977685</v>
      </c>
      <c r="V93" t="n">
        <v>0.7531380753138075</v>
      </c>
      <c r="W93" t="n">
        <v>0.8117154811715481</v>
      </c>
      <c r="X93" t="n">
        <v>0.2955440350965403</v>
      </c>
      <c r="Y93" t="n">
        <v>8.3178188661758</v>
      </c>
      <c r="Z93" t="n">
        <v>0.6139217490016868</v>
      </c>
      <c r="AA93" t="n">
        <v>0</v>
      </c>
    </row>
    <row r="94">
      <c r="A94" t="inlineStr">
        <is>
          <t>2021-06-15</t>
        </is>
      </c>
      <c r="B94" t="inlineStr">
        <is>
          <t>CW</t>
        </is>
      </c>
      <c r="C94" t="inlineStr">
        <is>
          <t>09:18</t>
        </is>
      </c>
      <c r="D94" t="n">
        <v>22.32889145673905</v>
      </c>
      <c r="E94" t="n">
        <v>0.2897614867617075</v>
      </c>
      <c r="F94" t="n">
        <v>5.997444066195643</v>
      </c>
      <c r="G94" t="n">
        <v>0.523153942428035</v>
      </c>
      <c r="H94" t="n">
        <v>0.2678347934918648</v>
      </c>
      <c r="I94" t="n">
        <v>0.297071129707113</v>
      </c>
      <c r="J94" t="n">
        <v>0.3758097203093826</v>
      </c>
      <c r="K94" t="n">
        <v>0.6677157174036119</v>
      </c>
      <c r="L94" t="b">
        <v>0</v>
      </c>
      <c r="N94" t="n">
        <v>0</v>
      </c>
      <c r="O94" t="n">
        <v>0</v>
      </c>
      <c r="P94" t="n">
        <v>0</v>
      </c>
      <c r="Q94" t="n">
        <v>0</v>
      </c>
      <c r="R94" t="n">
        <v>5.077038541345441</v>
      </c>
      <c r="S94" t="n">
        <v>1.183020180932491</v>
      </c>
      <c r="T94" t="n">
        <v>0.27835768963118</v>
      </c>
      <c r="U94" t="n">
        <v>0.1338912133891213</v>
      </c>
      <c r="V94" t="n">
        <v>0.06415620641562064</v>
      </c>
      <c r="W94" t="n">
        <v>0.6931659693165969</v>
      </c>
      <c r="X94" t="n">
        <v>0.2897614867617076</v>
      </c>
      <c r="Y94" t="n">
        <v>5.997444066195646</v>
      </c>
      <c r="Z94" t="n">
        <v>0.3758097203093826</v>
      </c>
      <c r="AA94" t="n">
        <v>0</v>
      </c>
    </row>
    <row r="95">
      <c r="A95" t="inlineStr">
        <is>
          <t>2021-06-16</t>
        </is>
      </c>
      <c r="B95" t="inlineStr">
        <is>
          <t>CW</t>
        </is>
      </c>
      <c r="C95" t="inlineStr">
        <is>
          <t>09:17</t>
        </is>
      </c>
      <c r="D95" t="n">
        <v>-13.60609602884639</v>
      </c>
      <c r="E95" t="n">
        <v>0.3282076488793018</v>
      </c>
      <c r="F95" t="n">
        <v>9.713093738484538</v>
      </c>
      <c r="G95" t="n">
        <v>0.7246558197747184</v>
      </c>
      <c r="H95" t="n">
        <v>0.7496871088861077</v>
      </c>
      <c r="I95" t="n">
        <v>0.4825662482566249</v>
      </c>
      <c r="J95" t="n">
        <v>0.6862504211156555</v>
      </c>
      <c r="K95" t="n">
        <v>0.6677157174036119</v>
      </c>
      <c r="L95" t="b">
        <v>1</v>
      </c>
      <c r="M95" t="inlineStr">
        <is>
          <t>top_quartile_risk</t>
        </is>
      </c>
      <c r="N95" t="n">
        <v>0</v>
      </c>
      <c r="O95" t="n">
        <v>0</v>
      </c>
      <c r="P95" t="n">
        <v>1</v>
      </c>
      <c r="Q95" t="n">
        <v>13.60609602884639</v>
      </c>
      <c r="R95" t="n">
        <v>7.356655721141472</v>
      </c>
      <c r="S95" t="n">
        <v>2.465078060805259</v>
      </c>
      <c r="T95" t="n">
        <v>0.2875924404272755</v>
      </c>
      <c r="U95" t="n">
        <v>0.3417015341701534</v>
      </c>
      <c r="V95" t="n">
        <v>0.3863319386331939</v>
      </c>
      <c r="W95" t="n">
        <v>0.7196652719665272</v>
      </c>
      <c r="X95" t="n">
        <v>0.3282076488793018</v>
      </c>
      <c r="Y95" t="n">
        <v>9.713093738484538</v>
      </c>
      <c r="Z95" t="n">
        <v>0.6862504211156555</v>
      </c>
      <c r="AA95" t="n">
        <v>0</v>
      </c>
    </row>
    <row r="96">
      <c r="A96" t="inlineStr">
        <is>
          <t>2021-06-17</t>
        </is>
      </c>
      <c r="B96" t="inlineStr">
        <is>
          <t>CW</t>
        </is>
      </c>
      <c r="C96" t="inlineStr">
        <is>
          <t>09:17</t>
        </is>
      </c>
      <c r="D96" t="n">
        <v>50.17790275476819</v>
      </c>
      <c r="E96" t="n">
        <v>0.2717828461293583</v>
      </c>
      <c r="F96" t="n">
        <v>9.806987603161113</v>
      </c>
      <c r="G96" t="n">
        <v>0.4005006257822278</v>
      </c>
      <c r="H96" t="n">
        <v>0.7672090112640801</v>
      </c>
      <c r="I96" t="n">
        <v>0.7666201766620176</v>
      </c>
      <c r="J96" t="n">
        <v>0.6204078901509268</v>
      </c>
      <c r="K96" t="n">
        <v>0.6677157174036119</v>
      </c>
      <c r="L96" t="b">
        <v>0</v>
      </c>
      <c r="N96" t="n">
        <v>13.60609602884642</v>
      </c>
      <c r="O96" t="n">
        <v>1</v>
      </c>
      <c r="P96" t="n">
        <v>0</v>
      </c>
      <c r="Q96" t="n">
        <v>0</v>
      </c>
      <c r="R96" t="n">
        <v>11.63955023502324</v>
      </c>
      <c r="S96" t="n">
        <v>6.619256017505466</v>
      </c>
      <c r="T96" t="n">
        <v>0.4923413566739636</v>
      </c>
      <c r="U96" t="n">
        <v>0.5815899581589958</v>
      </c>
      <c r="V96" t="n">
        <v>0.7712691771269177</v>
      </c>
      <c r="W96" t="n">
        <v>0.9470013947001394</v>
      </c>
      <c r="X96" t="n">
        <v>0.2717828461293583</v>
      </c>
      <c r="Y96" t="n">
        <v>9.806987603161115</v>
      </c>
      <c r="Z96" t="n">
        <v>0.6204078901509268</v>
      </c>
      <c r="AA96" t="n">
        <v>0</v>
      </c>
    </row>
    <row r="97">
      <c r="A97" t="inlineStr">
        <is>
          <t>2021-06-18</t>
        </is>
      </c>
      <c r="B97" t="inlineStr">
        <is>
          <t>CW</t>
        </is>
      </c>
      <c r="C97" t="inlineStr">
        <is>
          <t>09:20+</t>
        </is>
      </c>
      <c r="D97" t="n">
        <v>-41.6233035068069</v>
      </c>
      <c r="E97" t="n">
        <v>0.3006386212912821</v>
      </c>
      <c r="F97" t="n">
        <v>12.86201455529383</v>
      </c>
      <c r="G97" t="n">
        <v>0.5694618272841051</v>
      </c>
      <c r="H97" t="n">
        <v>0.9486858573216521</v>
      </c>
      <c r="I97" t="n">
        <v>0.7080427708042771</v>
      </c>
      <c r="J97" t="n">
        <v>0.7488676280031583</v>
      </c>
      <c r="K97" t="n">
        <v>0.6677157174036119</v>
      </c>
      <c r="L97" t="b">
        <v>1</v>
      </c>
      <c r="M97" t="inlineStr">
        <is>
          <t>top_quartile_risk</t>
        </is>
      </c>
      <c r="N97" t="n">
        <v>0</v>
      </c>
      <c r="O97" t="n">
        <v>0</v>
      </c>
      <c r="P97" t="n">
        <v>1</v>
      </c>
      <c r="Q97" t="n">
        <v>41.6233035068069</v>
      </c>
      <c r="R97" t="n">
        <v>16.4859308296545</v>
      </c>
      <c r="S97" t="n">
        <v>4.826144784343537</v>
      </c>
      <c r="T97" t="n">
        <v>0.2850085502565077</v>
      </c>
      <c r="U97" t="n">
        <v>0.7350069735006973</v>
      </c>
      <c r="V97" t="n">
        <v>0.6778242677824268</v>
      </c>
      <c r="W97" t="n">
        <v>0.7112970711297071</v>
      </c>
      <c r="X97" t="n">
        <v>0.3006386212912821</v>
      </c>
      <c r="Y97" t="n">
        <v>12.86201455529383</v>
      </c>
      <c r="Z97" t="n">
        <v>0.7488676280031583</v>
      </c>
      <c r="AA97" t="n">
        <v>0</v>
      </c>
    </row>
    <row r="98">
      <c r="A98" t="inlineStr">
        <is>
          <t>2021-06-21</t>
        </is>
      </c>
      <c r="B98" t="inlineStr">
        <is>
          <t>CW</t>
        </is>
      </c>
      <c r="C98" t="inlineStr">
        <is>
          <t>09:18</t>
        </is>
      </c>
      <c r="D98" t="n">
        <v>9.112972278395604</v>
      </c>
      <c r="E98" t="n">
        <v>0.3823637642730694</v>
      </c>
      <c r="F98" t="n">
        <v>8.410965059010902</v>
      </c>
      <c r="G98" t="n">
        <v>0.9086357947434293</v>
      </c>
      <c r="H98" t="n">
        <v>0.5944931163954944</v>
      </c>
      <c r="I98" t="n">
        <v>0.4741980474198047</v>
      </c>
      <c r="J98" t="n">
        <v>0.6960911739395305</v>
      </c>
      <c r="K98" t="n">
        <v>0.6677157174036119</v>
      </c>
      <c r="L98" t="b">
        <v>1</v>
      </c>
      <c r="M98" t="inlineStr">
        <is>
          <t>top_quartile_risk</t>
        </is>
      </c>
      <c r="N98" t="n">
        <v>41.62330350680691</v>
      </c>
      <c r="O98" t="n">
        <v>1</v>
      </c>
      <c r="P98" t="n">
        <v>0</v>
      </c>
      <c r="Q98" t="n">
        <v>0</v>
      </c>
      <c r="R98" t="n">
        <v>10.85933774151577</v>
      </c>
      <c r="S98" t="n">
        <v>1.925990045444716</v>
      </c>
      <c r="T98" t="n">
        <v>0.2596840510712004</v>
      </c>
      <c r="U98" t="n">
        <v>0.5397489539748954</v>
      </c>
      <c r="V98" t="n">
        <v>0.2524407252440725</v>
      </c>
      <c r="W98" t="n">
        <v>0.6304044630404463</v>
      </c>
      <c r="X98" t="n">
        <v>0.3823637642730694</v>
      </c>
      <c r="Y98" t="n">
        <v>8.410965059010898</v>
      </c>
      <c r="Z98" t="n">
        <v>0.6960911739395305</v>
      </c>
      <c r="AA98" t="n">
        <v>0</v>
      </c>
    </row>
    <row r="99">
      <c r="A99" t="inlineStr">
        <is>
          <t>2021-06-23</t>
        </is>
      </c>
      <c r="B99" t="inlineStr">
        <is>
          <t>CW</t>
        </is>
      </c>
      <c r="C99" t="inlineStr">
        <is>
          <t>09:18</t>
        </is>
      </c>
      <c r="D99" t="n">
        <v>-44.0876468152078</v>
      </c>
      <c r="E99" t="n">
        <v>0.3252176803472083</v>
      </c>
      <c r="F99" t="n">
        <v>9.711839653444297</v>
      </c>
      <c r="G99" t="n">
        <v>0.704630788485607</v>
      </c>
      <c r="H99" t="n">
        <v>0.7484355444305382</v>
      </c>
      <c r="I99" t="n">
        <v>0.4523477452347746</v>
      </c>
      <c r="J99" t="n">
        <v>0.671696082213413</v>
      </c>
      <c r="K99" t="n">
        <v>0.6677157174036119</v>
      </c>
      <c r="L99" t="b">
        <v>1</v>
      </c>
      <c r="M99" t="inlineStr">
        <is>
          <t>top_quartile_risk</t>
        </is>
      </c>
      <c r="N99" t="n">
        <v>32.51033122841136</v>
      </c>
      <c r="O99" t="n">
        <v>0</v>
      </c>
      <c r="P99" t="n">
        <v>1</v>
      </c>
      <c r="Q99" t="n">
        <v>44.0876468152078</v>
      </c>
      <c r="R99" t="n">
        <v>8.628154965455545</v>
      </c>
      <c r="S99" t="n">
        <v>1.692047377326565</v>
      </c>
      <c r="T99" t="n">
        <v>0.2961082910321441</v>
      </c>
      <c r="U99" t="n">
        <v>0.4295676429567643</v>
      </c>
      <c r="V99" t="n">
        <v>0.1868898186889819</v>
      </c>
      <c r="W99" t="n">
        <v>0.7405857740585774</v>
      </c>
      <c r="X99" t="n">
        <v>0.3252176803472083</v>
      </c>
      <c r="Y99" t="n">
        <v>9.711839653444299</v>
      </c>
      <c r="Z99" t="n">
        <v>0.671696082213413</v>
      </c>
      <c r="AA99" t="n">
        <v>0</v>
      </c>
    </row>
    <row r="100">
      <c r="A100" t="inlineStr">
        <is>
          <t>2021-06-24</t>
        </is>
      </c>
      <c r="B100" t="inlineStr">
        <is>
          <t>CW</t>
        </is>
      </c>
      <c r="C100" t="inlineStr">
        <is>
          <t>09:17</t>
        </is>
      </c>
      <c r="D100" t="n">
        <v>17.90689055939825</v>
      </c>
      <c r="E100" t="n">
        <v>0.293557388191295</v>
      </c>
      <c r="F100" t="n">
        <v>12.15066688902404</v>
      </c>
      <c r="G100" t="n">
        <v>0.5444305381727159</v>
      </c>
      <c r="H100" t="n">
        <v>0.9249061326658323</v>
      </c>
      <c r="I100" t="n">
        <v>0.7350069735006973</v>
      </c>
      <c r="J100" t="n">
        <v>0.7347360630355588</v>
      </c>
      <c r="K100" t="n">
        <v>0.6677157174036119</v>
      </c>
      <c r="L100" t="b">
        <v>1</v>
      </c>
      <c r="M100" t="inlineStr">
        <is>
          <t>top_quartile_risk</t>
        </is>
      </c>
      <c r="N100" t="n">
        <v>76.59797804361915</v>
      </c>
      <c r="O100" t="n">
        <v>1</v>
      </c>
      <c r="P100" t="n">
        <v>0</v>
      </c>
      <c r="Q100" t="n">
        <v>0</v>
      </c>
      <c r="R100" t="n">
        <v>10.049771812935</v>
      </c>
      <c r="S100" t="n">
        <v>6.380753138075308</v>
      </c>
      <c r="T100" t="n">
        <v>0.4707112970711253</v>
      </c>
      <c r="U100" t="n">
        <v>0.5090655509065551</v>
      </c>
      <c r="V100" t="n">
        <v>0.7587168758716876</v>
      </c>
      <c r="W100" t="n">
        <v>0.9372384937238494</v>
      </c>
      <c r="X100" t="n">
        <v>0.293557388191295</v>
      </c>
      <c r="Y100" t="n">
        <v>12.15066688902404</v>
      </c>
      <c r="Z100" t="n">
        <v>0.7347360630355588</v>
      </c>
      <c r="AA100" t="n">
        <v>0</v>
      </c>
    </row>
    <row r="101">
      <c r="A101" t="inlineStr">
        <is>
          <t>2021-06-25</t>
        </is>
      </c>
      <c r="B101" t="inlineStr">
        <is>
          <t>CW</t>
        </is>
      </c>
      <c r="C101" t="inlineStr">
        <is>
          <t>09:18</t>
        </is>
      </c>
      <c r="D101" t="n">
        <v>30.92315045241878</v>
      </c>
      <c r="E101" t="n">
        <v>0.2862765814562388</v>
      </c>
      <c r="F101" t="n">
        <v>8.766631369954439</v>
      </c>
      <c r="G101" t="n">
        <v>0.5006257822277848</v>
      </c>
      <c r="H101" t="n">
        <v>0.6458072590738423</v>
      </c>
      <c r="I101" t="n">
        <v>0.3509995350999535</v>
      </c>
      <c r="J101" t="n">
        <v>0.5287731235406415</v>
      </c>
      <c r="K101" t="n">
        <v>0.6677157174036119</v>
      </c>
      <c r="L101" t="b">
        <v>0</v>
      </c>
      <c r="N101" t="n">
        <v>58.69108748422082</v>
      </c>
      <c r="O101" t="n">
        <v>0</v>
      </c>
      <c r="P101" t="n">
        <v>0</v>
      </c>
      <c r="Q101" t="n">
        <v>0</v>
      </c>
      <c r="R101" t="n">
        <v>7.833005378874028</v>
      </c>
      <c r="S101" t="n">
        <v>0.915382897968289</v>
      </c>
      <c r="T101" t="n">
        <v>0.2679169457468223</v>
      </c>
      <c r="U101" t="n">
        <v>0.3723849372384937</v>
      </c>
      <c r="V101" t="n">
        <v>0.02092050209205021</v>
      </c>
      <c r="W101" t="n">
        <v>0.6596931659693166</v>
      </c>
      <c r="X101" t="n">
        <v>0.2862765814562388</v>
      </c>
      <c r="Y101" t="n">
        <v>8.766631369954437</v>
      </c>
      <c r="Z101" t="n">
        <v>0.5287731235406415</v>
      </c>
      <c r="AA101" t="n">
        <v>0</v>
      </c>
    </row>
    <row r="102">
      <c r="A102" t="inlineStr">
        <is>
          <t>2021-06-29</t>
        </is>
      </c>
      <c r="B102" t="inlineStr">
        <is>
          <t>CW</t>
        </is>
      </c>
      <c r="C102" t="inlineStr">
        <is>
          <t>09:18</t>
        </is>
      </c>
      <c r="D102" t="n">
        <v>46.96230772588238</v>
      </c>
      <c r="E102" t="n">
        <v>0.3396467396071695</v>
      </c>
      <c r="F102" t="n">
        <v>8.729629622677107</v>
      </c>
      <c r="G102" t="n">
        <v>0.7822277847309136</v>
      </c>
      <c r="H102" t="n">
        <v>0.6357947434292867</v>
      </c>
      <c r="I102" t="n">
        <v>0.3179916317991632</v>
      </c>
      <c r="J102" t="n">
        <v>0.6308073376239128</v>
      </c>
      <c r="K102" t="n">
        <v>0.6677157174036119</v>
      </c>
      <c r="L102" t="b">
        <v>0</v>
      </c>
      <c r="N102" t="n">
        <v>27.76793703180215</v>
      </c>
      <c r="O102" t="n">
        <v>0</v>
      </c>
      <c r="P102" t="n">
        <v>0</v>
      </c>
      <c r="Q102" t="n">
        <v>0</v>
      </c>
      <c r="R102" t="n">
        <v>6.987103892859731</v>
      </c>
      <c r="S102" t="n">
        <v>1.100975149418056</v>
      </c>
      <c r="T102" t="n">
        <v>0.2516514627241217</v>
      </c>
      <c r="U102" t="n">
        <v>0.3110181311018131</v>
      </c>
      <c r="V102" t="n">
        <v>0.04323570432357043</v>
      </c>
      <c r="W102" t="n">
        <v>0.599721059972106</v>
      </c>
      <c r="X102" t="n">
        <v>0.3396467396071695</v>
      </c>
      <c r="Y102" t="n">
        <v>8.729629622677107</v>
      </c>
      <c r="Z102" t="n">
        <v>0.6308073376239128</v>
      </c>
      <c r="AA102" t="n">
        <v>0</v>
      </c>
    </row>
    <row r="103">
      <c r="A103" t="inlineStr">
        <is>
          <t>2021-07-02</t>
        </is>
      </c>
      <c r="B103" t="inlineStr">
        <is>
          <t>CW</t>
        </is>
      </c>
      <c r="C103" t="inlineStr">
        <is>
          <t>09:18</t>
        </is>
      </c>
      <c r="D103" t="n">
        <v>24.35648657636993</v>
      </c>
      <c r="E103" t="n">
        <v>0.2619154193960135</v>
      </c>
      <c r="F103" t="n">
        <v>7.650960054188944</v>
      </c>
      <c r="G103" t="n">
        <v>0.3454317897371715</v>
      </c>
      <c r="H103" t="n">
        <v>0.5068836045056321</v>
      </c>
      <c r="I103" t="n">
        <v>0.3793584379358438</v>
      </c>
      <c r="J103" t="n">
        <v>0.4167978452842902</v>
      </c>
      <c r="K103" t="n">
        <v>0.6677157174036119</v>
      </c>
      <c r="L103" t="b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4.683422913089284</v>
      </c>
      <c r="S103" t="n">
        <v>1.815135437028763</v>
      </c>
      <c r="T103" t="n">
        <v>0.335101926836084</v>
      </c>
      <c r="U103" t="n">
        <v>0.1115760111576011</v>
      </c>
      <c r="V103" t="n">
        <v>0.2189679218967922</v>
      </c>
      <c r="W103" t="n">
        <v>0.8075313807531381</v>
      </c>
      <c r="X103" t="n">
        <v>0.2619154193960135</v>
      </c>
      <c r="Y103" t="n">
        <v>7.650960054188946</v>
      </c>
      <c r="Z103" t="n">
        <v>0.4167978452842902</v>
      </c>
      <c r="AA103" t="n">
        <v>0</v>
      </c>
    </row>
    <row r="104">
      <c r="A104" t="inlineStr">
        <is>
          <t>2021-07-09</t>
        </is>
      </c>
      <c r="B104" t="inlineStr">
        <is>
          <t>CW</t>
        </is>
      </c>
      <c r="C104" t="inlineStr">
        <is>
          <t>09:18</t>
        </is>
      </c>
      <c r="D104" t="n">
        <v>26.49876760230395</v>
      </c>
      <c r="E104" t="n">
        <v>0.3383475065458683</v>
      </c>
      <c r="F104" t="n">
        <v>9.460536318854906</v>
      </c>
      <c r="G104" t="n">
        <v>0.7797246558197747</v>
      </c>
      <c r="H104" t="n">
        <v>0.7246558197747184</v>
      </c>
      <c r="I104" t="n">
        <v>0.1271501627150163</v>
      </c>
      <c r="J104" t="n">
        <v>0.6271822227808005</v>
      </c>
      <c r="K104" t="n">
        <v>0.6677157174036119</v>
      </c>
      <c r="L104" t="b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4.113953317792196</v>
      </c>
      <c r="S104" t="n">
        <v>1.157298063297127</v>
      </c>
      <c r="T104" t="n">
        <v>0.1889466225791241</v>
      </c>
      <c r="U104" t="n">
        <v>0.07949790794979079</v>
      </c>
      <c r="V104" t="n">
        <v>0.05578800557880056</v>
      </c>
      <c r="W104" t="n">
        <v>0.2461645746164575</v>
      </c>
      <c r="X104" t="n">
        <v>0.3383475065458683</v>
      </c>
      <c r="Y104" t="n">
        <v>9.460536318854905</v>
      </c>
      <c r="Z104" t="n">
        <v>0.6271822227808005</v>
      </c>
      <c r="AA104" t="n">
        <v>0</v>
      </c>
    </row>
    <row r="105">
      <c r="A105" t="inlineStr">
        <is>
          <t>2021-07-16</t>
        </is>
      </c>
      <c r="B105" t="inlineStr">
        <is>
          <t>CW</t>
        </is>
      </c>
      <c r="C105" t="inlineStr">
        <is>
          <t>09:17</t>
        </is>
      </c>
      <c r="D105" t="n">
        <v>13.81488496659222</v>
      </c>
      <c r="E105" t="n">
        <v>0.2061315193101542</v>
      </c>
      <c r="F105" t="n">
        <v>7.061425398067248</v>
      </c>
      <c r="G105" t="n">
        <v>0.113892365456821</v>
      </c>
      <c r="H105" t="n">
        <v>0.425531914893617</v>
      </c>
      <c r="I105" t="n">
        <v>0.4211994421199443</v>
      </c>
      <c r="J105" t="n">
        <v>0.3000096005641641</v>
      </c>
      <c r="K105" t="n">
        <v>0.6677157174036119</v>
      </c>
      <c r="L105" t="b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5.264295853426734</v>
      </c>
      <c r="S105" t="n">
        <v>1.830528491290207</v>
      </c>
      <c r="T105" t="n">
        <v>0.413345143194569</v>
      </c>
      <c r="U105" t="n">
        <v>0.1464435146443515</v>
      </c>
      <c r="V105" t="n">
        <v>0.2259414225941423</v>
      </c>
      <c r="W105" t="n">
        <v>0.891213389121339</v>
      </c>
      <c r="X105" t="n">
        <v>0.2061315193101543</v>
      </c>
      <c r="Y105" t="n">
        <v>7.061425398067248</v>
      </c>
      <c r="Z105" t="n">
        <v>0.3000096005641641</v>
      </c>
      <c r="AA105" t="n">
        <v>0</v>
      </c>
    </row>
    <row r="106">
      <c r="A106" t="inlineStr">
        <is>
          <t>2021-07-19</t>
        </is>
      </c>
      <c r="B106" t="inlineStr">
        <is>
          <t>CW</t>
        </is>
      </c>
      <c r="C106" t="inlineStr">
        <is>
          <t>09:20+</t>
        </is>
      </c>
      <c r="D106" t="n">
        <v>28.48136260056505</v>
      </c>
      <c r="E106" t="n">
        <v>0.3580750899973937</v>
      </c>
      <c r="F106" t="n">
        <v>8.946865020448643</v>
      </c>
      <c r="G106" t="n">
        <v>0.8423028785982478</v>
      </c>
      <c r="H106" t="n">
        <v>0.6733416770963705</v>
      </c>
      <c r="I106" t="n">
        <v>0.5708972570897257</v>
      </c>
      <c r="J106" t="n">
        <v>0.7204372736957926</v>
      </c>
      <c r="K106" t="n">
        <v>0.6677157174036119</v>
      </c>
      <c r="L106" t="b">
        <v>1</v>
      </c>
      <c r="M106" t="inlineStr">
        <is>
          <t>top_quartile_risk</t>
        </is>
      </c>
      <c r="N106" t="n">
        <v>0</v>
      </c>
      <c r="O106" t="n">
        <v>0</v>
      </c>
      <c r="P106" t="n">
        <v>0</v>
      </c>
      <c r="Q106" t="n">
        <v>0</v>
      </c>
      <c r="R106" t="n">
        <v>8.487237356559563</v>
      </c>
      <c r="S106" t="n">
        <v>5.216844751728463</v>
      </c>
      <c r="T106" t="n">
        <v>0.2514142049025805</v>
      </c>
      <c r="U106" t="n">
        <v>0.4156206415620641</v>
      </c>
      <c r="V106" t="n">
        <v>0.7001394700139471</v>
      </c>
      <c r="W106" t="n">
        <v>0.596931659693166</v>
      </c>
      <c r="X106" t="n">
        <v>0.3580750899973937</v>
      </c>
      <c r="Y106" t="n">
        <v>8.946865020448641</v>
      </c>
      <c r="Z106" t="n">
        <v>0.7204372736957926</v>
      </c>
      <c r="AA106" t="n">
        <v>0</v>
      </c>
    </row>
    <row r="107">
      <c r="A107" t="inlineStr">
        <is>
          <t>2021-07-20</t>
        </is>
      </c>
      <c r="B107" t="inlineStr">
        <is>
          <t>CW</t>
        </is>
      </c>
      <c r="C107" t="inlineStr">
        <is>
          <t>09:20+</t>
        </is>
      </c>
      <c r="D107" t="n">
        <v>35.70450669146508</v>
      </c>
      <c r="E107" t="n">
        <v>0.2914686204937627</v>
      </c>
      <c r="F107" t="n">
        <v>8.036223493809368</v>
      </c>
      <c r="G107" t="n">
        <v>0.5306633291614519</v>
      </c>
      <c r="H107" t="n">
        <v>0.5481852315394243</v>
      </c>
      <c r="I107" t="n">
        <v>0.6048349604834961</v>
      </c>
      <c r="J107" t="n">
        <v>0.5525064163770498</v>
      </c>
      <c r="K107" t="n">
        <v>0.6677157174036119</v>
      </c>
      <c r="L107" t="b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10.2201810249564</v>
      </c>
      <c r="S107" t="n">
        <v>5.22735409953456</v>
      </c>
      <c r="T107" t="n">
        <v>0.2506265664160462</v>
      </c>
      <c r="U107" t="n">
        <v>0.5174337517433751</v>
      </c>
      <c r="V107" t="n">
        <v>0.702928870292887</v>
      </c>
      <c r="W107" t="n">
        <v>0.5941422594142259</v>
      </c>
      <c r="X107" t="n">
        <v>0.2914686204937627</v>
      </c>
      <c r="Y107" t="n">
        <v>8.03622349380937</v>
      </c>
      <c r="Z107" t="n">
        <v>0.5525064163770498</v>
      </c>
      <c r="AA107" t="n">
        <v>0</v>
      </c>
    </row>
    <row r="108">
      <c r="A108" t="inlineStr">
        <is>
          <t>2021-07-26</t>
        </is>
      </c>
      <c r="B108" t="inlineStr">
        <is>
          <t>CW</t>
        </is>
      </c>
      <c r="C108" t="inlineStr">
        <is>
          <t>09:17</t>
        </is>
      </c>
      <c r="D108" t="n">
        <v>11.5976370693938</v>
      </c>
      <c r="E108" t="n">
        <v>0.284548891266479</v>
      </c>
      <c r="F108" t="n">
        <v>5.832964007897946</v>
      </c>
      <c r="G108" t="n">
        <v>0.4868585732165207</v>
      </c>
      <c r="H108" t="n">
        <v>0.2440550688360451</v>
      </c>
      <c r="I108" t="n">
        <v>0.4714086471408647</v>
      </c>
      <c r="J108" t="n">
        <v>0.3866471862491992</v>
      </c>
      <c r="K108" t="n">
        <v>0.6677157174036119</v>
      </c>
      <c r="L108" t="b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2.214993608160152</v>
      </c>
      <c r="S108" t="n">
        <v>4.278416347381857</v>
      </c>
      <c r="T108" t="n">
        <v>0.3192848020434227</v>
      </c>
      <c r="U108" t="n">
        <v>0.009762900976290097</v>
      </c>
      <c r="V108" t="n">
        <v>0.6317991631799164</v>
      </c>
      <c r="W108" t="n">
        <v>0.7726638772663877</v>
      </c>
      <c r="X108" t="n">
        <v>0.284548891266479</v>
      </c>
      <c r="Y108" t="n">
        <v>5.832964007897945</v>
      </c>
      <c r="Z108" t="n">
        <v>0.3866471862491992</v>
      </c>
      <c r="AA108" t="n">
        <v>5.551115123125783e-17</v>
      </c>
    </row>
    <row r="109">
      <c r="A109" t="inlineStr">
        <is>
          <t>2021-07-28</t>
        </is>
      </c>
      <c r="B109" t="inlineStr">
        <is>
          <t>CW</t>
        </is>
      </c>
      <c r="C109" t="inlineStr">
        <is>
          <t>09:18</t>
        </is>
      </c>
      <c r="D109" t="n">
        <v>-39.97123706258232</v>
      </c>
      <c r="E109" t="n">
        <v>0.3239996683515026</v>
      </c>
      <c r="F109" t="n">
        <v>8.183068283190458</v>
      </c>
      <c r="G109" t="n">
        <v>0.6971214017521903</v>
      </c>
      <c r="H109" t="n">
        <v>0.5594493116395495</v>
      </c>
      <c r="I109" t="n">
        <v>0.4737331473733148</v>
      </c>
      <c r="J109" t="n">
        <v>0.5973749148313588</v>
      </c>
      <c r="K109" t="n">
        <v>0.6677157174036119</v>
      </c>
      <c r="L109" t="b">
        <v>0</v>
      </c>
      <c r="N109" t="n">
        <v>0</v>
      </c>
      <c r="O109" t="n">
        <v>0</v>
      </c>
      <c r="P109" t="n">
        <v>1</v>
      </c>
      <c r="Q109" t="n">
        <v>39.97123706258232</v>
      </c>
      <c r="R109" t="n">
        <v>3.759482338398942</v>
      </c>
      <c r="S109" t="n">
        <v>3.78133990957665</v>
      </c>
      <c r="T109" t="n">
        <v>0.3288121660501485</v>
      </c>
      <c r="U109" t="n">
        <v>0.0599721059972106</v>
      </c>
      <c r="V109" t="n">
        <v>0.5662482566248257</v>
      </c>
      <c r="W109" t="n">
        <v>0.7949790794979079</v>
      </c>
      <c r="X109" t="n">
        <v>0.3239996683515026</v>
      </c>
      <c r="Y109" t="n">
        <v>8.183068283190456</v>
      </c>
      <c r="Z109" t="n">
        <v>0.5973749148313588</v>
      </c>
      <c r="AA109" t="n">
        <v>0</v>
      </c>
    </row>
    <row r="110">
      <c r="A110" t="inlineStr">
        <is>
          <t>2021-07-29</t>
        </is>
      </c>
      <c r="B110" t="inlineStr">
        <is>
          <t>NW</t>
        </is>
      </c>
      <c r="C110" t="inlineStr">
        <is>
          <t>NW</t>
        </is>
      </c>
      <c r="D110" t="n">
        <v>21.12097863394885</v>
      </c>
      <c r="E110" t="n">
        <v>0.3419865993430233</v>
      </c>
      <c r="F110" t="n">
        <v>10.06842524309646</v>
      </c>
      <c r="G110" t="n">
        <v>0.7897371714643304</v>
      </c>
      <c r="H110" t="n">
        <v>0.7984981226533167</v>
      </c>
      <c r="I110" t="n">
        <v>0.5</v>
      </c>
      <c r="J110" t="n">
        <v>0.7352941176470588</v>
      </c>
      <c r="K110" t="n">
        <v>0.6677157174036119</v>
      </c>
      <c r="L110" t="b">
        <v>1</v>
      </c>
      <c r="M110" t="inlineStr">
        <is>
          <t>top_quartile_risk</t>
        </is>
      </c>
      <c r="N110" t="n">
        <v>39.97123706258253</v>
      </c>
      <c r="O110" t="n">
        <v>1</v>
      </c>
      <c r="P110" t="n">
        <v>0</v>
      </c>
      <c r="Q110" t="n">
        <v>0</v>
      </c>
      <c r="U110" t="n">
        <v>0.5</v>
      </c>
      <c r="V110" t="n">
        <v>0.5</v>
      </c>
      <c r="W110" t="n">
        <v>0.5</v>
      </c>
      <c r="X110" t="n">
        <v>0.3419865993430232</v>
      </c>
      <c r="Y110" t="n">
        <v>10.06842524309646</v>
      </c>
      <c r="Z110" t="n">
        <v>0.7352941176470588</v>
      </c>
      <c r="AA110" t="n">
        <v>0</v>
      </c>
    </row>
    <row r="111">
      <c r="A111" t="inlineStr">
        <is>
          <t>2021-08-03</t>
        </is>
      </c>
      <c r="B111" t="inlineStr">
        <is>
          <t>CW</t>
        </is>
      </c>
      <c r="C111" t="inlineStr">
        <is>
          <t>09:20+</t>
        </is>
      </c>
      <c r="D111" t="n">
        <v>-37.70049702869648</v>
      </c>
      <c r="E111" t="n">
        <v>0.3316770313478548</v>
      </c>
      <c r="F111" t="n">
        <v>8.777316551778922</v>
      </c>
      <c r="G111" t="n">
        <v>0.7446808510638298</v>
      </c>
      <c r="H111" t="n">
        <v>0.6470588235294118</v>
      </c>
      <c r="I111" t="n">
        <v>0.0883310088331009</v>
      </c>
      <c r="J111" t="n">
        <v>0.5743620716039167</v>
      </c>
      <c r="K111" t="n">
        <v>0.6677157174036119</v>
      </c>
      <c r="L111" t="b">
        <v>0</v>
      </c>
      <c r="N111" t="n">
        <v>18.85025842863388</v>
      </c>
      <c r="O111" t="n">
        <v>0</v>
      </c>
      <c r="P111" t="n">
        <v>1</v>
      </c>
      <c r="Q111" t="n">
        <v>37.70049702869648</v>
      </c>
      <c r="R111" t="n">
        <v>2.004033116646569</v>
      </c>
      <c r="S111" t="n">
        <v>0.9286775631500954</v>
      </c>
      <c r="T111" t="n">
        <v>0.1857355126300096</v>
      </c>
      <c r="U111" t="n">
        <v>0.005578800557880056</v>
      </c>
      <c r="V111" t="n">
        <v>0.02231520223152022</v>
      </c>
      <c r="W111" t="n">
        <v>0.2370990237099024</v>
      </c>
      <c r="X111" t="n">
        <v>0.3316770313478548</v>
      </c>
      <c r="Y111" t="n">
        <v>8.77731655177892</v>
      </c>
      <c r="Z111" t="n">
        <v>0.5743620716039167</v>
      </c>
      <c r="AA111" t="n">
        <v>0</v>
      </c>
    </row>
    <row r="112">
      <c r="A112" t="inlineStr">
        <is>
          <t>2021-08-04</t>
        </is>
      </c>
      <c r="B112" t="inlineStr">
        <is>
          <t>CW</t>
        </is>
      </c>
      <c r="C112" t="inlineStr">
        <is>
          <t>09:16</t>
        </is>
      </c>
      <c r="D112" t="n">
        <v>35.58490955934822</v>
      </c>
      <c r="E112" t="n">
        <v>0.11889454363661</v>
      </c>
      <c r="F112" t="n">
        <v>5.150446726572726</v>
      </c>
      <c r="G112" t="n">
        <v>0.005006257822277847</v>
      </c>
      <c r="H112" t="n">
        <v>0.1551939924906133</v>
      </c>
      <c r="I112" t="n">
        <v>0.9535099953509997</v>
      </c>
      <c r="J112" t="n">
        <v>0.2547820991953564</v>
      </c>
      <c r="K112" t="n">
        <v>0.6677157174036119</v>
      </c>
      <c r="L112" t="b">
        <v>0</v>
      </c>
      <c r="N112" t="n">
        <v>56.55075545733052</v>
      </c>
      <c r="O112" t="n">
        <v>1</v>
      </c>
      <c r="P112" t="n">
        <v>0</v>
      </c>
      <c r="Q112" t="n">
        <v>0</v>
      </c>
      <c r="R112" t="n">
        <v>33.7456429871365</v>
      </c>
      <c r="S112" t="n">
        <v>21.80616740088104</v>
      </c>
      <c r="T112" t="n">
        <v>0.5873715124816479</v>
      </c>
      <c r="U112" t="n">
        <v>0.9191073919107392</v>
      </c>
      <c r="V112" t="n">
        <v>0.9665271966527197</v>
      </c>
      <c r="W112" t="n">
        <v>0.9748953974895398</v>
      </c>
      <c r="X112" t="n">
        <v>0.11889454363661</v>
      </c>
      <c r="Y112" t="n">
        <v>5.150446726572726</v>
      </c>
      <c r="Z112" t="n">
        <v>0.2547820991953564</v>
      </c>
      <c r="AA112" t="n">
        <v>0</v>
      </c>
    </row>
    <row r="113">
      <c r="A113" t="inlineStr">
        <is>
          <t>2021-08-05</t>
        </is>
      </c>
      <c r="B113" t="inlineStr">
        <is>
          <t>NW</t>
        </is>
      </c>
      <c r="C113" t="inlineStr">
        <is>
          <t>NW</t>
        </is>
      </c>
      <c r="D113" t="n">
        <v>13.95740437851098</v>
      </c>
      <c r="E113" t="n">
        <v>0.3399971163042783</v>
      </c>
      <c r="F113" t="n">
        <v>9.719301576914402</v>
      </c>
      <c r="G113" t="n">
        <v>0.7834793491864831</v>
      </c>
      <c r="H113" t="n">
        <v>0.753441802252816</v>
      </c>
      <c r="I113" t="n">
        <v>0.5</v>
      </c>
      <c r="J113" t="n">
        <v>0.7147684605757197</v>
      </c>
      <c r="K113" t="n">
        <v>0.6677157174036119</v>
      </c>
      <c r="L113" t="b">
        <v>1</v>
      </c>
      <c r="M113" t="inlineStr">
        <is>
          <t>top_quartile_risk</t>
        </is>
      </c>
      <c r="N113" t="n">
        <v>20.96584589798249</v>
      </c>
      <c r="O113" t="n">
        <v>0</v>
      </c>
      <c r="P113" t="n">
        <v>0</v>
      </c>
      <c r="Q113" t="n">
        <v>0</v>
      </c>
      <c r="U113" t="n">
        <v>0.5</v>
      </c>
      <c r="V113" t="n">
        <v>0.5</v>
      </c>
      <c r="W113" t="n">
        <v>0.5</v>
      </c>
      <c r="X113" t="n">
        <v>0.3399971163042784</v>
      </c>
      <c r="Y113" t="n">
        <v>9.719301576914402</v>
      </c>
      <c r="Z113" t="n">
        <v>0.7147684605757197</v>
      </c>
      <c r="AA113" t="n">
        <v>0</v>
      </c>
    </row>
    <row r="114">
      <c r="A114" t="inlineStr">
        <is>
          <t>2021-08-11</t>
        </is>
      </c>
      <c r="B114" t="inlineStr">
        <is>
          <t>CW</t>
        </is>
      </c>
      <c r="C114" t="inlineStr">
        <is>
          <t>09:20+</t>
        </is>
      </c>
      <c r="D114" t="n">
        <v>36.58325434952603</v>
      </c>
      <c r="E114" t="n">
        <v>0.3175792159845068</v>
      </c>
      <c r="F114" t="n">
        <v>10.46056631484146</v>
      </c>
      <c r="G114" t="n">
        <v>0.6570713391739674</v>
      </c>
      <c r="H114" t="n">
        <v>0.8360450563204005</v>
      </c>
      <c r="I114" t="n">
        <v>0.5550906555090656</v>
      </c>
      <c r="J114" t="n">
        <v>0.7082646892995603</v>
      </c>
      <c r="K114" t="n">
        <v>0.6677157174036119</v>
      </c>
      <c r="L114" t="b">
        <v>1</v>
      </c>
      <c r="M114" t="inlineStr">
        <is>
          <t>top_quartile_risk</t>
        </is>
      </c>
      <c r="N114" t="n">
        <v>7.008441519471489</v>
      </c>
      <c r="O114" t="n">
        <v>0</v>
      </c>
      <c r="P114" t="n">
        <v>0</v>
      </c>
      <c r="Q114" t="n">
        <v>0</v>
      </c>
      <c r="R114" t="n">
        <v>7.615514768879233</v>
      </c>
      <c r="S114" t="n">
        <v>4.890604890604906</v>
      </c>
      <c r="T114" t="n">
        <v>0.2574002574002672</v>
      </c>
      <c r="U114" t="n">
        <v>0.3626220362622036</v>
      </c>
      <c r="V114" t="n">
        <v>0.6861924686192469</v>
      </c>
      <c r="W114" t="n">
        <v>0.6164574616457462</v>
      </c>
      <c r="X114" t="n">
        <v>0.3175792159845068</v>
      </c>
      <c r="Y114" t="n">
        <v>10.46056631484146</v>
      </c>
      <c r="Z114" t="n">
        <v>0.7082646892995603</v>
      </c>
      <c r="AA114" t="n">
        <v>0</v>
      </c>
    </row>
    <row r="115">
      <c r="A115" t="inlineStr">
        <is>
          <t>2021-08-12</t>
        </is>
      </c>
      <c r="B115" t="inlineStr">
        <is>
          <t>NW</t>
        </is>
      </c>
      <c r="C115" t="inlineStr">
        <is>
          <t>NW</t>
        </is>
      </c>
      <c r="D115" t="n">
        <v>21.64078277673477</v>
      </c>
      <c r="E115" t="n">
        <v>0.3210237390045462</v>
      </c>
      <c r="F115" t="n">
        <v>9.129902095813984</v>
      </c>
      <c r="G115" t="n">
        <v>0.6783479349186483</v>
      </c>
      <c r="H115" t="n">
        <v>0.6958698372966208</v>
      </c>
      <c r="I115" t="n">
        <v>0.5</v>
      </c>
      <c r="J115" t="n">
        <v>0.6496871088861077</v>
      </c>
      <c r="K115" t="n">
        <v>0.6677157174036119</v>
      </c>
      <c r="L115" t="b">
        <v>0</v>
      </c>
      <c r="N115" t="n">
        <v>0</v>
      </c>
      <c r="O115" t="n">
        <v>0</v>
      </c>
      <c r="P115" t="n">
        <v>0</v>
      </c>
      <c r="Q115" t="n">
        <v>0</v>
      </c>
      <c r="U115" t="n">
        <v>0.5</v>
      </c>
      <c r="V115" t="n">
        <v>0.5</v>
      </c>
      <c r="W115" t="n">
        <v>0.5</v>
      </c>
      <c r="X115" t="n">
        <v>0.3210237390045462</v>
      </c>
      <c r="Y115" t="n">
        <v>9.129902095813986</v>
      </c>
      <c r="Z115" t="n">
        <v>0.6496871088861077</v>
      </c>
      <c r="AA115" t="n">
        <v>0</v>
      </c>
    </row>
    <row r="116">
      <c r="A116" t="inlineStr">
        <is>
          <t>2021-08-16</t>
        </is>
      </c>
      <c r="B116" t="inlineStr">
        <is>
          <t>CW</t>
        </is>
      </c>
      <c r="C116" t="inlineStr">
        <is>
          <t>09:18</t>
        </is>
      </c>
      <c r="D116" t="n">
        <v>11.30336195600621</v>
      </c>
      <c r="E116" t="n">
        <v>0.3029458986411203</v>
      </c>
      <c r="F116" t="n">
        <v>6.537792469939458</v>
      </c>
      <c r="G116" t="n">
        <v>0.5832290362953693</v>
      </c>
      <c r="H116" t="n">
        <v>0.3479349186483104</v>
      </c>
      <c r="I116" t="n">
        <v>0.3152022315202231</v>
      </c>
      <c r="J116" t="n">
        <v>0.4355060282815166</v>
      </c>
      <c r="K116" t="n">
        <v>0.6677157174036119</v>
      </c>
      <c r="L116" t="b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8.519282076157696</v>
      </c>
      <c r="S116" t="n">
        <v>1.980830670926514</v>
      </c>
      <c r="T116" t="n">
        <v>0.1916932907348224</v>
      </c>
      <c r="U116" t="n">
        <v>0.4184100418410042</v>
      </c>
      <c r="V116" t="n">
        <v>0.2649930264993027</v>
      </c>
      <c r="W116" t="n">
        <v>0.2622036262203626</v>
      </c>
      <c r="X116" t="n">
        <v>0.3029458986411203</v>
      </c>
      <c r="Y116" t="n">
        <v>6.537792469939459</v>
      </c>
      <c r="Z116" t="n">
        <v>0.4355060282815166</v>
      </c>
      <c r="AA116" t="n">
        <v>0</v>
      </c>
    </row>
    <row r="117">
      <c r="A117" t="inlineStr">
        <is>
          <t>2021-08-17</t>
        </is>
      </c>
      <c r="B117" t="inlineStr">
        <is>
          <t>CW</t>
        </is>
      </c>
      <c r="C117" t="inlineStr">
        <is>
          <t>09:16</t>
        </is>
      </c>
      <c r="D117" t="n">
        <v>-4.976756064130234</v>
      </c>
      <c r="E117" t="n">
        <v>0.2598213445422023</v>
      </c>
      <c r="F117" t="n">
        <v>5.792859727028087</v>
      </c>
      <c r="G117" t="n">
        <v>0.3329161451814768</v>
      </c>
      <c r="H117" t="n">
        <v>0.2403003754693367</v>
      </c>
      <c r="I117" t="n">
        <v>0.7182705718270572</v>
      </c>
      <c r="J117" t="n">
        <v>0.3729407226257369</v>
      </c>
      <c r="K117" t="n">
        <v>0.6677157174036119</v>
      </c>
      <c r="L117" t="b">
        <v>0</v>
      </c>
      <c r="N117" t="n">
        <v>0</v>
      </c>
      <c r="O117" t="n">
        <v>0</v>
      </c>
      <c r="P117" t="n">
        <v>1</v>
      </c>
      <c r="Q117" t="n">
        <v>4.976756064130234</v>
      </c>
      <c r="R117" t="n">
        <v>11.65130812413719</v>
      </c>
      <c r="S117" t="n">
        <v>8.079669297256691</v>
      </c>
      <c r="T117" t="n">
        <v>0.3006388575723455</v>
      </c>
      <c r="U117" t="n">
        <v>0.5829846582984658</v>
      </c>
      <c r="V117" t="n">
        <v>0.8256624825662483</v>
      </c>
      <c r="W117" t="n">
        <v>0.7461645746164575</v>
      </c>
      <c r="X117" t="n">
        <v>0.2598213445422023</v>
      </c>
      <c r="Y117" t="n">
        <v>5.792859727028088</v>
      </c>
      <c r="Z117" t="n">
        <v>0.3729407226257369</v>
      </c>
      <c r="AA117" t="n">
        <v>-5.551115123125783e-17</v>
      </c>
    </row>
    <row r="118">
      <c r="A118" t="inlineStr">
        <is>
          <t>2021-08-30</t>
        </is>
      </c>
      <c r="B118" t="inlineStr">
        <is>
          <t>CW</t>
        </is>
      </c>
      <c r="C118" t="inlineStr">
        <is>
          <t>09:18</t>
        </is>
      </c>
      <c r="D118" t="n">
        <v>-25.48318067941238</v>
      </c>
      <c r="E118" t="n">
        <v>0.3269638190629369</v>
      </c>
      <c r="F118" t="n">
        <v>9.22720508231175</v>
      </c>
      <c r="G118" t="n">
        <v>0.7158948685857321</v>
      </c>
      <c r="H118" t="n">
        <v>0.7083854818523154</v>
      </c>
      <c r="I118" t="n">
        <v>0.2807996280799628</v>
      </c>
      <c r="J118" t="n">
        <v>0.6258720657912116</v>
      </c>
      <c r="K118" t="n">
        <v>0.6677157174036119</v>
      </c>
      <c r="L118" t="b">
        <v>0</v>
      </c>
      <c r="N118" t="n">
        <v>4.976756064130313</v>
      </c>
      <c r="O118" t="n">
        <v>1</v>
      </c>
      <c r="P118" t="n">
        <v>1</v>
      </c>
      <c r="Q118" t="n">
        <v>25.48318067941238</v>
      </c>
      <c r="R118" t="n">
        <v>7.237592592041898</v>
      </c>
      <c r="S118" t="n">
        <v>1.452344931921352</v>
      </c>
      <c r="T118" t="n">
        <v>0.2118003025718574</v>
      </c>
      <c r="U118" t="n">
        <v>0.3319386331938633</v>
      </c>
      <c r="V118" t="n">
        <v>0.1199442119944212</v>
      </c>
      <c r="W118" t="n">
        <v>0.3905160390516039</v>
      </c>
      <c r="X118" t="n">
        <v>0.3269638190629369</v>
      </c>
      <c r="Y118" t="n">
        <v>9.22720508231175</v>
      </c>
      <c r="Z118" t="n">
        <v>0.6258720657912116</v>
      </c>
      <c r="AA118" t="n">
        <v>0</v>
      </c>
    </row>
    <row r="119">
      <c r="A119" t="inlineStr">
        <is>
          <t>2021-08-31</t>
        </is>
      </c>
      <c r="B119" t="inlineStr">
        <is>
          <t>CW</t>
        </is>
      </c>
      <c r="C119" t="inlineStr">
        <is>
          <t>09:17</t>
        </is>
      </c>
      <c r="D119" t="n">
        <v>-39.39564160522611</v>
      </c>
      <c r="E119" t="n">
        <v>0.2461915759433144</v>
      </c>
      <c r="F119" t="n">
        <v>6.405477229819196</v>
      </c>
      <c r="G119" t="n">
        <v>0.2478097622027534</v>
      </c>
      <c r="H119" t="n">
        <v>0.327909887359199</v>
      </c>
      <c r="I119" t="n">
        <v>0.4681543468154347</v>
      </c>
      <c r="J119" t="n">
        <v>0.323918729187868</v>
      </c>
      <c r="K119" t="n">
        <v>0.6677157174036119</v>
      </c>
      <c r="L119" t="b">
        <v>0</v>
      </c>
      <c r="N119" t="n">
        <v>30.45993674354258</v>
      </c>
      <c r="O119" t="n">
        <v>2</v>
      </c>
      <c r="P119" t="n">
        <v>1</v>
      </c>
      <c r="Q119" t="n">
        <v>39.39564160522611</v>
      </c>
      <c r="R119" t="n">
        <v>6.960933236981003</v>
      </c>
      <c r="S119" t="n">
        <v>3.973727422003292</v>
      </c>
      <c r="T119" t="n">
        <v>0.2298850574712699</v>
      </c>
      <c r="U119" t="n">
        <v>0.3096234309623431</v>
      </c>
      <c r="V119" t="n">
        <v>0.592747559274756</v>
      </c>
      <c r="W119" t="n">
        <v>0.502092050209205</v>
      </c>
      <c r="X119" t="n">
        <v>0.2461915759433144</v>
      </c>
      <c r="Y119" t="n">
        <v>6.405477229819195</v>
      </c>
      <c r="Z119" t="n">
        <v>0.323918729187868</v>
      </c>
      <c r="AA119" t="n">
        <v>-5.551115123125783e-17</v>
      </c>
    </row>
    <row r="120">
      <c r="A120" t="inlineStr">
        <is>
          <t>2021-09-02</t>
        </is>
      </c>
      <c r="B120" t="inlineStr">
        <is>
          <t>NW</t>
        </is>
      </c>
      <c r="C120" t="inlineStr">
        <is>
          <t>NW</t>
        </is>
      </c>
      <c r="D120" t="n">
        <v>-8.554281140347468</v>
      </c>
      <c r="E120" t="n">
        <v>0.3440059281351929</v>
      </c>
      <c r="F120" t="n">
        <v>10.72792739075483</v>
      </c>
      <c r="G120" t="n">
        <v>0.7984981226533167</v>
      </c>
      <c r="H120" t="n">
        <v>0.8598247809762203</v>
      </c>
      <c r="I120" t="n">
        <v>0.5</v>
      </c>
      <c r="J120" t="n">
        <v>0.7633291614518148</v>
      </c>
      <c r="K120" t="n">
        <v>0.6677157174036119</v>
      </c>
      <c r="L120" t="b">
        <v>1</v>
      </c>
      <c r="M120" t="inlineStr">
        <is>
          <t>top_quartile_risk</t>
        </is>
      </c>
      <c r="N120" t="n">
        <v>69.85557834876863</v>
      </c>
      <c r="O120" t="n">
        <v>3</v>
      </c>
      <c r="P120" t="n">
        <v>1</v>
      </c>
      <c r="Q120" t="n">
        <v>8.554281140347468</v>
      </c>
      <c r="U120" t="n">
        <v>0.5</v>
      </c>
      <c r="V120" t="n">
        <v>0.5</v>
      </c>
      <c r="W120" t="n">
        <v>0.5</v>
      </c>
      <c r="X120" t="n">
        <v>0.344005928135193</v>
      </c>
      <c r="Y120" t="n">
        <v>10.72792739075483</v>
      </c>
      <c r="Z120" t="n">
        <v>0.7633291614518148</v>
      </c>
      <c r="AA120" t="n">
        <v>0</v>
      </c>
    </row>
    <row r="121">
      <c r="A121" t="inlineStr">
        <is>
          <t>2021-09-03</t>
        </is>
      </c>
      <c r="B121" t="inlineStr">
        <is>
          <t>CW</t>
        </is>
      </c>
      <c r="C121" t="inlineStr">
        <is>
          <t>09:16</t>
        </is>
      </c>
      <c r="D121" t="n">
        <v>9.628290258616023</v>
      </c>
      <c r="E121" t="n">
        <v>0.1748940015031521</v>
      </c>
      <c r="F121" t="n">
        <v>6.773507680642926</v>
      </c>
      <c r="G121" t="n">
        <v>0.05256570713391739</v>
      </c>
      <c r="H121" t="n">
        <v>0.3892365456821026</v>
      </c>
      <c r="I121" t="n">
        <v>0.7954439795443978</v>
      </c>
      <c r="J121" t="n">
        <v>0.3358096970352876</v>
      </c>
      <c r="K121" t="n">
        <v>0.6677157174036119</v>
      </c>
      <c r="L121" t="b">
        <v>0</v>
      </c>
      <c r="N121" t="n">
        <v>78.40985948911612</v>
      </c>
      <c r="O121" t="n">
        <v>4</v>
      </c>
      <c r="P121" t="n">
        <v>0</v>
      </c>
      <c r="Q121" t="n">
        <v>0</v>
      </c>
      <c r="R121" t="n">
        <v>14.54837841980767</v>
      </c>
      <c r="S121" t="n">
        <v>7.928278245841444</v>
      </c>
      <c r="T121" t="n">
        <v>0.3888528839922192</v>
      </c>
      <c r="U121" t="n">
        <v>0.694560669456067</v>
      </c>
      <c r="V121" t="n">
        <v>0.8186889818688982</v>
      </c>
      <c r="W121" t="n">
        <v>0.8730822873082287</v>
      </c>
      <c r="X121" t="n">
        <v>0.1748940015031521</v>
      </c>
      <c r="Y121" t="n">
        <v>6.773507680642925</v>
      </c>
      <c r="Z121" t="n">
        <v>0.3358096970352876</v>
      </c>
      <c r="AA121" t="n">
        <v>0</v>
      </c>
    </row>
    <row r="122">
      <c r="A122" t="inlineStr">
        <is>
          <t>2021-09-06</t>
        </is>
      </c>
      <c r="B122" t="inlineStr">
        <is>
          <t>CW</t>
        </is>
      </c>
      <c r="C122" t="inlineStr">
        <is>
          <t>09:17</t>
        </is>
      </c>
      <c r="D122" t="n">
        <v>22.11719554594082</v>
      </c>
      <c r="E122" t="n">
        <v>0.2771248995812307</v>
      </c>
      <c r="F122" t="n">
        <v>8.269467289290949</v>
      </c>
      <c r="G122" t="n">
        <v>0.4455569461827284</v>
      </c>
      <c r="H122" t="n">
        <v>0.5757196495619524</v>
      </c>
      <c r="I122" t="n">
        <v>0.5560204556020456</v>
      </c>
      <c r="J122" t="n">
        <v>0.5197147294182816</v>
      </c>
      <c r="K122" t="n">
        <v>0.6677157174036119</v>
      </c>
      <c r="L122" t="b">
        <v>0</v>
      </c>
      <c r="N122" t="n">
        <v>68.78156923050028</v>
      </c>
      <c r="O122" t="n">
        <v>0</v>
      </c>
      <c r="P122" t="n">
        <v>0</v>
      </c>
      <c r="Q122" t="n">
        <v>0</v>
      </c>
      <c r="R122" t="n">
        <v>6.901966197620546</v>
      </c>
      <c r="S122" t="n">
        <v>4.692680438663601</v>
      </c>
      <c r="T122" t="n">
        <v>0.2805406783983735</v>
      </c>
      <c r="U122" t="n">
        <v>0.3040446304044631</v>
      </c>
      <c r="V122" t="n">
        <v>0.6638772663877266</v>
      </c>
      <c r="W122" t="n">
        <v>0.7001394700139471</v>
      </c>
      <c r="X122" t="n">
        <v>0.2771248995812307</v>
      </c>
      <c r="Y122" t="n">
        <v>8.269467289290951</v>
      </c>
      <c r="Z122" t="n">
        <v>0.5197147294182816</v>
      </c>
      <c r="AA122" t="n">
        <v>0</v>
      </c>
    </row>
    <row r="123">
      <c r="A123" t="inlineStr">
        <is>
          <t>2021-09-07</t>
        </is>
      </c>
      <c r="B123" t="inlineStr">
        <is>
          <t>CW</t>
        </is>
      </c>
      <c r="C123" t="inlineStr">
        <is>
          <t>09:17</t>
        </is>
      </c>
      <c r="D123" t="n">
        <v>28.57961948255728</v>
      </c>
      <c r="E123" t="n">
        <v>0.278224177466624</v>
      </c>
      <c r="F123" t="n">
        <v>7.31855120229942</v>
      </c>
      <c r="G123" t="n">
        <v>0.4555694618272841</v>
      </c>
      <c r="H123" t="n">
        <v>0.4518147684605757</v>
      </c>
      <c r="I123" t="n">
        <v>0.2408182240818224</v>
      </c>
      <c r="J123" t="n">
        <v>0.4111173369315084</v>
      </c>
      <c r="K123" t="n">
        <v>0.6677157174036119</v>
      </c>
      <c r="L123" t="b">
        <v>0</v>
      </c>
      <c r="N123" t="n">
        <v>46.66437368455945</v>
      </c>
      <c r="O123" t="n">
        <v>0</v>
      </c>
      <c r="P123" t="n">
        <v>0</v>
      </c>
      <c r="Q123" t="n">
        <v>0</v>
      </c>
      <c r="R123" t="n">
        <v>5.549868298462977</v>
      </c>
      <c r="S123" t="n">
        <v>1.170759565962314</v>
      </c>
      <c r="T123" t="n">
        <v>0.2284408909194778</v>
      </c>
      <c r="U123" t="n">
        <v>0.1729428172942817</v>
      </c>
      <c r="V123" t="n">
        <v>0.0599721059972106</v>
      </c>
      <c r="W123" t="n">
        <v>0.4895397489539749</v>
      </c>
      <c r="X123" t="n">
        <v>0.278224177466624</v>
      </c>
      <c r="Y123" t="n">
        <v>7.318551202299419</v>
      </c>
      <c r="Z123" t="n">
        <v>0.4111173369315084</v>
      </c>
      <c r="AA123" t="n">
        <v>0</v>
      </c>
    </row>
    <row r="124">
      <c r="A124" t="inlineStr">
        <is>
          <t>2021-09-08</t>
        </is>
      </c>
      <c r="B124" t="inlineStr">
        <is>
          <t>CW</t>
        </is>
      </c>
      <c r="C124" t="inlineStr">
        <is>
          <t>09:17</t>
        </is>
      </c>
      <c r="D124" t="n">
        <v>45.37425733664639</v>
      </c>
      <c r="E124" t="n">
        <v>0.2763594248168408</v>
      </c>
      <c r="F124" t="n">
        <v>8.257416042997136</v>
      </c>
      <c r="G124" t="n">
        <v>0.4380475594493116</v>
      </c>
      <c r="H124" t="n">
        <v>0.5732165206508135</v>
      </c>
      <c r="I124" t="n">
        <v>0.6080892608089261</v>
      </c>
      <c r="J124" t="n">
        <v>0.5261234842018353</v>
      </c>
      <c r="K124" t="n">
        <v>0.6677157174036119</v>
      </c>
      <c r="L124" t="b">
        <v>0</v>
      </c>
      <c r="N124" t="n">
        <v>18.08475420200239</v>
      </c>
      <c r="O124" t="n">
        <v>0</v>
      </c>
      <c r="P124" t="n">
        <v>0</v>
      </c>
      <c r="Q124" t="n">
        <v>0</v>
      </c>
      <c r="R124" t="n">
        <v>10.31521927044399</v>
      </c>
      <c r="S124" t="n">
        <v>3.208955223880605</v>
      </c>
      <c r="T124" t="n">
        <v>0.3358208955223902</v>
      </c>
      <c r="U124" t="n">
        <v>0.5202231520223152</v>
      </c>
      <c r="V124" t="n">
        <v>0.495118549511855</v>
      </c>
      <c r="W124" t="n">
        <v>0.8089260808926081</v>
      </c>
      <c r="X124" t="n">
        <v>0.2763594248168409</v>
      </c>
      <c r="Y124" t="n">
        <v>8.257416042997134</v>
      </c>
      <c r="Z124" t="n">
        <v>0.5261234842018353</v>
      </c>
      <c r="AA124" t="n">
        <v>0</v>
      </c>
    </row>
    <row r="125">
      <c r="A125" t="inlineStr">
        <is>
          <t>2021-09-09</t>
        </is>
      </c>
      <c r="B125" t="inlineStr">
        <is>
          <t>NW</t>
        </is>
      </c>
      <c r="C125" t="inlineStr">
        <is>
          <t>NW</t>
        </is>
      </c>
      <c r="D125" t="n">
        <v>12.34978216967332</v>
      </c>
      <c r="E125" t="n">
        <v>0.3431033000968597</v>
      </c>
      <c r="F125" t="n">
        <v>10.10351646039357</v>
      </c>
      <c r="G125" t="n">
        <v>0.7947434292866082</v>
      </c>
      <c r="H125" t="n">
        <v>0.8010012515644556</v>
      </c>
      <c r="I125" t="n">
        <v>0.5</v>
      </c>
      <c r="J125" t="n">
        <v>0.7382978723404255</v>
      </c>
      <c r="K125" t="n">
        <v>0.6677157174036119</v>
      </c>
      <c r="L125" t="b">
        <v>1</v>
      </c>
      <c r="M125" t="inlineStr">
        <is>
          <t>top_quartile_risk</t>
        </is>
      </c>
      <c r="N125" t="n">
        <v>0</v>
      </c>
      <c r="O125" t="n">
        <v>0</v>
      </c>
      <c r="P125" t="n">
        <v>0</v>
      </c>
      <c r="Q125" t="n">
        <v>0</v>
      </c>
      <c r="U125" t="n">
        <v>0.5</v>
      </c>
      <c r="V125" t="n">
        <v>0.5</v>
      </c>
      <c r="W125" t="n">
        <v>0.5</v>
      </c>
      <c r="X125" t="n">
        <v>0.3431033000968597</v>
      </c>
      <c r="Y125" t="n">
        <v>10.10351646039357</v>
      </c>
      <c r="Z125" t="n">
        <v>0.7382978723404255</v>
      </c>
      <c r="AA125" t="n">
        <v>0</v>
      </c>
    </row>
    <row r="126">
      <c r="A126" t="inlineStr">
        <is>
          <t>2021-09-13</t>
        </is>
      </c>
      <c r="B126" t="inlineStr">
        <is>
          <t>CW</t>
        </is>
      </c>
      <c r="C126" t="inlineStr">
        <is>
          <t>09:16</t>
        </is>
      </c>
      <c r="D126" t="n">
        <v>37.21134696502732</v>
      </c>
      <c r="E126" t="n">
        <v>0.2836952885270208</v>
      </c>
      <c r="F126" t="n">
        <v>7.724765695357069</v>
      </c>
      <c r="G126" t="n">
        <v>0.4806007509386733</v>
      </c>
      <c r="H126" t="n">
        <v>0.5168961201501877</v>
      </c>
      <c r="I126" t="n">
        <v>0.7187354718735471</v>
      </c>
      <c r="J126" t="n">
        <v>0.5427458428102538</v>
      </c>
      <c r="K126" t="n">
        <v>0.6677157174036119</v>
      </c>
      <c r="L126" t="b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21.5836264532145</v>
      </c>
      <c r="S126" t="n">
        <v>3.946706887883356</v>
      </c>
      <c r="T126" t="n">
        <v>0.3016591251885412</v>
      </c>
      <c r="U126" t="n">
        <v>0.8172942817294282</v>
      </c>
      <c r="V126" t="n">
        <v>0.5899581589958159</v>
      </c>
      <c r="W126" t="n">
        <v>0.7489539748953975</v>
      </c>
      <c r="X126" t="n">
        <v>0.2836952885270209</v>
      </c>
      <c r="Y126" t="n">
        <v>7.724765695357068</v>
      </c>
      <c r="Z126" t="n">
        <v>0.5427458428102538</v>
      </c>
      <c r="AA126" t="n">
        <v>0</v>
      </c>
    </row>
    <row r="127">
      <c r="A127" t="inlineStr">
        <is>
          <t>2021-09-22</t>
        </is>
      </c>
      <c r="B127" t="inlineStr">
        <is>
          <t>NW</t>
        </is>
      </c>
      <c r="C127" t="inlineStr">
        <is>
          <t>NW</t>
        </is>
      </c>
      <c r="D127" t="n">
        <v>10.09502286112348</v>
      </c>
      <c r="E127" t="n">
        <v>0.4007027297538704</v>
      </c>
      <c r="F127" t="n">
        <v>12.38145796965575</v>
      </c>
      <c r="G127" t="n">
        <v>0.9449311639549437</v>
      </c>
      <c r="H127" t="n">
        <v>0.9386733416770964</v>
      </c>
      <c r="I127" t="n">
        <v>0.5</v>
      </c>
      <c r="J127" t="n">
        <v>0.8534418022528161</v>
      </c>
      <c r="K127" t="n">
        <v>0.6677157174036119</v>
      </c>
      <c r="L127" t="b">
        <v>1</v>
      </c>
      <c r="M127" t="inlineStr">
        <is>
          <t>top_quartile_risk</t>
        </is>
      </c>
      <c r="N127" t="n">
        <v>0</v>
      </c>
      <c r="O127" t="n">
        <v>0</v>
      </c>
      <c r="P127" t="n">
        <v>0</v>
      </c>
      <c r="Q127" t="n">
        <v>0</v>
      </c>
      <c r="U127" t="n">
        <v>0.5</v>
      </c>
      <c r="V127" t="n">
        <v>0.5</v>
      </c>
      <c r="W127" t="n">
        <v>0.5</v>
      </c>
      <c r="X127" t="n">
        <v>0.4007027297538704</v>
      </c>
      <c r="Y127" t="n">
        <v>12.38145796965575</v>
      </c>
      <c r="Z127" t="n">
        <v>0.8534418022528161</v>
      </c>
      <c r="AA127" t="n">
        <v>0</v>
      </c>
    </row>
    <row r="128">
      <c r="A128" t="inlineStr">
        <is>
          <t>2021-09-23</t>
        </is>
      </c>
      <c r="B128" t="inlineStr">
        <is>
          <t>NW</t>
        </is>
      </c>
      <c r="C128" t="inlineStr">
        <is>
          <t>NW</t>
        </is>
      </c>
      <c r="D128" t="n">
        <v>-38.82769664189917</v>
      </c>
      <c r="E128" t="n">
        <v>0.3843176576684627</v>
      </c>
      <c r="F128" t="n">
        <v>11.61461470564914</v>
      </c>
      <c r="G128" t="n">
        <v>0.9123904881101377</v>
      </c>
      <c r="H128" t="n">
        <v>0.9073842302878599</v>
      </c>
      <c r="I128" t="n">
        <v>0.5</v>
      </c>
      <c r="J128" t="n">
        <v>0.827909887359199</v>
      </c>
      <c r="K128" t="n">
        <v>0.6677157174036119</v>
      </c>
      <c r="L128" t="b">
        <v>1</v>
      </c>
      <c r="M128" t="inlineStr">
        <is>
          <t>top_quartile_risk</t>
        </is>
      </c>
      <c r="N128" t="n">
        <v>0</v>
      </c>
      <c r="O128" t="n">
        <v>0</v>
      </c>
      <c r="P128" t="n">
        <v>1</v>
      </c>
      <c r="Q128" t="n">
        <v>38.82769664189917</v>
      </c>
      <c r="U128" t="n">
        <v>0.5</v>
      </c>
      <c r="V128" t="n">
        <v>0.5</v>
      </c>
      <c r="W128" t="n">
        <v>0.5</v>
      </c>
      <c r="X128" t="n">
        <v>0.3843176576684627</v>
      </c>
      <c r="Y128" t="n">
        <v>11.61461470564914</v>
      </c>
      <c r="Z128" t="n">
        <v>0.827909887359199</v>
      </c>
      <c r="AA128" t="n">
        <v>0</v>
      </c>
    </row>
    <row r="129">
      <c r="A129" t="inlineStr">
        <is>
          <t>2021-09-24</t>
        </is>
      </c>
      <c r="B129" t="inlineStr">
        <is>
          <t>CW</t>
        </is>
      </c>
      <c r="C129" t="inlineStr">
        <is>
          <t>09:16</t>
        </is>
      </c>
      <c r="D129" t="n">
        <v>30.7386816852367</v>
      </c>
      <c r="E129" t="n">
        <v>0.1596396020023321</v>
      </c>
      <c r="F129" t="n">
        <v>6.668294338935691</v>
      </c>
      <c r="G129" t="n">
        <v>0.03379224030037547</v>
      </c>
      <c r="H129" t="n">
        <v>0.3704630788485607</v>
      </c>
      <c r="I129" t="n">
        <v>0.8149697814969782</v>
      </c>
      <c r="J129" t="n">
        <v>0.3246960839589701</v>
      </c>
      <c r="K129" t="n">
        <v>0.6677157174036119</v>
      </c>
      <c r="L129" t="b">
        <v>0</v>
      </c>
      <c r="N129" t="n">
        <v>38.82769664189937</v>
      </c>
      <c r="O129" t="n">
        <v>1</v>
      </c>
      <c r="P129" t="n">
        <v>0</v>
      </c>
      <c r="Q129" t="n">
        <v>0</v>
      </c>
      <c r="R129" t="n">
        <v>69.57211750702707</v>
      </c>
      <c r="S129" t="n">
        <v>7.947387921452408</v>
      </c>
      <c r="T129" t="n">
        <v>0.2593553167839899</v>
      </c>
      <c r="U129" t="n">
        <v>0.99721059972106</v>
      </c>
      <c r="V129" t="n">
        <v>0.8200836820083682</v>
      </c>
      <c r="W129" t="n">
        <v>0.6276150627615062</v>
      </c>
      <c r="X129" t="n">
        <v>0.1596396020023321</v>
      </c>
      <c r="Y129" t="n">
        <v>6.668294338935693</v>
      </c>
      <c r="Z129" t="n">
        <v>0.3246960839589701</v>
      </c>
      <c r="AA129" t="n">
        <v>0</v>
      </c>
    </row>
    <row r="130">
      <c r="A130" t="inlineStr">
        <is>
          <t>2021-09-27</t>
        </is>
      </c>
      <c r="B130" t="inlineStr">
        <is>
          <t>CW</t>
        </is>
      </c>
      <c r="C130" t="inlineStr">
        <is>
          <t>09:17</t>
        </is>
      </c>
      <c r="D130" t="n">
        <v>11.3188751398951</v>
      </c>
      <c r="E130" t="n">
        <v>0.3210472632679235</v>
      </c>
      <c r="F130" t="n">
        <v>9.664452500280184</v>
      </c>
      <c r="G130" t="n">
        <v>0.6795994993742178</v>
      </c>
      <c r="H130" t="n">
        <v>0.7446808510638298</v>
      </c>
      <c r="I130" t="n">
        <v>0.3821478382147838</v>
      </c>
      <c r="J130" t="n">
        <v>0.6461417078181757</v>
      </c>
      <c r="K130" t="n">
        <v>0.6677157174036119</v>
      </c>
      <c r="L130" t="b">
        <v>0</v>
      </c>
      <c r="N130" t="n">
        <v>8.089014956662595</v>
      </c>
      <c r="O130" t="n">
        <v>0</v>
      </c>
      <c r="P130" t="n">
        <v>0</v>
      </c>
      <c r="Q130" t="n">
        <v>0</v>
      </c>
      <c r="R130" t="n">
        <v>9.041439933026776</v>
      </c>
      <c r="S130" t="n">
        <v>1.054284432480918</v>
      </c>
      <c r="T130" t="n">
        <v>0.2691790040376825</v>
      </c>
      <c r="U130" t="n">
        <v>0.4476987447698745</v>
      </c>
      <c r="V130" t="n">
        <v>0.03486750348675035</v>
      </c>
      <c r="W130" t="n">
        <v>0.6638772663877266</v>
      </c>
      <c r="X130" t="n">
        <v>0.3210472632679235</v>
      </c>
      <c r="Y130" t="n">
        <v>9.664452500280186</v>
      </c>
      <c r="Z130" t="n">
        <v>0.6461417078181757</v>
      </c>
      <c r="AA130" t="n">
        <v>0</v>
      </c>
    </row>
    <row r="131">
      <c r="A131" t="inlineStr">
        <is>
          <t>2021-09-28</t>
        </is>
      </c>
      <c r="B131" t="inlineStr">
        <is>
          <t>CW</t>
        </is>
      </c>
      <c r="C131" t="inlineStr">
        <is>
          <t>09:17</t>
        </is>
      </c>
      <c r="D131" t="n">
        <v>-46.73617850908662</v>
      </c>
      <c r="E131" t="n">
        <v>0.2765872642157788</v>
      </c>
      <c r="F131" t="n">
        <v>7.403301534091349</v>
      </c>
      <c r="G131" t="n">
        <v>0.4405506883604506</v>
      </c>
      <c r="H131" t="n">
        <v>0.458072590738423</v>
      </c>
      <c r="I131" t="n">
        <v>0.3324035332403533</v>
      </c>
      <c r="J131" t="n">
        <v>0.4259300182876202</v>
      </c>
      <c r="K131" t="n">
        <v>0.6677157174036119</v>
      </c>
      <c r="L131" t="b">
        <v>0</v>
      </c>
      <c r="N131" t="n">
        <v>0</v>
      </c>
      <c r="O131" t="n">
        <v>0</v>
      </c>
      <c r="P131" t="n">
        <v>1</v>
      </c>
      <c r="Q131" t="n">
        <v>46.73617850908662</v>
      </c>
      <c r="R131" t="n">
        <v>10.03404307650865</v>
      </c>
      <c r="S131" t="n">
        <v>2.020725388601054</v>
      </c>
      <c r="T131" t="n">
        <v>0.1813471502590717</v>
      </c>
      <c r="U131" t="n">
        <v>0.5076708507670851</v>
      </c>
      <c r="V131" t="n">
        <v>0.2747559274755927</v>
      </c>
      <c r="W131" t="n">
        <v>0.2147838214783822</v>
      </c>
      <c r="X131" t="n">
        <v>0.2765872642157788</v>
      </c>
      <c r="Y131" t="n">
        <v>7.40330153409135</v>
      </c>
      <c r="Z131" t="n">
        <v>0.4259300182876202</v>
      </c>
      <c r="AA131" t="n">
        <v>-5.551115123125783e-17</v>
      </c>
    </row>
    <row r="132">
      <c r="A132" t="inlineStr">
        <is>
          <t>2021-09-29</t>
        </is>
      </c>
      <c r="B132" t="inlineStr">
        <is>
          <t>CW</t>
        </is>
      </c>
      <c r="C132" t="inlineStr">
        <is>
          <t>09:16</t>
        </is>
      </c>
      <c r="D132" t="n">
        <v>53.89079930941845</v>
      </c>
      <c r="E132" t="n">
        <v>0.1869238356075551</v>
      </c>
      <c r="F132" t="n">
        <v>5.019462075184048</v>
      </c>
      <c r="G132" t="n">
        <v>0.07634543178973717</v>
      </c>
      <c r="H132" t="n">
        <v>0.1376720901126408</v>
      </c>
      <c r="I132" t="n">
        <v>0.9005113900511391</v>
      </c>
      <c r="J132" t="n">
        <v>0.265709286771179</v>
      </c>
      <c r="K132" t="n">
        <v>0.6677157174036119</v>
      </c>
      <c r="L132" t="b">
        <v>0</v>
      </c>
      <c r="N132" t="n">
        <v>46.73617850908659</v>
      </c>
      <c r="O132" t="n">
        <v>1</v>
      </c>
      <c r="P132" t="n">
        <v>0</v>
      </c>
      <c r="Q132" t="n">
        <v>0</v>
      </c>
      <c r="R132" t="n">
        <v>28.14641806359529</v>
      </c>
      <c r="S132" t="n">
        <v>11.67326172979084</v>
      </c>
      <c r="T132" t="n">
        <v>0.4239683436970039</v>
      </c>
      <c r="U132" t="n">
        <v>0.895397489539749</v>
      </c>
      <c r="V132" t="n">
        <v>0.902370990237099</v>
      </c>
      <c r="W132" t="n">
        <v>0.9037656903765691</v>
      </c>
      <c r="X132" t="n">
        <v>0.1869238356075551</v>
      </c>
      <c r="Y132" t="n">
        <v>5.019462075184046</v>
      </c>
      <c r="Z132" t="n">
        <v>0.265709286771179</v>
      </c>
      <c r="AA132" t="n">
        <v>0</v>
      </c>
    </row>
    <row r="133">
      <c r="A133" t="inlineStr">
        <is>
          <t>2021-09-30</t>
        </is>
      </c>
      <c r="B133" t="inlineStr">
        <is>
          <t>CW</t>
        </is>
      </c>
      <c r="C133" t="inlineStr">
        <is>
          <t>09:18</t>
        </is>
      </c>
      <c r="D133" t="n">
        <v>33.31170030221569</v>
      </c>
      <c r="E133" t="n">
        <v>0.3339303541754652</v>
      </c>
      <c r="F133" t="n">
        <v>10.06081049937612</v>
      </c>
      <c r="G133" t="n">
        <v>0.7546933667083855</v>
      </c>
      <c r="H133" t="n">
        <v>0.7959949937421777</v>
      </c>
      <c r="I133" t="n">
        <v>0.6145978614597861</v>
      </c>
      <c r="J133" t="n">
        <v>0.7431949164721826</v>
      </c>
      <c r="K133" t="n">
        <v>0.6677157174036119</v>
      </c>
      <c r="L133" t="b">
        <v>1</v>
      </c>
      <c r="M133" t="inlineStr">
        <is>
          <t>top_quartile_risk</t>
        </is>
      </c>
      <c r="N133" t="n">
        <v>0</v>
      </c>
      <c r="O133" t="n">
        <v>0</v>
      </c>
      <c r="P133" t="n">
        <v>0</v>
      </c>
      <c r="Q133" t="n">
        <v>0</v>
      </c>
      <c r="R133" t="n">
        <v>9.52426709775639</v>
      </c>
      <c r="S133" t="n">
        <v>4.748603351955301</v>
      </c>
      <c r="T133" t="n">
        <v>0.2793296089385448</v>
      </c>
      <c r="U133" t="n">
        <v>0.4783821478382148</v>
      </c>
      <c r="V133" t="n">
        <v>0.6680613668061367</v>
      </c>
      <c r="W133" t="n">
        <v>0.697350069735007</v>
      </c>
      <c r="X133" t="n">
        <v>0.3339303541754652</v>
      </c>
      <c r="Y133" t="n">
        <v>10.06081049937611</v>
      </c>
      <c r="Z133" t="n">
        <v>0.7431949164721826</v>
      </c>
      <c r="AA133" t="n">
        <v>0</v>
      </c>
    </row>
    <row r="134">
      <c r="A134" t="inlineStr">
        <is>
          <t>2021-10-01</t>
        </is>
      </c>
      <c r="B134" t="inlineStr">
        <is>
          <t>CW</t>
        </is>
      </c>
      <c r="C134" t="inlineStr">
        <is>
          <t>09:17</t>
        </is>
      </c>
      <c r="D134" t="n">
        <v>37.70791405625039</v>
      </c>
      <c r="E134" t="n">
        <v>0.2405641785621221</v>
      </c>
      <c r="F134" t="n">
        <v>7.571471452934421</v>
      </c>
      <c r="G134" t="n">
        <v>0.227784730913642</v>
      </c>
      <c r="H134" t="n">
        <v>0.4943679599499374</v>
      </c>
      <c r="I134" t="n">
        <v>0.4551371455137145</v>
      </c>
      <c r="J134" t="n">
        <v>0.3798885054481747</v>
      </c>
      <c r="K134" t="n">
        <v>0.6677157174036119</v>
      </c>
      <c r="L134" t="b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15.15311796845292</v>
      </c>
      <c r="S134" t="n">
        <v>1.337182798966716</v>
      </c>
      <c r="T134" t="n">
        <v>0.2431241452666716</v>
      </c>
      <c r="U134" t="n">
        <v>0.708507670850767</v>
      </c>
      <c r="V134" t="n">
        <v>0.09483960948396095</v>
      </c>
      <c r="W134" t="n">
        <v>0.5620641562064156</v>
      </c>
      <c r="X134" t="n">
        <v>0.2405641785621222</v>
      </c>
      <c r="Y134" t="n">
        <v>7.571471452934421</v>
      </c>
      <c r="Z134" t="n">
        <v>0.3798885054481747</v>
      </c>
      <c r="AA134" t="n">
        <v>0</v>
      </c>
    </row>
    <row r="135">
      <c r="A135" t="inlineStr">
        <is>
          <t>2021-10-05</t>
        </is>
      </c>
      <c r="B135" t="inlineStr">
        <is>
          <t>CW</t>
        </is>
      </c>
      <c r="C135" t="inlineStr">
        <is>
          <t>09:17</t>
        </is>
      </c>
      <c r="D135" t="n">
        <v>7.060106146372766</v>
      </c>
      <c r="E135" t="n">
        <v>0.2213327552338246</v>
      </c>
      <c r="F135" t="n">
        <v>4.536460587726515</v>
      </c>
      <c r="G135" t="n">
        <v>0.148936170212766</v>
      </c>
      <c r="H135" t="n">
        <v>0.08635794743429287</v>
      </c>
      <c r="I135" t="n">
        <v>0.6564388656438865</v>
      </c>
      <c r="J135" t="n">
        <v>0.2254054201876008</v>
      </c>
      <c r="K135" t="n">
        <v>0.6677157174036119</v>
      </c>
      <c r="L135" t="b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16.09402537642535</v>
      </c>
      <c r="S135" t="n">
        <v>2.657195474875039</v>
      </c>
      <c r="T135" t="n">
        <v>0.3420152591423264</v>
      </c>
      <c r="U135" t="n">
        <v>0.7308228730822873</v>
      </c>
      <c r="V135" t="n">
        <v>0.4198047419804742</v>
      </c>
      <c r="W135" t="n">
        <v>0.8186889818688982</v>
      </c>
      <c r="X135" t="n">
        <v>0.2213327552338246</v>
      </c>
      <c r="Y135" t="n">
        <v>4.536460587726516</v>
      </c>
      <c r="Z135" t="n">
        <v>0.2254054201876008</v>
      </c>
      <c r="AA135" t="n">
        <v>5.551115123125783e-17</v>
      </c>
    </row>
    <row r="136">
      <c r="A136" t="inlineStr">
        <is>
          <t>2021-10-06</t>
        </is>
      </c>
      <c r="B136" t="inlineStr">
        <is>
          <t>CW</t>
        </is>
      </c>
      <c r="C136" t="inlineStr">
        <is>
          <t>09:17</t>
        </is>
      </c>
      <c r="D136" t="n">
        <v>-38.88049184449815</v>
      </c>
      <c r="E136" t="n">
        <v>0.279086969948207</v>
      </c>
      <c r="F136" t="n">
        <v>8.321875071022014</v>
      </c>
      <c r="G136" t="n">
        <v>0.4593241551939925</v>
      </c>
      <c r="H136" t="n">
        <v>0.5844806007509387</v>
      </c>
      <c r="I136" t="n">
        <v>0.4960483496048349</v>
      </c>
      <c r="J136" t="n">
        <v>0.5167315722989395</v>
      </c>
      <c r="K136" t="n">
        <v>0.6677157174036119</v>
      </c>
      <c r="L136" t="b">
        <v>0</v>
      </c>
      <c r="N136" t="n">
        <v>0</v>
      </c>
      <c r="O136" t="n">
        <v>0</v>
      </c>
      <c r="P136" t="n">
        <v>1</v>
      </c>
      <c r="Q136" t="n">
        <v>38.88049184449815</v>
      </c>
      <c r="R136" t="n">
        <v>10.4797424337084</v>
      </c>
      <c r="S136" t="n">
        <v>1.677972152802566</v>
      </c>
      <c r="T136" t="n">
        <v>0.321313816494101</v>
      </c>
      <c r="U136" t="n">
        <v>0.5285913528591353</v>
      </c>
      <c r="V136" t="n">
        <v>0.1799163179916318</v>
      </c>
      <c r="W136" t="n">
        <v>0.7796373779637378</v>
      </c>
      <c r="X136" t="n">
        <v>0.279086969948207</v>
      </c>
      <c r="Y136" t="n">
        <v>8.321875071022012</v>
      </c>
      <c r="Z136" t="n">
        <v>0.5167315722989395</v>
      </c>
      <c r="AA136" t="n">
        <v>0</v>
      </c>
    </row>
    <row r="137">
      <c r="A137" t="inlineStr">
        <is>
          <t>2021-10-07</t>
        </is>
      </c>
      <c r="B137" t="inlineStr">
        <is>
          <t>NW</t>
        </is>
      </c>
      <c r="C137" t="inlineStr">
        <is>
          <t>NW</t>
        </is>
      </c>
      <c r="D137" t="n">
        <v>36.66958758129626</v>
      </c>
      <c r="E137" t="n">
        <v>0.357544769714237</v>
      </c>
      <c r="F137" t="n">
        <v>10.89941628741433</v>
      </c>
      <c r="G137" t="n">
        <v>0.8397997496871089</v>
      </c>
      <c r="H137" t="n">
        <v>0.869837296620776</v>
      </c>
      <c r="I137" t="n">
        <v>0.5</v>
      </c>
      <c r="J137" t="n">
        <v>0.7838548185231541</v>
      </c>
      <c r="K137" t="n">
        <v>0.6677157174036119</v>
      </c>
      <c r="L137" t="b">
        <v>1</v>
      </c>
      <c r="M137" t="inlineStr">
        <is>
          <t>top_quartile_risk</t>
        </is>
      </c>
      <c r="N137" t="n">
        <v>38.88049184449801</v>
      </c>
      <c r="O137" t="n">
        <v>1</v>
      </c>
      <c r="P137" t="n">
        <v>0</v>
      </c>
      <c r="Q137" t="n">
        <v>0</v>
      </c>
      <c r="U137" t="n">
        <v>0.5</v>
      </c>
      <c r="V137" t="n">
        <v>0.5</v>
      </c>
      <c r="W137" t="n">
        <v>0.5</v>
      </c>
      <c r="X137" t="n">
        <v>0.357544769714237</v>
      </c>
      <c r="Y137" t="n">
        <v>10.89941628741433</v>
      </c>
      <c r="Z137" t="n">
        <v>0.7838548185231541</v>
      </c>
      <c r="AA137" t="n">
        <v>0</v>
      </c>
    </row>
    <row r="138">
      <c r="A138" t="inlineStr">
        <is>
          <t>2021-10-11</t>
        </is>
      </c>
      <c r="B138" t="inlineStr">
        <is>
          <t>CW</t>
        </is>
      </c>
      <c r="C138" t="inlineStr">
        <is>
          <t>09:17</t>
        </is>
      </c>
      <c r="D138" t="n">
        <v>-2.145929188792393</v>
      </c>
      <c r="E138" t="n">
        <v>0.3061673463566343</v>
      </c>
      <c r="F138" t="n">
        <v>7.450339907076718</v>
      </c>
      <c r="G138" t="n">
        <v>0.6020025031289111</v>
      </c>
      <c r="H138" t="n">
        <v>0.4743429286608261</v>
      </c>
      <c r="I138" t="n">
        <v>0.298465829846583</v>
      </c>
      <c r="J138" t="n">
        <v>0.4902313386852115</v>
      </c>
      <c r="K138" t="n">
        <v>0.6677157174036119</v>
      </c>
      <c r="L138" t="b">
        <v>0</v>
      </c>
      <c r="N138" t="n">
        <v>2.210904263201883</v>
      </c>
      <c r="O138" t="n">
        <v>0</v>
      </c>
      <c r="P138" t="n">
        <v>1</v>
      </c>
      <c r="Q138" t="n">
        <v>2.145929188792393</v>
      </c>
      <c r="R138" t="n">
        <v>5.786244391956385</v>
      </c>
      <c r="S138" t="n">
        <v>2.086791557979609</v>
      </c>
      <c r="T138" t="n">
        <v>0.2134218638842792</v>
      </c>
      <c r="U138" t="n">
        <v>0.2050209205020921</v>
      </c>
      <c r="V138" t="n">
        <v>0.2928870292887029</v>
      </c>
      <c r="W138" t="n">
        <v>0.397489539748954</v>
      </c>
      <c r="X138" t="n">
        <v>0.3061673463566343</v>
      </c>
      <c r="Y138" t="n">
        <v>7.450339907076719</v>
      </c>
      <c r="Z138" t="n">
        <v>0.4902313386852115</v>
      </c>
      <c r="AA138" t="n">
        <v>0</v>
      </c>
    </row>
    <row r="139">
      <c r="A139" t="inlineStr">
        <is>
          <t>2021-10-12</t>
        </is>
      </c>
      <c r="B139" t="inlineStr">
        <is>
          <t>CW</t>
        </is>
      </c>
      <c r="C139" t="inlineStr">
        <is>
          <t>09:16</t>
        </is>
      </c>
      <c r="D139" t="n">
        <v>5.322638940661466</v>
      </c>
      <c r="E139" t="n">
        <v>0.1745080775677982</v>
      </c>
      <c r="F139" t="n">
        <v>2.823931491891548</v>
      </c>
      <c r="G139" t="n">
        <v>0.05006257822277847</v>
      </c>
      <c r="H139" t="n">
        <v>0.02127659574468085</v>
      </c>
      <c r="I139" t="n">
        <v>0.8289167828916781</v>
      </c>
      <c r="J139" t="n">
        <v>0.1943190261653194</v>
      </c>
      <c r="K139" t="n">
        <v>0.6677157174036119</v>
      </c>
      <c r="L139" t="b">
        <v>0</v>
      </c>
      <c r="N139" t="n">
        <v>4.356833451994135</v>
      </c>
      <c r="O139" t="n">
        <v>1</v>
      </c>
      <c r="P139" t="n">
        <v>0</v>
      </c>
      <c r="Q139" t="n">
        <v>0</v>
      </c>
      <c r="R139" t="n">
        <v>20.63592100346349</v>
      </c>
      <c r="S139" t="n">
        <v>11.52285637002974</v>
      </c>
      <c r="T139" t="n">
        <v>0.3245875033811167</v>
      </c>
      <c r="U139" t="n">
        <v>0.7977684797768479</v>
      </c>
      <c r="V139" t="n">
        <v>0.899581589958159</v>
      </c>
      <c r="W139" t="n">
        <v>0.7894002789400278</v>
      </c>
      <c r="X139" t="n">
        <v>0.1745080775677982</v>
      </c>
      <c r="Y139" t="n">
        <v>2.823931491891547</v>
      </c>
      <c r="Z139" t="n">
        <v>0.1943190261653194</v>
      </c>
      <c r="AA139" t="n">
        <v>-2.775557561562891e-17</v>
      </c>
    </row>
    <row r="140">
      <c r="A140" t="inlineStr">
        <is>
          <t>2021-10-13</t>
        </is>
      </c>
      <c r="B140" t="inlineStr">
        <is>
          <t>CW</t>
        </is>
      </c>
      <c r="C140" t="inlineStr">
        <is>
          <t>09:17</t>
        </is>
      </c>
      <c r="D140" t="n">
        <v>3.490091965780733</v>
      </c>
      <c r="E140" t="n">
        <v>0.2744657784902835</v>
      </c>
      <c r="F140" t="n">
        <v>8.692627699025469</v>
      </c>
      <c r="G140" t="n">
        <v>0.4180225281602002</v>
      </c>
      <c r="H140" t="n">
        <v>0.6320400500625782</v>
      </c>
      <c r="I140" t="n">
        <v>0.3765690376569037</v>
      </c>
      <c r="J140" t="n">
        <v>0.4953388388204921</v>
      </c>
      <c r="K140" t="n">
        <v>0.6677157174036119</v>
      </c>
      <c r="L140" t="b">
        <v>0</v>
      </c>
      <c r="N140" t="n">
        <v>0</v>
      </c>
      <c r="O140" t="n">
        <v>0</v>
      </c>
      <c r="P140" t="n">
        <v>0</v>
      </c>
      <c r="Q140" t="n">
        <v>0</v>
      </c>
      <c r="R140" t="n">
        <v>4.873564236899124</v>
      </c>
      <c r="S140" t="n">
        <v>1.443298969072161</v>
      </c>
      <c r="T140" t="n">
        <v>0.4123711340206243</v>
      </c>
      <c r="U140" t="n">
        <v>0.1227336122733612</v>
      </c>
      <c r="V140" t="n">
        <v>0.1171548117154812</v>
      </c>
      <c r="W140" t="n">
        <v>0.8898186889818689</v>
      </c>
      <c r="X140" t="n">
        <v>0.2744657784902835</v>
      </c>
      <c r="Y140" t="n">
        <v>8.692627699025467</v>
      </c>
      <c r="Z140" t="n">
        <v>0.4953388388204921</v>
      </c>
      <c r="AA140" t="n">
        <v>0</v>
      </c>
    </row>
    <row r="141">
      <c r="A141" t="inlineStr">
        <is>
          <t>2021-10-19</t>
        </is>
      </c>
      <c r="B141" t="inlineStr">
        <is>
          <t>CW</t>
        </is>
      </c>
      <c r="C141" t="inlineStr">
        <is>
          <t>09:17</t>
        </is>
      </c>
      <c r="D141" t="n">
        <v>-31.26215489246904</v>
      </c>
      <c r="E141" t="n">
        <v>0.2440869531249228</v>
      </c>
      <c r="F141" t="n">
        <v>6.295099569182733</v>
      </c>
      <c r="G141" t="n">
        <v>0.2390488110137672</v>
      </c>
      <c r="H141" t="n">
        <v>0.311639549436796</v>
      </c>
      <c r="I141" t="n">
        <v>0.3914458391445839</v>
      </c>
      <c r="J141" t="n">
        <v>0.2985645120091421</v>
      </c>
      <c r="K141" t="n">
        <v>0.6677157174036119</v>
      </c>
      <c r="L141" t="b">
        <v>0</v>
      </c>
      <c r="N141" t="n">
        <v>0</v>
      </c>
      <c r="O141" t="n">
        <v>0</v>
      </c>
      <c r="P141" t="n">
        <v>1</v>
      </c>
      <c r="Q141" t="n">
        <v>31.26215489246904</v>
      </c>
      <c r="R141" t="n">
        <v>6.551295565879048</v>
      </c>
      <c r="S141" t="n">
        <v>2.367650971002921</v>
      </c>
      <c r="T141" t="n">
        <v>0.239425379090185</v>
      </c>
      <c r="U141" t="n">
        <v>0.2775453277545328</v>
      </c>
      <c r="V141" t="n">
        <v>0.3584379358437936</v>
      </c>
      <c r="W141" t="n">
        <v>0.5383542538354253</v>
      </c>
      <c r="X141" t="n">
        <v>0.2440869531249228</v>
      </c>
      <c r="Y141" t="n">
        <v>6.295099569182733</v>
      </c>
      <c r="Z141" t="n">
        <v>0.2985645120091421</v>
      </c>
      <c r="AA141" t="n">
        <v>0</v>
      </c>
    </row>
    <row r="142">
      <c r="A142" t="inlineStr">
        <is>
          <t>2021-10-20</t>
        </is>
      </c>
      <c r="B142" t="inlineStr">
        <is>
          <t>CW</t>
        </is>
      </c>
      <c r="C142" t="inlineStr">
        <is>
          <t>09:17</t>
        </is>
      </c>
      <c r="D142" t="n">
        <v>53.7682442162164</v>
      </c>
      <c r="E142" t="n">
        <v>0.2806302331832386</v>
      </c>
      <c r="F142" t="n">
        <v>9.574760374570921</v>
      </c>
      <c r="G142" t="n">
        <v>0.4655819774718398</v>
      </c>
      <c r="H142" t="n">
        <v>0.7346683354192741</v>
      </c>
      <c r="I142" t="n">
        <v>0.6136680613668061</v>
      </c>
      <c r="J142" t="n">
        <v>0.6028337374298068</v>
      </c>
      <c r="K142" t="n">
        <v>0.6677157174036119</v>
      </c>
      <c r="L142" t="b">
        <v>0</v>
      </c>
      <c r="N142" t="n">
        <v>31.26215489246897</v>
      </c>
      <c r="O142" t="n">
        <v>1</v>
      </c>
      <c r="P142" t="n">
        <v>0</v>
      </c>
      <c r="Q142" t="n">
        <v>0</v>
      </c>
      <c r="R142" t="n">
        <v>13.68527665166937</v>
      </c>
      <c r="S142" t="n">
        <v>4.248453885453067</v>
      </c>
      <c r="T142" t="n">
        <v>0.2420005377789743</v>
      </c>
      <c r="U142" t="n">
        <v>0.6694560669456067</v>
      </c>
      <c r="V142" t="n">
        <v>0.6192468619246861</v>
      </c>
      <c r="W142" t="n">
        <v>0.5523012552301255</v>
      </c>
      <c r="X142" t="n">
        <v>0.2806302331832387</v>
      </c>
      <c r="Y142" t="n">
        <v>9.574760374570921</v>
      </c>
      <c r="Z142" t="n">
        <v>0.6028337374298068</v>
      </c>
      <c r="AA142" t="n">
        <v>0</v>
      </c>
    </row>
    <row r="143">
      <c r="A143" t="inlineStr">
        <is>
          <t>2021-10-21</t>
        </is>
      </c>
      <c r="B143" t="inlineStr">
        <is>
          <t>CW</t>
        </is>
      </c>
      <c r="C143" t="inlineStr">
        <is>
          <t>09:17</t>
        </is>
      </c>
      <c r="D143" t="n">
        <v>-38.38780410794247</v>
      </c>
      <c r="E143" t="n">
        <v>0.3046998186135064</v>
      </c>
      <c r="F143" t="n">
        <v>10.00575389536653</v>
      </c>
      <c r="G143" t="n">
        <v>0.5894868585732165</v>
      </c>
      <c r="H143" t="n">
        <v>0.7922403003754693</v>
      </c>
      <c r="I143" t="n">
        <v>0.4188749418874942</v>
      </c>
      <c r="J143" t="n">
        <v>0.6364658519569732</v>
      </c>
      <c r="K143" t="n">
        <v>0.6677157174036119</v>
      </c>
      <c r="L143" t="b">
        <v>0</v>
      </c>
      <c r="N143" t="n">
        <v>0</v>
      </c>
      <c r="O143" t="n">
        <v>0</v>
      </c>
      <c r="P143" t="n">
        <v>1</v>
      </c>
      <c r="Q143" t="n">
        <v>38.38780410794247</v>
      </c>
      <c r="R143" t="n">
        <v>7.194734762287996</v>
      </c>
      <c r="S143" t="n">
        <v>4.602713178294573</v>
      </c>
      <c r="T143" t="n">
        <v>0.1937984496123989</v>
      </c>
      <c r="U143" t="n">
        <v>0.3291492329149233</v>
      </c>
      <c r="V143" t="n">
        <v>0.6513249651324965</v>
      </c>
      <c r="W143" t="n">
        <v>0.2761506276150628</v>
      </c>
      <c r="X143" t="n">
        <v>0.3046998186135064</v>
      </c>
      <c r="Y143" t="n">
        <v>10.00575389536653</v>
      </c>
      <c r="Z143" t="n">
        <v>0.6364658519569732</v>
      </c>
      <c r="AA143" t="n">
        <v>0</v>
      </c>
    </row>
    <row r="144">
      <c r="A144" t="inlineStr">
        <is>
          <t>2021-10-25</t>
        </is>
      </c>
      <c r="B144" t="inlineStr">
        <is>
          <t>CW</t>
        </is>
      </c>
      <c r="C144" t="inlineStr">
        <is>
          <t>09:17</t>
        </is>
      </c>
      <c r="D144" t="n">
        <v>-33.37327585151622</v>
      </c>
      <c r="E144" t="n">
        <v>0.2835410844447695</v>
      </c>
      <c r="F144" t="n">
        <v>8.385176700903376</v>
      </c>
      <c r="G144" t="n">
        <v>0.4793491864831039</v>
      </c>
      <c r="H144" t="n">
        <v>0.590738423028786</v>
      </c>
      <c r="I144" t="n">
        <v>0.5732217573221757</v>
      </c>
      <c r="J144" t="n">
        <v>0.5426793952691912</v>
      </c>
      <c r="K144" t="n">
        <v>0.6677157174036119</v>
      </c>
      <c r="L144" t="b">
        <v>0</v>
      </c>
      <c r="N144" t="n">
        <v>38.38780410794243</v>
      </c>
      <c r="O144" t="n">
        <v>1</v>
      </c>
      <c r="P144" t="n">
        <v>1</v>
      </c>
      <c r="Q144" t="n">
        <v>33.37327585151622</v>
      </c>
      <c r="R144" t="n">
        <v>13.30219389806689</v>
      </c>
      <c r="S144" t="n">
        <v>3.221552373775438</v>
      </c>
      <c r="T144" t="n">
        <v>0.2449133383571988</v>
      </c>
      <c r="U144" t="n">
        <v>0.6541143654114365</v>
      </c>
      <c r="V144" t="n">
        <v>0.499302649930265</v>
      </c>
      <c r="W144" t="n">
        <v>0.5662482566248257</v>
      </c>
      <c r="X144" t="n">
        <v>0.2835410844447695</v>
      </c>
      <c r="Y144" t="n">
        <v>8.385176700903376</v>
      </c>
      <c r="Z144" t="n">
        <v>0.5426793952691912</v>
      </c>
      <c r="AA144" t="n">
        <v>0</v>
      </c>
    </row>
    <row r="145">
      <c r="A145" t="inlineStr">
        <is>
          <t>2021-10-26</t>
        </is>
      </c>
      <c r="B145" t="inlineStr">
        <is>
          <t>CW</t>
        </is>
      </c>
      <c r="C145" t="inlineStr">
        <is>
          <t>09:17</t>
        </is>
      </c>
      <c r="D145" t="n">
        <v>12.71442822357602</v>
      </c>
      <c r="E145" t="n">
        <v>0.243959237767206</v>
      </c>
      <c r="F145" t="n">
        <v>6.630585899805053</v>
      </c>
      <c r="G145" t="n">
        <v>0.2377972465581978</v>
      </c>
      <c r="H145" t="n">
        <v>0.3654568210262829</v>
      </c>
      <c r="I145" t="n">
        <v>0.2863784286378429</v>
      </c>
      <c r="J145" t="n">
        <v>0.2985773127613608</v>
      </c>
      <c r="K145" t="n">
        <v>0.6677157174036119</v>
      </c>
      <c r="L145" t="b">
        <v>0</v>
      </c>
      <c r="N145" t="n">
        <v>71.76107995945858</v>
      </c>
      <c r="O145" t="n">
        <v>2</v>
      </c>
      <c r="P145" t="n">
        <v>0</v>
      </c>
      <c r="Q145" t="n">
        <v>0</v>
      </c>
      <c r="R145" t="n">
        <v>6.789108840135554</v>
      </c>
      <c r="S145" t="n">
        <v>1.473823141223051</v>
      </c>
      <c r="T145" t="n">
        <v>0.2199736031676136</v>
      </c>
      <c r="U145" t="n">
        <v>0.2942817294281729</v>
      </c>
      <c r="V145" t="n">
        <v>0.1283124128312413</v>
      </c>
      <c r="W145" t="n">
        <v>0.4365411436541143</v>
      </c>
      <c r="X145" t="n">
        <v>0.2439592377672061</v>
      </c>
      <c r="Y145" t="n">
        <v>6.630585899805055</v>
      </c>
      <c r="Z145" t="n">
        <v>0.2985773127613608</v>
      </c>
      <c r="AA145" t="n">
        <v>0</v>
      </c>
    </row>
    <row r="146">
      <c r="A146" t="inlineStr">
        <is>
          <t>2021-10-27</t>
        </is>
      </c>
      <c r="B146" t="inlineStr">
        <is>
          <t>CW</t>
        </is>
      </c>
      <c r="C146" t="inlineStr">
        <is>
          <t>09:17</t>
        </is>
      </c>
      <c r="D146" t="n">
        <v>25.63986496231364</v>
      </c>
      <c r="E146" t="n">
        <v>0.22248459236892</v>
      </c>
      <c r="F146" t="n">
        <v>6.129916243562639</v>
      </c>
      <c r="G146" t="n">
        <v>0.1526908635794743</v>
      </c>
      <c r="H146" t="n">
        <v>0.2816020025031289</v>
      </c>
      <c r="I146" t="n">
        <v>0.6708507670850766</v>
      </c>
      <c r="J146" t="n">
        <v>0.3078872998500566</v>
      </c>
      <c r="K146" t="n">
        <v>0.6677157174036119</v>
      </c>
      <c r="L146" t="b">
        <v>0</v>
      </c>
      <c r="N146" t="n">
        <v>59.04665173588273</v>
      </c>
      <c r="O146" t="n">
        <v>0</v>
      </c>
      <c r="P146" t="n">
        <v>0</v>
      </c>
      <c r="Q146" t="n">
        <v>0</v>
      </c>
      <c r="R146" t="n">
        <v>22.6107022167776</v>
      </c>
      <c r="S146" t="n">
        <v>8.195266272189345</v>
      </c>
      <c r="T146" t="n">
        <v>0.2071005917159813</v>
      </c>
      <c r="U146" t="n">
        <v>0.8284518828451883</v>
      </c>
      <c r="V146" t="n">
        <v>0.8270571827057183</v>
      </c>
      <c r="W146" t="n">
        <v>0.3570432357043236</v>
      </c>
      <c r="X146" t="n">
        <v>0.22248459236892</v>
      </c>
      <c r="Y146" t="n">
        <v>6.129916243562638</v>
      </c>
      <c r="Z146" t="n">
        <v>0.3078872998500566</v>
      </c>
      <c r="AA146" t="n">
        <v>5.551115123125783e-17</v>
      </c>
    </row>
    <row r="147">
      <c r="A147" t="inlineStr">
        <is>
          <t>2021-10-28</t>
        </is>
      </c>
      <c r="B147" t="inlineStr">
        <is>
          <t>CW</t>
        </is>
      </c>
      <c r="C147" t="inlineStr">
        <is>
          <t>09:16</t>
        </is>
      </c>
      <c r="D147" t="n">
        <v>11.03533747408352</v>
      </c>
      <c r="E147" t="n">
        <v>0.237773330684138</v>
      </c>
      <c r="F147" t="n">
        <v>8.737029404747897</v>
      </c>
      <c r="G147" t="n">
        <v>0.2115143929912391</v>
      </c>
      <c r="H147" t="n">
        <v>0.6420525657071339</v>
      </c>
      <c r="I147" t="n">
        <v>0.8628544862854487</v>
      </c>
      <c r="J147" t="n">
        <v>0.5139976807364389</v>
      </c>
      <c r="K147" t="n">
        <v>0.6677157174036119</v>
      </c>
      <c r="L147" t="b">
        <v>0</v>
      </c>
      <c r="N147" t="n">
        <v>33.40678677356891</v>
      </c>
      <c r="O147" t="n">
        <v>0</v>
      </c>
      <c r="P147" t="n">
        <v>0</v>
      </c>
      <c r="Q147" t="n">
        <v>0</v>
      </c>
      <c r="R147" t="n">
        <v>25.05196217429008</v>
      </c>
      <c r="S147" t="n">
        <v>6.287787182587652</v>
      </c>
      <c r="T147" t="n">
        <v>0.6045949214026544</v>
      </c>
      <c r="U147" t="n">
        <v>0.8577405857740585</v>
      </c>
      <c r="V147" t="n">
        <v>0.7545327754532776</v>
      </c>
      <c r="W147" t="n">
        <v>0.9762900976290098</v>
      </c>
      <c r="X147" t="n">
        <v>0.237773330684138</v>
      </c>
      <c r="Y147" t="n">
        <v>8.737029404747894</v>
      </c>
      <c r="Z147" t="n">
        <v>0.5139976807364389</v>
      </c>
      <c r="AA147" t="n">
        <v>0</v>
      </c>
    </row>
    <row r="148">
      <c r="A148" t="inlineStr">
        <is>
          <t>2021-10-29</t>
        </is>
      </c>
      <c r="B148" t="inlineStr">
        <is>
          <t>CW</t>
        </is>
      </c>
      <c r="C148" t="inlineStr">
        <is>
          <t>09:17</t>
        </is>
      </c>
      <c r="D148" t="n">
        <v>-39.4220352119786</v>
      </c>
      <c r="E148" t="n">
        <v>0.2740219398540234</v>
      </c>
      <c r="F148" t="n">
        <v>9.139272463511867</v>
      </c>
      <c r="G148" t="n">
        <v>0.4155193992490613</v>
      </c>
      <c r="H148" t="n">
        <v>0.6983729662077597</v>
      </c>
      <c r="I148" t="n">
        <v>0.4314272431427244</v>
      </c>
      <c r="J148" t="n">
        <v>0.5318423948112733</v>
      </c>
      <c r="K148" t="n">
        <v>0.6677157174036119</v>
      </c>
      <c r="L148" t="b">
        <v>0</v>
      </c>
      <c r="N148" t="n">
        <v>22.37144929948545</v>
      </c>
      <c r="O148" t="n">
        <v>0</v>
      </c>
      <c r="P148" t="n">
        <v>1</v>
      </c>
      <c r="Q148" t="n">
        <v>39.4220352119786</v>
      </c>
      <c r="R148" t="n">
        <v>21.14087639053598</v>
      </c>
      <c r="S148" t="n">
        <v>2.548662652289586</v>
      </c>
      <c r="T148" t="n">
        <v>0.1400364094664533</v>
      </c>
      <c r="U148" t="n">
        <v>0.8145048814504882</v>
      </c>
      <c r="V148" t="n">
        <v>0.393305439330544</v>
      </c>
      <c r="W148" t="n">
        <v>0.08647140864714087</v>
      </c>
      <c r="X148" t="n">
        <v>0.2740219398540234</v>
      </c>
      <c r="Y148" t="n">
        <v>9.139272463511865</v>
      </c>
      <c r="Z148" t="n">
        <v>0.5318423948112733</v>
      </c>
      <c r="AA148" t="n">
        <v>0</v>
      </c>
    </row>
    <row r="149">
      <c r="A149" t="inlineStr">
        <is>
          <t>2021-11-02</t>
        </is>
      </c>
      <c r="B149" t="inlineStr">
        <is>
          <t>CW</t>
        </is>
      </c>
      <c r="C149" t="inlineStr">
        <is>
          <t>09:17</t>
        </is>
      </c>
      <c r="D149" t="n">
        <v>27.95401330607491</v>
      </c>
      <c r="E149" t="n">
        <v>0.2447265333663856</v>
      </c>
      <c r="F149" t="n">
        <v>4.907850992723892</v>
      </c>
      <c r="G149" t="n">
        <v>0.2428035043804756</v>
      </c>
      <c r="H149" t="n">
        <v>0.1264080100125156</v>
      </c>
      <c r="I149" t="n">
        <v>0.594607159460716</v>
      </c>
      <c r="J149" t="n">
        <v>0.2666060376493397</v>
      </c>
      <c r="K149" t="n">
        <v>0.6677157174036119</v>
      </c>
      <c r="L149" t="b">
        <v>0</v>
      </c>
      <c r="N149" t="n">
        <v>61.79348451146416</v>
      </c>
      <c r="O149" t="n">
        <v>1</v>
      </c>
      <c r="P149" t="n">
        <v>0</v>
      </c>
      <c r="Q149" t="n">
        <v>0</v>
      </c>
      <c r="R149" t="n">
        <v>11.24306677548845</v>
      </c>
      <c r="S149" t="n">
        <v>4.228571428571415</v>
      </c>
      <c r="T149" t="n">
        <v>0.2571428571428588</v>
      </c>
      <c r="U149" t="n">
        <v>0.5564853556485355</v>
      </c>
      <c r="V149" t="n">
        <v>0.6136680613668062</v>
      </c>
      <c r="W149" t="n">
        <v>0.6136680613668062</v>
      </c>
      <c r="X149" t="n">
        <v>0.2447265333663857</v>
      </c>
      <c r="Y149" t="n">
        <v>4.907850992723892</v>
      </c>
      <c r="Z149" t="n">
        <v>0.2666060376493397</v>
      </c>
      <c r="AA149" t="n">
        <v>0</v>
      </c>
    </row>
    <row r="150">
      <c r="A150" t="inlineStr">
        <is>
          <t>2021-11-03</t>
        </is>
      </c>
      <c r="B150" t="inlineStr">
        <is>
          <t>CW</t>
        </is>
      </c>
      <c r="C150" t="inlineStr">
        <is>
          <t>09:17</t>
        </is>
      </c>
      <c r="D150" t="n">
        <v>-14.98211136384898</v>
      </c>
      <c r="E150" t="n">
        <v>0.2501576045213666</v>
      </c>
      <c r="F150" t="n">
        <v>7.403870802143391</v>
      </c>
      <c r="G150" t="n">
        <v>0.2678347934918648</v>
      </c>
      <c r="H150" t="n">
        <v>0.4593241551939925</v>
      </c>
      <c r="I150" t="n">
        <v>0.5564853556485355</v>
      </c>
      <c r="J150" t="n">
        <v>0.40216065060405</v>
      </c>
      <c r="K150" t="n">
        <v>0.6677157174036119</v>
      </c>
      <c r="L150" t="b">
        <v>0</v>
      </c>
      <c r="N150" t="n">
        <v>33.83947120538915</v>
      </c>
      <c r="O150" t="n">
        <v>0</v>
      </c>
      <c r="P150" t="n">
        <v>1</v>
      </c>
      <c r="Q150" t="n">
        <v>14.98211136384898</v>
      </c>
      <c r="R150" t="n">
        <v>7.93427635223935</v>
      </c>
      <c r="S150" t="n">
        <v>3.084337349397579</v>
      </c>
      <c r="T150" t="n">
        <v>0.3373493975903697</v>
      </c>
      <c r="U150" t="n">
        <v>0.3835425383542538</v>
      </c>
      <c r="V150" t="n">
        <v>0.4755927475592748</v>
      </c>
      <c r="W150" t="n">
        <v>0.8103207810320781</v>
      </c>
      <c r="X150" t="n">
        <v>0.2501576045213666</v>
      </c>
      <c r="Y150" t="n">
        <v>7.403870802143393</v>
      </c>
      <c r="Z150" t="n">
        <v>0.40216065060405</v>
      </c>
      <c r="AA150" t="n">
        <v>5.551115123125783e-17</v>
      </c>
    </row>
    <row r="151">
      <c r="A151" t="inlineStr">
        <is>
          <t>2021-11-08</t>
        </is>
      </c>
      <c r="B151" t="inlineStr">
        <is>
          <t>CW</t>
        </is>
      </c>
      <c r="C151" t="inlineStr">
        <is>
          <t>09:17</t>
        </is>
      </c>
      <c r="D151" t="n">
        <v>-9.269903771623644</v>
      </c>
      <c r="E151" t="n">
        <v>0.2880042420266295</v>
      </c>
      <c r="F151" t="n">
        <v>7.961309834666683</v>
      </c>
      <c r="G151" t="n">
        <v>0.5068836045056321</v>
      </c>
      <c r="H151" t="n">
        <v>0.5369211514392991</v>
      </c>
      <c r="I151" t="n">
        <v>0.5681078568107857</v>
      </c>
      <c r="J151" t="n">
        <v>0.5311434737401296</v>
      </c>
      <c r="K151" t="n">
        <v>0.6677157174036119</v>
      </c>
      <c r="L151" t="b">
        <v>0</v>
      </c>
      <c r="N151" t="n">
        <v>48.82158256923822</v>
      </c>
      <c r="O151" t="n">
        <v>1</v>
      </c>
      <c r="P151" t="n">
        <v>1</v>
      </c>
      <c r="Q151" t="n">
        <v>9.269903771623644</v>
      </c>
      <c r="R151" t="n">
        <v>9.938476100332498</v>
      </c>
      <c r="S151" t="n">
        <v>4.978813559322034</v>
      </c>
      <c r="T151" t="n">
        <v>0.2330508474576319</v>
      </c>
      <c r="U151" t="n">
        <v>0.502092050209205</v>
      </c>
      <c r="V151" t="n">
        <v>0.6875871687587168</v>
      </c>
      <c r="W151" t="n">
        <v>0.5146443514644351</v>
      </c>
      <c r="X151" t="n">
        <v>0.2880042420266294</v>
      </c>
      <c r="Y151" t="n">
        <v>7.961309834666682</v>
      </c>
      <c r="Z151" t="n">
        <v>0.5311434737401296</v>
      </c>
      <c r="AA151" t="n">
        <v>0</v>
      </c>
    </row>
    <row r="152">
      <c r="A152" t="inlineStr">
        <is>
          <t>2021-11-09</t>
        </is>
      </c>
      <c r="B152" t="inlineStr">
        <is>
          <t>CW</t>
        </is>
      </c>
      <c r="C152" t="inlineStr">
        <is>
          <t>09:18</t>
        </is>
      </c>
      <c r="D152" t="n">
        <v>15.03312494107992</v>
      </c>
      <c r="E152" t="n">
        <v>0.2556916846535328</v>
      </c>
      <c r="F152" t="n">
        <v>3.740013905416798</v>
      </c>
      <c r="G152" t="n">
        <v>0.2991239048811014</v>
      </c>
      <c r="H152" t="n">
        <v>0.03879849812265332</v>
      </c>
      <c r="I152" t="n">
        <v>0.3844723384472339</v>
      </c>
      <c r="J152" t="n">
        <v>0.2120634288909486</v>
      </c>
      <c r="K152" t="n">
        <v>0.6677157174036119</v>
      </c>
      <c r="L152" t="b">
        <v>0</v>
      </c>
      <c r="N152" t="n">
        <v>58.09148634086205</v>
      </c>
      <c r="O152" t="n">
        <v>2</v>
      </c>
      <c r="P152" t="n">
        <v>0</v>
      </c>
      <c r="Q152" t="n">
        <v>0</v>
      </c>
      <c r="R152" t="n">
        <v>11.03002156244656</v>
      </c>
      <c r="S152" t="n">
        <v>3.222557905337351</v>
      </c>
      <c r="T152" t="n">
        <v>0.1510574018126945</v>
      </c>
      <c r="U152" t="n">
        <v>0.5425383542538355</v>
      </c>
      <c r="V152" t="n">
        <v>0.500697350069735</v>
      </c>
      <c r="W152" t="n">
        <v>0.1101813110181311</v>
      </c>
      <c r="X152" t="n">
        <v>0.2556916846535328</v>
      </c>
      <c r="Y152" t="n">
        <v>3.7400139054168</v>
      </c>
      <c r="Z152" t="n">
        <v>0.2120634288909486</v>
      </c>
      <c r="AA152" t="n">
        <v>5.551115123125783e-17</v>
      </c>
    </row>
    <row r="153">
      <c r="A153" t="inlineStr">
        <is>
          <t>2021-11-10</t>
        </is>
      </c>
      <c r="B153" t="inlineStr">
        <is>
          <t>CW</t>
        </is>
      </c>
      <c r="C153" t="inlineStr">
        <is>
          <t>09:18</t>
        </is>
      </c>
      <c r="D153" t="n">
        <v>3.742850169593884</v>
      </c>
      <c r="E153" t="n">
        <v>0.2992818786490579</v>
      </c>
      <c r="F153" t="n">
        <v>6.083264601012184</v>
      </c>
      <c r="G153" t="n">
        <v>0.5644555694618273</v>
      </c>
      <c r="H153" t="n">
        <v>0.2778473091364205</v>
      </c>
      <c r="I153" t="n">
        <v>0.4267782426778243</v>
      </c>
      <c r="J153" t="n">
        <v>0.422276799974864</v>
      </c>
      <c r="K153" t="n">
        <v>0.6677157174036119</v>
      </c>
      <c r="L153" t="b">
        <v>0</v>
      </c>
      <c r="N153" t="n">
        <v>43.05836139978192</v>
      </c>
      <c r="O153" t="n">
        <v>0</v>
      </c>
      <c r="P153" t="n">
        <v>0</v>
      </c>
      <c r="Q153" t="n">
        <v>0</v>
      </c>
      <c r="R153" t="n">
        <v>10.56254615888451</v>
      </c>
      <c r="S153" t="n">
        <v>1.768055139346746</v>
      </c>
      <c r="T153" t="n">
        <v>0.2397362900809144</v>
      </c>
      <c r="U153" t="n">
        <v>0.5313807531380753</v>
      </c>
      <c r="V153" t="n">
        <v>0.2078103207810321</v>
      </c>
      <c r="W153" t="n">
        <v>0.5411436541143654</v>
      </c>
      <c r="X153" t="n">
        <v>0.2992818786490579</v>
      </c>
      <c r="Y153" t="n">
        <v>6.083264601012184</v>
      </c>
      <c r="Z153" t="n">
        <v>0.422276799974864</v>
      </c>
      <c r="AA153" t="n">
        <v>0</v>
      </c>
    </row>
    <row r="154">
      <c r="A154" t="inlineStr">
        <is>
          <t>2021-11-11</t>
        </is>
      </c>
      <c r="B154" t="inlineStr">
        <is>
          <t>CW</t>
        </is>
      </c>
      <c r="C154" t="inlineStr">
        <is>
          <t>09:17</t>
        </is>
      </c>
      <c r="D154" t="n">
        <v>1.738745499039148</v>
      </c>
      <c r="E154" t="n">
        <v>0.2525294525425276</v>
      </c>
      <c r="F154" t="n">
        <v>7.530982947991332</v>
      </c>
      <c r="G154" t="n">
        <v>0.2841051314142679</v>
      </c>
      <c r="H154" t="n">
        <v>0.4868585732165207</v>
      </c>
      <c r="I154" t="n">
        <v>0.5527661552766155</v>
      </c>
      <c r="J154" t="n">
        <v>0.4189387129076385</v>
      </c>
      <c r="K154" t="n">
        <v>0.6677157174036119</v>
      </c>
      <c r="L154" t="b">
        <v>0</v>
      </c>
      <c r="N154" t="n">
        <v>39.31551123018789</v>
      </c>
      <c r="O154" t="n">
        <v>0</v>
      </c>
      <c r="P154" t="n">
        <v>0</v>
      </c>
      <c r="Q154" t="n">
        <v>0</v>
      </c>
      <c r="R154" t="n">
        <v>8.328064463116752</v>
      </c>
      <c r="S154" t="n">
        <v>2.464958917351389</v>
      </c>
      <c r="T154" t="n">
        <v>0.3866602223296265</v>
      </c>
      <c r="U154" t="n">
        <v>0.403068340306834</v>
      </c>
      <c r="V154" t="n">
        <v>0.3849372384937239</v>
      </c>
      <c r="W154" t="n">
        <v>0.8702928870292888</v>
      </c>
      <c r="X154" t="n">
        <v>0.2525294525425276</v>
      </c>
      <c r="Y154" t="n">
        <v>7.530982947991331</v>
      </c>
      <c r="Z154" t="n">
        <v>0.4189387129076385</v>
      </c>
      <c r="AA154" t="n">
        <v>0</v>
      </c>
    </row>
    <row r="155">
      <c r="A155" t="inlineStr">
        <is>
          <t>2021-11-16</t>
        </is>
      </c>
      <c r="B155" t="inlineStr">
        <is>
          <t>CW</t>
        </is>
      </c>
      <c r="C155" t="inlineStr">
        <is>
          <t>09:16</t>
        </is>
      </c>
      <c r="D155" t="n">
        <v>19.41670472224138</v>
      </c>
      <c r="E155" t="n">
        <v>0.1039092808776372</v>
      </c>
      <c r="F155" t="n">
        <v>0</v>
      </c>
      <c r="G155" t="n">
        <v>0.002503128911138924</v>
      </c>
      <c r="H155" t="n">
        <v>0.001877346683354193</v>
      </c>
      <c r="I155" t="n">
        <v>0.9298000929800092</v>
      </c>
      <c r="J155" t="n">
        <v>0.1877122088337991</v>
      </c>
      <c r="K155" t="n">
        <v>0.6677157174036119</v>
      </c>
      <c r="L155" t="b">
        <v>0</v>
      </c>
      <c r="N155" t="n">
        <v>37.57676573114895</v>
      </c>
      <c r="O155" t="n">
        <v>0</v>
      </c>
      <c r="P155" t="n">
        <v>0</v>
      </c>
      <c r="Q155" t="n">
        <v>0</v>
      </c>
      <c r="R155" t="n">
        <v>26.09293502721121</v>
      </c>
      <c r="S155" t="n">
        <v>27.5142786193196</v>
      </c>
      <c r="T155" t="n">
        <v>0.4718152470821895</v>
      </c>
      <c r="U155" t="n">
        <v>0.8688981868898187</v>
      </c>
      <c r="V155" t="n">
        <v>0.9804741980474198</v>
      </c>
      <c r="W155" t="n">
        <v>0.9400278940027894</v>
      </c>
      <c r="X155" t="n">
        <v>0.1039092808776371</v>
      </c>
      <c r="Y155" t="n">
        <v>0</v>
      </c>
      <c r="Z155" t="n">
        <v>0.1877122088337991</v>
      </c>
      <c r="AA155" t="n">
        <v>0</v>
      </c>
    </row>
    <row r="156">
      <c r="A156" t="inlineStr">
        <is>
          <t>2021-11-17</t>
        </is>
      </c>
      <c r="B156" t="inlineStr">
        <is>
          <t>CW</t>
        </is>
      </c>
      <c r="C156" t="inlineStr">
        <is>
          <t>09:17</t>
        </is>
      </c>
      <c r="D156" t="n">
        <v>22.95769376196113</v>
      </c>
      <c r="E156" t="n">
        <v>0.2971471276734383</v>
      </c>
      <c r="F156" t="n">
        <v>7.334437157723424</v>
      </c>
      <c r="G156" t="n">
        <v>0.5544430538172715</v>
      </c>
      <c r="H156" t="n">
        <v>0.4530663329161452</v>
      </c>
      <c r="I156" t="n">
        <v>0.4444444444444445</v>
      </c>
      <c r="J156" t="n">
        <v>0.4918926435822556</v>
      </c>
      <c r="K156" t="n">
        <v>0.6677157174036119</v>
      </c>
      <c r="L156" t="b">
        <v>0</v>
      </c>
      <c r="N156" t="n">
        <v>18.16006100890763</v>
      </c>
      <c r="O156" t="n">
        <v>0</v>
      </c>
      <c r="P156" t="n">
        <v>0</v>
      </c>
      <c r="Q156" t="n">
        <v>0</v>
      </c>
      <c r="R156" t="n">
        <v>5.856286723800026</v>
      </c>
      <c r="S156" t="n">
        <v>2.572245157192767</v>
      </c>
      <c r="T156" t="n">
        <v>0.285805017465864</v>
      </c>
      <c r="U156" t="n">
        <v>0.2133891213389121</v>
      </c>
      <c r="V156" t="n">
        <v>0.404463040446304</v>
      </c>
      <c r="W156" t="n">
        <v>0.7154811715481172</v>
      </c>
      <c r="X156" t="n">
        <v>0.2971471276734383</v>
      </c>
      <c r="Y156" t="n">
        <v>7.334437157723423</v>
      </c>
      <c r="Z156" t="n">
        <v>0.4918926435822556</v>
      </c>
      <c r="AA156" t="n">
        <v>0</v>
      </c>
    </row>
    <row r="157">
      <c r="A157" t="inlineStr">
        <is>
          <t>2021-11-18</t>
        </is>
      </c>
      <c r="B157" t="inlineStr">
        <is>
          <t>CW</t>
        </is>
      </c>
      <c r="C157" t="inlineStr">
        <is>
          <t>09:17</t>
        </is>
      </c>
      <c r="D157" t="n">
        <v>-36.95302600748531</v>
      </c>
      <c r="E157" t="n">
        <v>0.2776551638216231</v>
      </c>
      <c r="F157" t="n">
        <v>8.5932102074187</v>
      </c>
      <c r="G157" t="n">
        <v>0.4493116395494368</v>
      </c>
      <c r="H157" t="n">
        <v>0.6195244055068836</v>
      </c>
      <c r="I157" t="n">
        <v>0.6931659693165969</v>
      </c>
      <c r="J157" t="n">
        <v>0.5661676118858475</v>
      </c>
      <c r="K157" t="n">
        <v>0.6677157174036119</v>
      </c>
      <c r="L157" t="b">
        <v>0</v>
      </c>
      <c r="N157" t="n">
        <v>0</v>
      </c>
      <c r="O157" t="n">
        <v>0</v>
      </c>
      <c r="P157" t="n">
        <v>1</v>
      </c>
      <c r="Q157" t="n">
        <v>36.95302600748531</v>
      </c>
      <c r="R157" t="n">
        <v>10.3243232685113</v>
      </c>
      <c r="S157" t="n">
        <v>5.431472081218282</v>
      </c>
      <c r="T157" t="n">
        <v>0.3553299492385873</v>
      </c>
      <c r="U157" t="n">
        <v>0.5216178521617852</v>
      </c>
      <c r="V157" t="n">
        <v>0.7154811715481172</v>
      </c>
      <c r="W157" t="n">
        <v>0.8423988842398884</v>
      </c>
      <c r="X157" t="n">
        <v>0.2776551638216231</v>
      </c>
      <c r="Y157" t="n">
        <v>8.5932102074187</v>
      </c>
      <c r="Z157" t="n">
        <v>0.5661676118858475</v>
      </c>
      <c r="AA157" t="n">
        <v>0</v>
      </c>
    </row>
    <row r="158">
      <c r="A158" t="inlineStr">
        <is>
          <t>2021-11-22</t>
        </is>
      </c>
      <c r="B158" t="inlineStr">
        <is>
          <t>CW</t>
        </is>
      </c>
      <c r="C158" t="inlineStr">
        <is>
          <t>09:17</t>
        </is>
      </c>
      <c r="D158" t="n">
        <v>-24.35165119524854</v>
      </c>
      <c r="E158" t="n">
        <v>0.2441357483811824</v>
      </c>
      <c r="F158" t="n">
        <v>5.798875351823551</v>
      </c>
      <c r="G158" t="n">
        <v>0.2403003754693367</v>
      </c>
      <c r="H158" t="n">
        <v>0.2415519399249061</v>
      </c>
      <c r="I158" t="n">
        <v>0.708507670850767</v>
      </c>
      <c r="J158" t="n">
        <v>0.3344424603278505</v>
      </c>
      <c r="K158" t="n">
        <v>0.6677157174036119</v>
      </c>
      <c r="L158" t="b">
        <v>0</v>
      </c>
      <c r="N158" t="n">
        <v>36.95302600748528</v>
      </c>
      <c r="O158" t="n">
        <v>1</v>
      </c>
      <c r="P158" t="n">
        <v>1</v>
      </c>
      <c r="Q158" t="n">
        <v>24.35165119524854</v>
      </c>
      <c r="R158" t="n">
        <v>17.69786609461566</v>
      </c>
      <c r="S158" t="n">
        <v>2.773556231003022</v>
      </c>
      <c r="T158" t="n">
        <v>0.455927051671739</v>
      </c>
      <c r="U158" t="n">
        <v>0.7573221757322176</v>
      </c>
      <c r="V158" t="n">
        <v>0.4393305439330544</v>
      </c>
      <c r="W158" t="n">
        <v>0.9288702928870293</v>
      </c>
      <c r="X158" t="n">
        <v>0.2441357483811825</v>
      </c>
      <c r="Y158" t="n">
        <v>5.798875351823549</v>
      </c>
      <c r="Z158" t="n">
        <v>0.3344424603278505</v>
      </c>
      <c r="AA158" t="n">
        <v>0</v>
      </c>
    </row>
    <row r="159">
      <c r="A159" t="inlineStr">
        <is>
          <t>2021-11-23</t>
        </is>
      </c>
      <c r="B159" t="inlineStr">
        <is>
          <t>CW</t>
        </is>
      </c>
      <c r="C159" t="inlineStr">
        <is>
          <t>09:18</t>
        </is>
      </c>
      <c r="D159" t="n">
        <v>14.29326303675225</v>
      </c>
      <c r="E159" t="n">
        <v>0.2577767795806525</v>
      </c>
      <c r="F159" t="n">
        <v>4.04189606908865</v>
      </c>
      <c r="G159" t="n">
        <v>0.3178973717146433</v>
      </c>
      <c r="H159" t="n">
        <v>0.05506883604505632</v>
      </c>
      <c r="I159" t="n">
        <v>0.4100418410041841</v>
      </c>
      <c r="J159" t="n">
        <v>0.2311948513047167</v>
      </c>
      <c r="K159" t="n">
        <v>0.6677157174036119</v>
      </c>
      <c r="L159" t="b">
        <v>0</v>
      </c>
      <c r="N159" t="n">
        <v>61.30467720273373</v>
      </c>
      <c r="O159" t="n">
        <v>2</v>
      </c>
      <c r="P159" t="n">
        <v>0</v>
      </c>
      <c r="Q159" t="n">
        <v>0</v>
      </c>
      <c r="R159" t="n">
        <v>17.6018682836882</v>
      </c>
      <c r="S159" t="n">
        <v>1.854140914709518</v>
      </c>
      <c r="T159" t="n">
        <v>0.1854140914709529</v>
      </c>
      <c r="U159" t="n">
        <v>0.7559274755927475</v>
      </c>
      <c r="V159" t="n">
        <v>0.2384937238493724</v>
      </c>
      <c r="W159" t="n">
        <v>0.2357043235704324</v>
      </c>
      <c r="X159" t="n">
        <v>0.2577767795806526</v>
      </c>
      <c r="Y159" t="n">
        <v>4.041896069088649</v>
      </c>
      <c r="Z159" t="n">
        <v>0.2311948513047167</v>
      </c>
      <c r="AA159" t="n">
        <v>-2.775557561562891e-17</v>
      </c>
    </row>
    <row r="160">
      <c r="A160" t="inlineStr">
        <is>
          <t>2021-11-24</t>
        </is>
      </c>
      <c r="B160" t="inlineStr">
        <is>
          <t>CW</t>
        </is>
      </c>
      <c r="C160" t="inlineStr">
        <is>
          <t>09:18</t>
        </is>
      </c>
      <c r="D160" t="n">
        <v>54.32540755925511</v>
      </c>
      <c r="E160" t="n">
        <v>0.2595667055435356</v>
      </c>
      <c r="F160" t="n">
        <v>4.750961314606038</v>
      </c>
      <c r="G160" t="n">
        <v>0.3316645807259074</v>
      </c>
      <c r="H160" t="n">
        <v>0.1038798498122653</v>
      </c>
      <c r="I160" t="n">
        <v>0.5727568572756857</v>
      </c>
      <c r="J160" t="n">
        <v>0.2887691436704062</v>
      </c>
      <c r="K160" t="n">
        <v>0.6677157174036119</v>
      </c>
      <c r="L160" t="b">
        <v>0</v>
      </c>
      <c r="N160" t="n">
        <v>47.01141416598148</v>
      </c>
      <c r="O160" t="n">
        <v>0</v>
      </c>
      <c r="P160" t="n">
        <v>0</v>
      </c>
      <c r="Q160" t="n">
        <v>0</v>
      </c>
      <c r="R160" t="n">
        <v>9.071743800262714</v>
      </c>
      <c r="S160" t="n">
        <v>2.654600301659129</v>
      </c>
      <c r="T160" t="n">
        <v>0.3619909502262409</v>
      </c>
      <c r="U160" t="n">
        <v>0.4504881450488145</v>
      </c>
      <c r="V160" t="n">
        <v>0.4170153417015341</v>
      </c>
      <c r="W160" t="n">
        <v>0.8507670850767085</v>
      </c>
      <c r="X160" t="n">
        <v>0.2595667055435356</v>
      </c>
      <c r="Y160" t="n">
        <v>4.750961314606038</v>
      </c>
      <c r="Z160" t="n">
        <v>0.2887691436704062</v>
      </c>
      <c r="AA160" t="n">
        <v>5.551115123125783e-17</v>
      </c>
    </row>
    <row r="161">
      <c r="A161" t="inlineStr">
        <is>
          <t>2021-11-25</t>
        </is>
      </c>
      <c r="B161" t="inlineStr">
        <is>
          <t>CW</t>
        </is>
      </c>
      <c r="C161" t="inlineStr">
        <is>
          <t>09:16</t>
        </is>
      </c>
      <c r="D161" t="n">
        <v>2.650532161441087</v>
      </c>
      <c r="E161" t="n">
        <v>0.1477059518858275</v>
      </c>
      <c r="F161" t="n">
        <v>4.114353201771296</v>
      </c>
      <c r="G161" t="n">
        <v>0.02002503128911139</v>
      </c>
      <c r="H161" t="n">
        <v>0.06007509386733417</v>
      </c>
      <c r="I161" t="n">
        <v>0.9386331938633194</v>
      </c>
      <c r="J161" t="n">
        <v>0.2197666888352421</v>
      </c>
      <c r="K161" t="n">
        <v>0.6677157174036119</v>
      </c>
      <c r="L161" t="b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22.2601213090336</v>
      </c>
      <c r="S161" t="n">
        <v>31.28444256040695</v>
      </c>
      <c r="T161" t="n">
        <v>0.9325985587113136</v>
      </c>
      <c r="U161" t="n">
        <v>0.8256624825662483</v>
      </c>
      <c r="V161" t="n">
        <v>0.9916317991631799</v>
      </c>
      <c r="W161" t="n">
        <v>0.99860529986053</v>
      </c>
      <c r="X161" t="n">
        <v>0.1477059518858275</v>
      </c>
      <c r="Y161" t="n">
        <v>4.114353201771293</v>
      </c>
      <c r="Z161" t="n">
        <v>0.2197666888352421</v>
      </c>
      <c r="AA161" t="n">
        <v>2.775557561562891e-17</v>
      </c>
    </row>
    <row r="162">
      <c r="A162" t="inlineStr">
        <is>
          <t>2021-11-26</t>
        </is>
      </c>
      <c r="B162" t="inlineStr">
        <is>
          <t>CW</t>
        </is>
      </c>
      <c r="C162" t="inlineStr">
        <is>
          <t>09:17</t>
        </is>
      </c>
      <c r="D162" t="n">
        <v>32.8187778410953</v>
      </c>
      <c r="E162" t="n">
        <v>0.1869905312224814</v>
      </c>
      <c r="F162" t="n">
        <v>2.233849869319374</v>
      </c>
      <c r="G162" t="n">
        <v>0.07759699624530664</v>
      </c>
      <c r="H162" t="n">
        <v>0.01126408010012516</v>
      </c>
      <c r="I162" t="n">
        <v>0.7489539748953975</v>
      </c>
      <c r="J162" t="n">
        <v>0.1853352255172522</v>
      </c>
      <c r="K162" t="n">
        <v>0.6677157174036119</v>
      </c>
      <c r="L162" t="b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20.80393803254144</v>
      </c>
      <c r="S162" t="n">
        <v>5.554617592436262</v>
      </c>
      <c r="T162" t="n">
        <v>0.2870167145027839</v>
      </c>
      <c r="U162" t="n">
        <v>0.8047419804741981</v>
      </c>
      <c r="V162" t="n">
        <v>0.7238493723849372</v>
      </c>
      <c r="W162" t="n">
        <v>0.7182705718270572</v>
      </c>
      <c r="X162" t="n">
        <v>0.1869905312224814</v>
      </c>
      <c r="Y162" t="n">
        <v>2.233849869319371</v>
      </c>
      <c r="Z162" t="n">
        <v>0.1853352255172522</v>
      </c>
      <c r="AA162" t="n">
        <v>2.775557561562891e-17</v>
      </c>
    </row>
    <row r="163">
      <c r="A163" t="inlineStr">
        <is>
          <t>2021-11-29</t>
        </is>
      </c>
      <c r="B163" t="inlineStr">
        <is>
          <t>CW</t>
        </is>
      </c>
      <c r="C163" t="inlineStr">
        <is>
          <t>09:20+</t>
        </is>
      </c>
      <c r="D163" t="n">
        <v>20.38722476244125</v>
      </c>
      <c r="E163" t="n">
        <v>0.3939114010324554</v>
      </c>
      <c r="F163" t="n">
        <v>13.92243755990189</v>
      </c>
      <c r="G163" t="n">
        <v>0.9299123904881101</v>
      </c>
      <c r="H163" t="n">
        <v>0.9712140175219024</v>
      </c>
      <c r="I163" t="n">
        <v>0.6968851696885169</v>
      </c>
      <c r="J163" t="n">
        <v>0.8998275971417085</v>
      </c>
      <c r="K163" t="n">
        <v>0.6677157174036119</v>
      </c>
      <c r="L163" t="b">
        <v>1</v>
      </c>
      <c r="M163" t="inlineStr">
        <is>
          <t>top_quartile_risk</t>
        </is>
      </c>
      <c r="N163" t="n">
        <v>0</v>
      </c>
      <c r="O163" t="n">
        <v>0</v>
      </c>
      <c r="P163" t="n">
        <v>0</v>
      </c>
      <c r="Q163" t="n">
        <v>0</v>
      </c>
      <c r="R163" t="n">
        <v>22.70147559591545</v>
      </c>
      <c r="S163" t="n">
        <v>3.193876204302485</v>
      </c>
      <c r="T163" t="n">
        <v>0.3167480533192526</v>
      </c>
      <c r="U163" t="n">
        <v>0.8312412831241283</v>
      </c>
      <c r="V163" t="n">
        <v>0.4909344490934449</v>
      </c>
      <c r="W163" t="n">
        <v>0.7684797768479776</v>
      </c>
      <c r="X163" t="n">
        <v>0.3939114010324555</v>
      </c>
      <c r="Y163" t="n">
        <v>13.92243755990189</v>
      </c>
      <c r="Z163" t="n">
        <v>0.8998275971417085</v>
      </c>
      <c r="AA163" t="n">
        <v>0</v>
      </c>
    </row>
    <row r="164">
      <c r="A164" t="inlineStr">
        <is>
          <t>2021-11-30</t>
        </is>
      </c>
      <c r="B164" t="inlineStr">
        <is>
          <t>CW</t>
        </is>
      </c>
      <c r="C164" t="inlineStr">
        <is>
          <t>09:20+</t>
        </is>
      </c>
      <c r="D164" t="n">
        <v>37.12936141788161</v>
      </c>
      <c r="E164" t="n">
        <v>0.3090287297474086</v>
      </c>
      <c r="F164" t="n">
        <v>9.727010833464668</v>
      </c>
      <c r="G164" t="n">
        <v>0.6107634543178974</v>
      </c>
      <c r="H164" t="n">
        <v>0.7546933667083855</v>
      </c>
      <c r="I164" t="n">
        <v>0.6894467689446769</v>
      </c>
      <c r="J164" t="n">
        <v>0.6840720821994486</v>
      </c>
      <c r="K164" t="n">
        <v>0.6677157174036119</v>
      </c>
      <c r="L164" t="b">
        <v>1</v>
      </c>
      <c r="M164" t="inlineStr">
        <is>
          <t>top_quartile_risk</t>
        </is>
      </c>
      <c r="N164" t="n">
        <v>0</v>
      </c>
      <c r="O164" t="n">
        <v>0</v>
      </c>
      <c r="P164" t="n">
        <v>0</v>
      </c>
      <c r="Q164" t="n">
        <v>0</v>
      </c>
      <c r="R164" t="n">
        <v>22.40912833784389</v>
      </c>
      <c r="S164" t="n">
        <v>4.38405797101448</v>
      </c>
      <c r="T164" t="n">
        <v>0.2536231884057929</v>
      </c>
      <c r="U164" t="n">
        <v>0.8270571827057183</v>
      </c>
      <c r="V164" t="n">
        <v>0.6345885634588564</v>
      </c>
      <c r="W164" t="n">
        <v>0.606694560669456</v>
      </c>
      <c r="X164" t="n">
        <v>0.3090287297474085</v>
      </c>
      <c r="Y164" t="n">
        <v>9.727010833464671</v>
      </c>
      <c r="Z164" t="n">
        <v>0.6840720821994486</v>
      </c>
      <c r="AA164" t="n">
        <v>0</v>
      </c>
    </row>
    <row r="165">
      <c r="A165" t="inlineStr">
        <is>
          <t>2021-12-01</t>
        </is>
      </c>
      <c r="B165" t="inlineStr">
        <is>
          <t>CW</t>
        </is>
      </c>
      <c r="C165" t="inlineStr">
        <is>
          <t>09:16</t>
        </is>
      </c>
      <c r="D165" t="n">
        <v>63.25080922495488</v>
      </c>
      <c r="E165" t="n">
        <v>0.1382202520746602</v>
      </c>
      <c r="F165" t="n">
        <v>5.511611170615458</v>
      </c>
      <c r="G165" t="n">
        <v>0.01501877346683354</v>
      </c>
      <c r="H165" t="n">
        <v>0.2027534418022528</v>
      </c>
      <c r="I165" t="n">
        <v>0.9651324965132497</v>
      </c>
      <c r="J165" t="n">
        <v>0.2801353854102845</v>
      </c>
      <c r="K165" t="n">
        <v>0.6677157174036119</v>
      </c>
      <c r="L165" t="b">
        <v>0</v>
      </c>
      <c r="N165" t="n">
        <v>0</v>
      </c>
      <c r="O165" t="n">
        <v>0</v>
      </c>
      <c r="P165" t="n">
        <v>0</v>
      </c>
      <c r="Q165" t="n">
        <v>0</v>
      </c>
      <c r="R165" t="n">
        <v>57.50040801100338</v>
      </c>
      <c r="S165" t="n">
        <v>13.97560975609756</v>
      </c>
      <c r="T165" t="n">
        <v>0.7560975609756153</v>
      </c>
      <c r="U165" t="n">
        <v>0.9860529986052998</v>
      </c>
      <c r="V165" t="n">
        <v>0.9191073919107392</v>
      </c>
      <c r="W165" t="n">
        <v>0.9902370990237099</v>
      </c>
      <c r="X165" t="n">
        <v>0.1382202520746602</v>
      </c>
      <c r="Y165" t="n">
        <v>5.511611170615462</v>
      </c>
      <c r="Z165" t="n">
        <v>0.2801353854102845</v>
      </c>
      <c r="AA165" t="n">
        <v>0</v>
      </c>
    </row>
    <row r="166">
      <c r="A166" t="inlineStr">
        <is>
          <t>2021-12-02</t>
        </is>
      </c>
      <c r="B166" t="inlineStr">
        <is>
          <t>CW</t>
        </is>
      </c>
      <c r="C166" t="inlineStr">
        <is>
          <t>09:16</t>
        </is>
      </c>
      <c r="D166" t="n">
        <v>18.22406404836532</v>
      </c>
      <c r="E166" t="n">
        <v>0.188589799428772</v>
      </c>
      <c r="F166" t="n">
        <v>5.950740425800376</v>
      </c>
      <c r="G166" t="n">
        <v>0.08385481852315395</v>
      </c>
      <c r="H166" t="n">
        <v>0.2590738423028786</v>
      </c>
      <c r="I166" t="n">
        <v>0.9423523942352395</v>
      </c>
      <c r="J166" t="n">
        <v>0.325641943177461</v>
      </c>
      <c r="K166" t="n">
        <v>0.6677157174036119</v>
      </c>
      <c r="L166" t="b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31.21675386566181</v>
      </c>
      <c r="S166" t="n">
        <v>14.43337024732374</v>
      </c>
      <c r="T166" t="n">
        <v>0.8490217792543416</v>
      </c>
      <c r="U166" t="n">
        <v>0.9093444909344491</v>
      </c>
      <c r="V166" t="n">
        <v>0.9246861924686193</v>
      </c>
      <c r="W166" t="n">
        <v>0.99302649930265</v>
      </c>
      <c r="X166" t="n">
        <v>0.188589799428772</v>
      </c>
      <c r="Y166" t="n">
        <v>5.950740425800377</v>
      </c>
      <c r="Z166" t="n">
        <v>0.325641943177461</v>
      </c>
      <c r="AA166" t="n">
        <v>0</v>
      </c>
    </row>
    <row r="167">
      <c r="A167" t="inlineStr">
        <is>
          <t>2021-12-03</t>
        </is>
      </c>
      <c r="B167" t="inlineStr">
        <is>
          <t>CW</t>
        </is>
      </c>
      <c r="C167" t="inlineStr">
        <is>
          <t>09:16</t>
        </is>
      </c>
      <c r="D167" t="n">
        <v>34.31326777499433</v>
      </c>
      <c r="E167" t="n">
        <v>0.1826464349902095</v>
      </c>
      <c r="F167" t="n">
        <v>6.782848630839332</v>
      </c>
      <c r="G167" t="n">
        <v>0.06883604505632041</v>
      </c>
      <c r="H167" t="n">
        <v>0.3917396745932415</v>
      </c>
      <c r="I167" t="n">
        <v>0.8805206880520687</v>
      </c>
      <c r="J167" t="n">
        <v>0.3603344254702386</v>
      </c>
      <c r="K167" t="n">
        <v>0.6677157174036119</v>
      </c>
      <c r="L167" t="b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31.55179275453939</v>
      </c>
      <c r="S167" t="n">
        <v>7.244295516195944</v>
      </c>
      <c r="T167" t="n">
        <v>0.4627413435455614</v>
      </c>
      <c r="U167" t="n">
        <v>0.9135285913528591</v>
      </c>
      <c r="V167" t="n">
        <v>0.7949790794979079</v>
      </c>
      <c r="W167" t="n">
        <v>0.9330543933054394</v>
      </c>
      <c r="X167" t="n">
        <v>0.1826464349902095</v>
      </c>
      <c r="Y167" t="n">
        <v>6.782848630839331</v>
      </c>
      <c r="Z167" t="n">
        <v>0.3603344254702386</v>
      </c>
      <c r="AA167" t="n">
        <v>0</v>
      </c>
    </row>
    <row r="168">
      <c r="A168" t="inlineStr">
        <is>
          <t>2021-12-06</t>
        </is>
      </c>
      <c r="B168" t="inlineStr">
        <is>
          <t>CW</t>
        </is>
      </c>
      <c r="C168" t="inlineStr">
        <is>
          <t>09:18</t>
        </is>
      </c>
      <c r="D168" t="n">
        <v>33.19003575117284</v>
      </c>
      <c r="E168" t="n">
        <v>0.2880084433487225</v>
      </c>
      <c r="F168" t="n">
        <v>7.525396801615336</v>
      </c>
      <c r="G168" t="n">
        <v>0.5081351689612015</v>
      </c>
      <c r="H168" t="n">
        <v>0.4843554443053817</v>
      </c>
      <c r="I168" t="n">
        <v>0.6541143654114365</v>
      </c>
      <c r="J168" t="n">
        <v>0.5278191183889207</v>
      </c>
      <c r="K168" t="n">
        <v>0.6677157174036119</v>
      </c>
      <c r="L168" t="b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28.26910790397298</v>
      </c>
      <c r="S168" t="n">
        <v>1.977729765663967</v>
      </c>
      <c r="T168" t="n">
        <v>0.3323915572544457</v>
      </c>
      <c r="U168" t="n">
        <v>0.898186889818689</v>
      </c>
      <c r="V168" t="n">
        <v>0.2635983263598327</v>
      </c>
      <c r="W168" t="n">
        <v>0.800557880055788</v>
      </c>
      <c r="X168" t="n">
        <v>0.2880084433487225</v>
      </c>
      <c r="Y168" t="n">
        <v>7.525396801615337</v>
      </c>
      <c r="Z168" t="n">
        <v>0.5278191183889207</v>
      </c>
      <c r="AA168" t="n">
        <v>0</v>
      </c>
    </row>
    <row r="169">
      <c r="A169" t="inlineStr">
        <is>
          <t>2021-12-07</t>
        </is>
      </c>
      <c r="B169" t="inlineStr">
        <is>
          <t>CW</t>
        </is>
      </c>
      <c r="C169" t="inlineStr">
        <is>
          <t>09:17</t>
        </is>
      </c>
      <c r="D169" t="n">
        <v>6.405371268317639</v>
      </c>
      <c r="E169" t="n">
        <v>0.2387599792576277</v>
      </c>
      <c r="F169" t="n">
        <v>7.136259794317125</v>
      </c>
      <c r="G169" t="n">
        <v>0.2177722152690864</v>
      </c>
      <c r="H169" t="n">
        <v>0.4330413016270338</v>
      </c>
      <c r="I169" t="n">
        <v>0.5583449558344956</v>
      </c>
      <c r="J169" t="n">
        <v>0.3719943979253472</v>
      </c>
      <c r="K169" t="n">
        <v>0.6677157174036119</v>
      </c>
      <c r="L169" t="b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21.82368573892579</v>
      </c>
      <c r="S169" t="n">
        <v>2.866923406076173</v>
      </c>
      <c r="T169" t="n">
        <v>0.2139495079161378</v>
      </c>
      <c r="U169" t="n">
        <v>0.8186889818688982</v>
      </c>
      <c r="V169" t="n">
        <v>0.4532775453277545</v>
      </c>
      <c r="W169" t="n">
        <v>0.403068340306834</v>
      </c>
      <c r="X169" t="n">
        <v>0.2387599792576277</v>
      </c>
      <c r="Y169" t="n">
        <v>7.136259794317127</v>
      </c>
      <c r="Z169" t="n">
        <v>0.3719943979253472</v>
      </c>
      <c r="AA169" t="n">
        <v>-5.551115123125783e-17</v>
      </c>
    </row>
    <row r="170">
      <c r="A170" t="inlineStr">
        <is>
          <t>2021-12-08</t>
        </is>
      </c>
      <c r="B170" t="inlineStr">
        <is>
          <t>CW</t>
        </is>
      </c>
      <c r="C170" t="inlineStr">
        <is>
          <t>09:18</t>
        </is>
      </c>
      <c r="D170" t="n">
        <v>7.283877351553532</v>
      </c>
      <c r="E170" t="n">
        <v>0.3111799037630322</v>
      </c>
      <c r="F170" t="n">
        <v>8.881707358573612</v>
      </c>
      <c r="G170" t="n">
        <v>0.6207759699624531</v>
      </c>
      <c r="H170" t="n">
        <v>0.6608260325406758</v>
      </c>
      <c r="I170" t="n">
        <v>0.5499767549976755</v>
      </c>
      <c r="J170" t="n">
        <v>0.6226361520007868</v>
      </c>
      <c r="K170" t="n">
        <v>0.6677157174036119</v>
      </c>
      <c r="L170" t="b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11.72359957714304</v>
      </c>
      <c r="S170" t="n">
        <v>2.242549424609036</v>
      </c>
      <c r="T170" t="n">
        <v>0.2950722927117143</v>
      </c>
      <c r="U170" t="n">
        <v>0.592747559274756</v>
      </c>
      <c r="V170" t="n">
        <v>0.3235704323570432</v>
      </c>
      <c r="W170" t="n">
        <v>0.7336122733612274</v>
      </c>
      <c r="X170" t="n">
        <v>0.3111799037630322</v>
      </c>
      <c r="Y170" t="n">
        <v>8.881707358573612</v>
      </c>
      <c r="Z170" t="n">
        <v>0.6226361520007868</v>
      </c>
      <c r="AA170" t="n">
        <v>0</v>
      </c>
    </row>
    <row r="171">
      <c r="A171" t="inlineStr">
        <is>
          <t>2021-12-09</t>
        </is>
      </c>
      <c r="B171" t="inlineStr">
        <is>
          <t>CW</t>
        </is>
      </c>
      <c r="C171" t="inlineStr">
        <is>
          <t>09:18</t>
        </is>
      </c>
      <c r="D171" t="n">
        <v>-27.26437385007586</v>
      </c>
      <c r="E171" t="n">
        <v>0.3240638212373644</v>
      </c>
      <c r="F171" t="n">
        <v>8.338698099502375</v>
      </c>
      <c r="G171" t="n">
        <v>0.6983729662077597</v>
      </c>
      <c r="H171" t="n">
        <v>0.5869837296620776</v>
      </c>
      <c r="I171" t="n">
        <v>0.4704788470478847</v>
      </c>
      <c r="J171" t="n">
        <v>0.6082384477575119</v>
      </c>
      <c r="K171" t="n">
        <v>0.6677157174036119</v>
      </c>
      <c r="L171" t="b">
        <v>0</v>
      </c>
      <c r="N171" t="n">
        <v>0</v>
      </c>
      <c r="O171" t="n">
        <v>0</v>
      </c>
      <c r="P171" t="n">
        <v>1</v>
      </c>
      <c r="Q171" t="n">
        <v>27.26437385007586</v>
      </c>
      <c r="R171" t="n">
        <v>5.048761912369571</v>
      </c>
      <c r="S171" t="n">
        <v>3.530005042864347</v>
      </c>
      <c r="T171" t="n">
        <v>0.3025718608169483</v>
      </c>
      <c r="U171" t="n">
        <v>0.1297071129707113</v>
      </c>
      <c r="V171" t="n">
        <v>0.5299860529986054</v>
      </c>
      <c r="W171" t="n">
        <v>0.7517433751743375</v>
      </c>
      <c r="X171" t="n">
        <v>0.3240638212373644</v>
      </c>
      <c r="Y171" t="n">
        <v>8.338698099502377</v>
      </c>
      <c r="Z171" t="n">
        <v>0.6082384477575119</v>
      </c>
      <c r="AA171" t="n">
        <v>0</v>
      </c>
    </row>
    <row r="172">
      <c r="A172" t="inlineStr">
        <is>
          <t>2021-12-10</t>
        </is>
      </c>
      <c r="B172" t="inlineStr">
        <is>
          <t>CW</t>
        </is>
      </c>
      <c r="C172" t="inlineStr">
        <is>
          <t>09:16</t>
        </is>
      </c>
      <c r="D172" t="n">
        <v>32.23085284121957</v>
      </c>
      <c r="E172" t="n">
        <v>0.1521019630851247</v>
      </c>
      <c r="F172" t="n">
        <v>3.602602581363165</v>
      </c>
      <c r="G172" t="n">
        <v>0.0262828535669587</v>
      </c>
      <c r="H172" t="n">
        <v>0.03629536921151439</v>
      </c>
      <c r="I172" t="n">
        <v>0.8735471873547187</v>
      </c>
      <c r="J172" t="n">
        <v>0.199740726582333</v>
      </c>
      <c r="K172" t="n">
        <v>0.6677157174036119</v>
      </c>
      <c r="L172" t="b">
        <v>0</v>
      </c>
      <c r="N172" t="n">
        <v>27.26437385007603</v>
      </c>
      <c r="O172" t="n">
        <v>1</v>
      </c>
      <c r="P172" t="n">
        <v>0</v>
      </c>
      <c r="Q172" t="n">
        <v>0</v>
      </c>
      <c r="R172" t="n">
        <v>28.2424381301554</v>
      </c>
      <c r="S172" t="n">
        <v>6.129476584022023</v>
      </c>
      <c r="T172" t="n">
        <v>0.5853994490358185</v>
      </c>
      <c r="U172" t="n">
        <v>0.8967921896792189</v>
      </c>
      <c r="V172" t="n">
        <v>0.7517433751743375</v>
      </c>
      <c r="W172" t="n">
        <v>0.9721059972105998</v>
      </c>
      <c r="X172" t="n">
        <v>0.1521019630851248</v>
      </c>
      <c r="Y172" t="n">
        <v>3.602602581363162</v>
      </c>
      <c r="Z172" t="n">
        <v>0.199740726582333</v>
      </c>
      <c r="AA172" t="n">
        <v>0</v>
      </c>
    </row>
    <row r="173">
      <c r="A173" t="inlineStr">
        <is>
          <t>2021-12-13</t>
        </is>
      </c>
      <c r="B173" t="inlineStr">
        <is>
          <t>CW</t>
        </is>
      </c>
      <c r="C173" t="inlineStr">
        <is>
          <t>09:20+</t>
        </is>
      </c>
      <c r="D173" t="n">
        <v>-10.09893974956565</v>
      </c>
      <c r="E173" t="n">
        <v>0.334483539159903</v>
      </c>
      <c r="F173" t="n">
        <v>11.05089154474102</v>
      </c>
      <c r="G173" t="n">
        <v>0.7596996245306633</v>
      </c>
      <c r="H173" t="n">
        <v>0.8848560700876095</v>
      </c>
      <c r="I173" t="n">
        <v>0.6834030683403068</v>
      </c>
      <c r="J173" t="n">
        <v>0.7945028915153706</v>
      </c>
      <c r="K173" t="n">
        <v>0.6677157174036119</v>
      </c>
      <c r="L173" t="b">
        <v>1</v>
      </c>
      <c r="M173" t="inlineStr">
        <is>
          <t>top_quartile_risk</t>
        </is>
      </c>
      <c r="N173" t="n">
        <v>0</v>
      </c>
      <c r="O173" t="n">
        <v>0</v>
      </c>
      <c r="P173" t="n">
        <v>1</v>
      </c>
      <c r="Q173" t="n">
        <v>10.09893974956565</v>
      </c>
      <c r="R173" t="n">
        <v>19.79479679627153</v>
      </c>
      <c r="S173" t="n">
        <v>3.846153846153846</v>
      </c>
      <c r="T173" t="n">
        <v>0.2777777777777802</v>
      </c>
      <c r="U173" t="n">
        <v>0.7852161785216178</v>
      </c>
      <c r="V173" t="n">
        <v>0.5746164574616457</v>
      </c>
      <c r="W173" t="n">
        <v>0.6903765690376569</v>
      </c>
      <c r="X173" t="n">
        <v>0.334483539159903</v>
      </c>
      <c r="Y173" t="n">
        <v>11.05089154474102</v>
      </c>
      <c r="Z173" t="n">
        <v>0.7945028915153706</v>
      </c>
      <c r="AA173" t="n">
        <v>0</v>
      </c>
    </row>
    <row r="174">
      <c r="A174" t="inlineStr">
        <is>
          <t>2021-12-15</t>
        </is>
      </c>
      <c r="B174" t="inlineStr">
        <is>
          <t>CW</t>
        </is>
      </c>
      <c r="C174" t="inlineStr">
        <is>
          <t>09:18</t>
        </is>
      </c>
      <c r="D174" t="n">
        <v>-24.87469431661304</v>
      </c>
      <c r="E174" t="n">
        <v>0.3050891620780506</v>
      </c>
      <c r="F174" t="n">
        <v>7.205311906883846</v>
      </c>
      <c r="G174" t="n">
        <v>0.5919899874843555</v>
      </c>
      <c r="H174" t="n">
        <v>0.4468085106382979</v>
      </c>
      <c r="I174" t="n">
        <v>0.4816364481636448</v>
      </c>
      <c r="J174" t="n">
        <v>0.5118466888817903</v>
      </c>
      <c r="K174" t="n">
        <v>0.6677157174036119</v>
      </c>
      <c r="L174" t="b">
        <v>0</v>
      </c>
      <c r="N174" t="n">
        <v>10.09893974956549</v>
      </c>
      <c r="O174" t="n">
        <v>1</v>
      </c>
      <c r="P174" t="n">
        <v>1</v>
      </c>
      <c r="Q174" t="n">
        <v>24.87469431661304</v>
      </c>
      <c r="R174" t="n">
        <v>10.72379876157337</v>
      </c>
      <c r="S174" t="n">
        <v>1.806559199555308</v>
      </c>
      <c r="T174" t="n">
        <v>0.2779321845469705</v>
      </c>
      <c r="U174" t="n">
        <v>0.5369595536959554</v>
      </c>
      <c r="V174" t="n">
        <v>0.2161785216178522</v>
      </c>
      <c r="W174" t="n">
        <v>0.6917712691771269</v>
      </c>
      <c r="X174" t="n">
        <v>0.3050891620780506</v>
      </c>
      <c r="Y174" t="n">
        <v>7.205311906883846</v>
      </c>
      <c r="Z174" t="n">
        <v>0.5118466888817903</v>
      </c>
      <c r="AA174" t="n">
        <v>0</v>
      </c>
    </row>
    <row r="175">
      <c r="A175" t="inlineStr">
        <is>
          <t>2021-12-16</t>
        </is>
      </c>
      <c r="B175" t="inlineStr">
        <is>
          <t>CW</t>
        </is>
      </c>
      <c r="C175" t="inlineStr">
        <is>
          <t>09:18</t>
        </is>
      </c>
      <c r="D175" t="n">
        <v>18.59714291370415</v>
      </c>
      <c r="E175" t="n">
        <v>0.2903164022034958</v>
      </c>
      <c r="F175" t="n">
        <v>9.117223918045299</v>
      </c>
      <c r="G175" t="n">
        <v>0.5269086357947435</v>
      </c>
      <c r="H175" t="n">
        <v>0.6921151439299124</v>
      </c>
      <c r="I175" t="n">
        <v>0.4676894467689447</v>
      </c>
      <c r="J175" t="n">
        <v>0.5811474012436513</v>
      </c>
      <c r="K175" t="n">
        <v>0.6677157174036119</v>
      </c>
      <c r="L175" t="b">
        <v>0</v>
      </c>
      <c r="N175" t="n">
        <v>34.97363406617842</v>
      </c>
      <c r="O175" t="n">
        <v>2</v>
      </c>
      <c r="P175" t="n">
        <v>0</v>
      </c>
      <c r="Q175" t="n">
        <v>0</v>
      </c>
      <c r="R175" t="n">
        <v>6.804525586171192</v>
      </c>
      <c r="S175" t="n">
        <v>2.464958917351375</v>
      </c>
      <c r="T175" t="n">
        <v>0.2899951667472181</v>
      </c>
      <c r="U175" t="n">
        <v>0.295676429567643</v>
      </c>
      <c r="V175" t="n">
        <v>0.3835425383542538</v>
      </c>
      <c r="W175" t="n">
        <v>0.7238493723849372</v>
      </c>
      <c r="X175" t="n">
        <v>0.2903164022034958</v>
      </c>
      <c r="Y175" t="n">
        <v>9.117223918045298</v>
      </c>
      <c r="Z175" t="n">
        <v>0.5811474012436513</v>
      </c>
      <c r="AA175" t="n">
        <v>0</v>
      </c>
    </row>
    <row r="176">
      <c r="A176" t="inlineStr">
        <is>
          <t>2021-12-20</t>
        </is>
      </c>
      <c r="B176" t="inlineStr">
        <is>
          <t>CW</t>
        </is>
      </c>
      <c r="C176" t="inlineStr">
        <is>
          <t>09:18</t>
        </is>
      </c>
      <c r="D176" t="n">
        <v>13.22888205589915</v>
      </c>
      <c r="E176" t="n">
        <v>0.351054082251614</v>
      </c>
      <c r="F176" t="n">
        <v>6.80939478628593</v>
      </c>
      <c r="G176" t="n">
        <v>0.818523153942428</v>
      </c>
      <c r="H176" t="n">
        <v>0.3979974968710889</v>
      </c>
      <c r="I176" t="n">
        <v>0.4109716410971642</v>
      </c>
      <c r="J176" t="n">
        <v>0.5688025885448397</v>
      </c>
      <c r="K176" t="n">
        <v>0.6677157174036119</v>
      </c>
      <c r="L176" t="b">
        <v>0</v>
      </c>
      <c r="N176" t="n">
        <v>16.37649115247405</v>
      </c>
      <c r="O176" t="n">
        <v>0</v>
      </c>
      <c r="P176" t="n">
        <v>0</v>
      </c>
      <c r="Q176" t="n">
        <v>0</v>
      </c>
      <c r="R176" t="n">
        <v>10.37335121842251</v>
      </c>
      <c r="S176" t="n">
        <v>2.251376741172656</v>
      </c>
      <c r="T176" t="n">
        <v>0.2105604146420491</v>
      </c>
      <c r="U176" t="n">
        <v>0.5244072524407253</v>
      </c>
      <c r="V176" t="n">
        <v>0.3249651324965133</v>
      </c>
      <c r="W176" t="n">
        <v>0.3835425383542538</v>
      </c>
      <c r="X176" t="n">
        <v>0.351054082251614</v>
      </c>
      <c r="Y176" t="n">
        <v>6.80939478628593</v>
      </c>
      <c r="Z176" t="n">
        <v>0.5688025885448397</v>
      </c>
      <c r="AA176" t="n">
        <v>0</v>
      </c>
    </row>
    <row r="177">
      <c r="A177" t="inlineStr">
        <is>
          <t>2021-12-22</t>
        </is>
      </c>
      <c r="B177" t="inlineStr">
        <is>
          <t>CW</t>
        </is>
      </c>
      <c r="C177" t="inlineStr">
        <is>
          <t>09:18</t>
        </is>
      </c>
      <c r="D177" t="n">
        <v>60.42114697141871</v>
      </c>
      <c r="E177" t="n">
        <v>0.3517611799756516</v>
      </c>
      <c r="F177" t="n">
        <v>8.59648096118775</v>
      </c>
      <c r="G177" t="n">
        <v>0.8222778473091364</v>
      </c>
      <c r="H177" t="n">
        <v>0.6207759699624531</v>
      </c>
      <c r="I177" t="n">
        <v>0.2589493258949326</v>
      </c>
      <c r="J177" t="n">
        <v>0.6290113920876224</v>
      </c>
      <c r="K177" t="n">
        <v>0.6677157174036119</v>
      </c>
      <c r="L177" t="b">
        <v>0</v>
      </c>
      <c r="N177" t="n">
        <v>3.147609096574797</v>
      </c>
      <c r="O177" t="n">
        <v>0</v>
      </c>
      <c r="P177" t="n">
        <v>0</v>
      </c>
      <c r="Q177" t="n">
        <v>0</v>
      </c>
      <c r="R177" t="n">
        <v>8.288928359976317</v>
      </c>
      <c r="S177" t="n">
        <v>1.508620689655178</v>
      </c>
      <c r="T177" t="n">
        <v>0.1885775862068934</v>
      </c>
      <c r="U177" t="n">
        <v>0.398884239888424</v>
      </c>
      <c r="V177" t="n">
        <v>0.1338912133891213</v>
      </c>
      <c r="W177" t="n">
        <v>0.2440725244072524</v>
      </c>
      <c r="X177" t="n">
        <v>0.3517611799756515</v>
      </c>
      <c r="Y177" t="n">
        <v>8.596480961187748</v>
      </c>
      <c r="Z177" t="n">
        <v>0.6290113920876224</v>
      </c>
      <c r="AA177" t="n">
        <v>0</v>
      </c>
    </row>
    <row r="178">
      <c r="A178" t="inlineStr">
        <is>
          <t>2021-12-23</t>
        </is>
      </c>
      <c r="B178" t="inlineStr">
        <is>
          <t>CW</t>
        </is>
      </c>
      <c r="C178" t="inlineStr">
        <is>
          <t>09:18</t>
        </is>
      </c>
      <c r="D178" t="n">
        <v>46.66229403751511</v>
      </c>
      <c r="E178" t="n">
        <v>0.3138601574481874</v>
      </c>
      <c r="F178" t="n">
        <v>7.801152890881221</v>
      </c>
      <c r="G178" t="n">
        <v>0.6382978723404256</v>
      </c>
      <c r="H178" t="n">
        <v>0.5206508135168961</v>
      </c>
      <c r="I178" t="n">
        <v>0.5918177591817759</v>
      </c>
      <c r="J178" t="n">
        <v>0.5819430261792838</v>
      </c>
      <c r="K178" t="n">
        <v>0.6677157174036119</v>
      </c>
      <c r="L178" t="b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8.976687015779182</v>
      </c>
      <c r="S178" t="n">
        <v>3.164880040837156</v>
      </c>
      <c r="T178" t="n">
        <v>0.3573251659009714</v>
      </c>
      <c r="U178" t="n">
        <v>0.4407252440725244</v>
      </c>
      <c r="V178" t="n">
        <v>0.4895397489539749</v>
      </c>
      <c r="W178" t="n">
        <v>0.8451882845188284</v>
      </c>
      <c r="X178" t="n">
        <v>0.3138601574481873</v>
      </c>
      <c r="Y178" t="n">
        <v>7.801152890881219</v>
      </c>
      <c r="Z178" t="n">
        <v>0.5819430261792838</v>
      </c>
      <c r="AA178" t="n">
        <v>0</v>
      </c>
    </row>
    <row r="179">
      <c r="A179" t="inlineStr">
        <is>
          <t>2021-12-24</t>
        </is>
      </c>
      <c r="B179" t="inlineStr">
        <is>
          <t>CW</t>
        </is>
      </c>
      <c r="C179" t="inlineStr">
        <is>
          <t>09:16</t>
        </is>
      </c>
      <c r="D179" t="n">
        <v>-2.348856387909219</v>
      </c>
      <c r="E179" t="n">
        <v>0.2183296607335614</v>
      </c>
      <c r="F179" t="n">
        <v>6.317462352968944</v>
      </c>
      <c r="G179" t="n">
        <v>0.1439299123904881</v>
      </c>
      <c r="H179" t="n">
        <v>0.3141426783479349</v>
      </c>
      <c r="I179" t="n">
        <v>0.7596466759646677</v>
      </c>
      <c r="J179" t="n">
        <v>0.3351583714883027</v>
      </c>
      <c r="K179" t="n">
        <v>0.6677157174036119</v>
      </c>
      <c r="L179" t="b">
        <v>0</v>
      </c>
      <c r="N179" t="n">
        <v>0</v>
      </c>
      <c r="O179" t="n">
        <v>0</v>
      </c>
      <c r="P179" t="n">
        <v>1</v>
      </c>
      <c r="Q179" t="n">
        <v>2.348856387909219</v>
      </c>
      <c r="R179" t="n">
        <v>20.78406496554948</v>
      </c>
      <c r="S179" t="n">
        <v>4.269500990812474</v>
      </c>
      <c r="T179" t="n">
        <v>0.3602954422626656</v>
      </c>
      <c r="U179" t="n">
        <v>0.803347280334728</v>
      </c>
      <c r="V179" t="n">
        <v>0.6262203626220363</v>
      </c>
      <c r="W179" t="n">
        <v>0.8493723849372385</v>
      </c>
      <c r="X179" t="n">
        <v>0.2183296607335614</v>
      </c>
      <c r="Y179" t="n">
        <v>6.317462352968946</v>
      </c>
      <c r="Z179" t="n">
        <v>0.3351583714883027</v>
      </c>
      <c r="AA179" t="n">
        <v>5.551115123125783e-17</v>
      </c>
    </row>
    <row r="180">
      <c r="A180" t="inlineStr">
        <is>
          <t>2021-12-27</t>
        </is>
      </c>
      <c r="B180" t="inlineStr">
        <is>
          <t>CW</t>
        </is>
      </c>
      <c r="C180" t="inlineStr">
        <is>
          <t>09:16</t>
        </is>
      </c>
      <c r="D180" t="n">
        <v>-7.357834282918594</v>
      </c>
      <c r="E180" t="n">
        <v>0.15966137716363</v>
      </c>
      <c r="F180" t="n">
        <v>2.5654004296489</v>
      </c>
      <c r="G180" t="n">
        <v>0.03504380475594493</v>
      </c>
      <c r="H180" t="n">
        <v>0.01752190237797246</v>
      </c>
      <c r="I180" t="n">
        <v>0.8907484890748489</v>
      </c>
      <c r="J180" t="n">
        <v>0.1991759806685368</v>
      </c>
      <c r="K180" t="n">
        <v>0.6677157174036119</v>
      </c>
      <c r="L180" t="b">
        <v>0</v>
      </c>
      <c r="N180" t="n">
        <v>2.348856387909109</v>
      </c>
      <c r="O180" t="n">
        <v>1</v>
      </c>
      <c r="P180" t="n">
        <v>1</v>
      </c>
      <c r="Q180" t="n">
        <v>7.357834282918594</v>
      </c>
      <c r="R180" t="n">
        <v>42.26094579226817</v>
      </c>
      <c r="S180" t="n">
        <v>15.58367963732527</v>
      </c>
      <c r="T180" t="n">
        <v>0.3211182470721658</v>
      </c>
      <c r="U180" t="n">
        <v>0.9595536959553695</v>
      </c>
      <c r="V180" t="n">
        <v>0.9358437935843794</v>
      </c>
      <c r="W180" t="n">
        <v>0.7768479776847977</v>
      </c>
      <c r="X180" t="n">
        <v>0.15966137716363</v>
      </c>
      <c r="Y180" t="n">
        <v>2.565400429648899</v>
      </c>
      <c r="Z180" t="n">
        <v>0.1991759806685368</v>
      </c>
      <c r="AA180" t="n">
        <v>-5.551115123125783e-17</v>
      </c>
    </row>
    <row r="181">
      <c r="A181" t="inlineStr">
        <is>
          <t>2021-12-29</t>
        </is>
      </c>
      <c r="B181" t="inlineStr">
        <is>
          <t>CW</t>
        </is>
      </c>
      <c r="C181" t="inlineStr">
        <is>
          <t>09:17</t>
        </is>
      </c>
      <c r="D181" t="n">
        <v>29.83569291072201</v>
      </c>
      <c r="E181" t="n">
        <v>0.2514063350414028</v>
      </c>
      <c r="F181" t="n">
        <v>6.439577567343623</v>
      </c>
      <c r="G181" t="n">
        <v>0.2765957446808511</v>
      </c>
      <c r="H181" t="n">
        <v>0.3304130162703379</v>
      </c>
      <c r="I181" t="n">
        <v>0.5797303579730357</v>
      </c>
      <c r="J181" t="n">
        <v>0.3587495759750827</v>
      </c>
      <c r="K181" t="n">
        <v>0.6677157174036119</v>
      </c>
      <c r="L181" t="b">
        <v>0</v>
      </c>
      <c r="N181" t="n">
        <v>9.706690670827811</v>
      </c>
      <c r="O181" t="n">
        <v>2</v>
      </c>
      <c r="P181" t="n">
        <v>0</v>
      </c>
      <c r="Q181" t="n">
        <v>0</v>
      </c>
      <c r="R181" t="n">
        <v>12.12297405334606</v>
      </c>
      <c r="S181" t="n">
        <v>3.304178814382874</v>
      </c>
      <c r="T181" t="n">
        <v>0.2591512795594465</v>
      </c>
      <c r="U181" t="n">
        <v>0.606694560669456</v>
      </c>
      <c r="V181" t="n">
        <v>0.5076708507670851</v>
      </c>
      <c r="W181" t="n">
        <v>0.6248256624825662</v>
      </c>
      <c r="X181" t="n">
        <v>0.2514063350414028</v>
      </c>
      <c r="Y181" t="n">
        <v>6.439577567343624</v>
      </c>
      <c r="Z181" t="n">
        <v>0.3587495759750827</v>
      </c>
      <c r="AA181" t="n">
        <v>0</v>
      </c>
    </row>
    <row r="182">
      <c r="A182" t="inlineStr">
        <is>
          <t>2021-12-30</t>
        </is>
      </c>
      <c r="B182" t="inlineStr">
        <is>
          <t>CW</t>
        </is>
      </c>
      <c r="C182" t="inlineStr">
        <is>
          <t>09:16</t>
        </is>
      </c>
      <c r="D182" t="n">
        <v>27.95385193658521</v>
      </c>
      <c r="E182" t="n">
        <v>0.2016527040937524</v>
      </c>
      <c r="F182" t="n">
        <v>6.54944279302069</v>
      </c>
      <c r="G182" t="n">
        <v>0.1051314142678348</v>
      </c>
      <c r="H182" t="n">
        <v>0.3504380475594493</v>
      </c>
      <c r="I182" t="n">
        <v>0.896792189679219</v>
      </c>
      <c r="J182" t="n">
        <v>0.3615862226667574</v>
      </c>
      <c r="K182" t="n">
        <v>0.6677157174036119</v>
      </c>
      <c r="L182" t="b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27.32057402331945</v>
      </c>
      <c r="S182" t="n">
        <v>7.536231884057982</v>
      </c>
      <c r="T182" t="n">
        <v>0.7729468599033857</v>
      </c>
      <c r="U182" t="n">
        <v>0.8898186889818689</v>
      </c>
      <c r="V182" t="n">
        <v>0.8089260808926081</v>
      </c>
      <c r="W182" t="n">
        <v>0.9916317991631799</v>
      </c>
      <c r="X182" t="n">
        <v>0.2016527040937524</v>
      </c>
      <c r="Y182" t="n">
        <v>6.54944279302069</v>
      </c>
      <c r="Z182" t="n">
        <v>0.3615862226667574</v>
      </c>
      <c r="AA182" t="n">
        <v>5.551115123125783e-17</v>
      </c>
    </row>
    <row r="183">
      <c r="A183" t="inlineStr">
        <is>
          <t>2021-12-31</t>
        </is>
      </c>
      <c r="B183" t="inlineStr">
        <is>
          <t>CW</t>
        </is>
      </c>
      <c r="C183" t="inlineStr">
        <is>
          <t>09:17</t>
        </is>
      </c>
      <c r="D183" t="n">
        <v>18.06443666837282</v>
      </c>
      <c r="E183" t="n">
        <v>0.2165524260511593</v>
      </c>
      <c r="F183" t="n">
        <v>7.293300589219116</v>
      </c>
      <c r="G183" t="n">
        <v>0.1339173967459324</v>
      </c>
      <c r="H183" t="n">
        <v>0.4493116395494368</v>
      </c>
      <c r="I183" t="n">
        <v>0.4918642491864249</v>
      </c>
      <c r="J183" t="n">
        <v>0.3316644643554327</v>
      </c>
      <c r="K183" t="n">
        <v>0.6677157174036119</v>
      </c>
      <c r="L183" t="b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13.15492745997354</v>
      </c>
      <c r="S183" t="n">
        <v>2.04797047970478</v>
      </c>
      <c r="T183" t="n">
        <v>0.2398523985239768</v>
      </c>
      <c r="U183" t="n">
        <v>0.6485355648535565</v>
      </c>
      <c r="V183" t="n">
        <v>0.2845188284518829</v>
      </c>
      <c r="W183" t="n">
        <v>0.5425383542538355</v>
      </c>
      <c r="X183" t="n">
        <v>0.2165524260511593</v>
      </c>
      <c r="Y183" t="n">
        <v>7.293300589219115</v>
      </c>
      <c r="Z183" t="n">
        <v>0.3316644643554327</v>
      </c>
      <c r="AA183" t="n">
        <v>0</v>
      </c>
    </row>
    <row r="184">
      <c r="A184" t="inlineStr">
        <is>
          <t>2022-01-04</t>
        </is>
      </c>
      <c r="B184" t="inlineStr">
        <is>
          <t>CW</t>
        </is>
      </c>
      <c r="C184" t="inlineStr">
        <is>
          <t>09:16</t>
        </is>
      </c>
      <c r="D184" t="n">
        <v>25.69977099604264</v>
      </c>
      <c r="E184" t="n">
        <v>0.2045029559422635</v>
      </c>
      <c r="F184" t="n">
        <v>4.250544200540039</v>
      </c>
      <c r="G184" t="n">
        <v>0.1088861076345432</v>
      </c>
      <c r="H184" t="n">
        <v>0.07008760951188986</v>
      </c>
      <c r="I184" t="n">
        <v>0.8238028823802882</v>
      </c>
      <c r="J184" t="n">
        <v>0.2363500633346309</v>
      </c>
      <c r="K184" t="n">
        <v>0.6677157174036119</v>
      </c>
      <c r="L184" t="b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18.13269967893122</v>
      </c>
      <c r="S184" t="n">
        <v>11.01343101343102</v>
      </c>
      <c r="T184" t="n">
        <v>0.3418803418803433</v>
      </c>
      <c r="U184" t="n">
        <v>0.7601115760111576</v>
      </c>
      <c r="V184" t="n">
        <v>0.895397489539749</v>
      </c>
      <c r="W184" t="n">
        <v>0.8158995815899581</v>
      </c>
      <c r="X184" t="n">
        <v>0.2045029559422635</v>
      </c>
      <c r="Y184" t="n">
        <v>4.250544200540039</v>
      </c>
      <c r="Z184" t="n">
        <v>0.2363500633346309</v>
      </c>
      <c r="AA184" t="n">
        <v>-2.775557561562891e-17</v>
      </c>
    </row>
    <row r="185">
      <c r="A185" t="inlineStr">
        <is>
          <t>2022-01-05</t>
        </is>
      </c>
      <c r="B185" t="inlineStr">
        <is>
          <t>CW</t>
        </is>
      </c>
      <c r="C185" t="inlineStr">
        <is>
          <t>09:17</t>
        </is>
      </c>
      <c r="D185" t="n">
        <v>13.34714011765383</v>
      </c>
      <c r="E185" t="n">
        <v>0.2861677982301477</v>
      </c>
      <c r="F185" t="n">
        <v>6.753922180701323</v>
      </c>
      <c r="G185" t="n">
        <v>0.4993742177722152</v>
      </c>
      <c r="H185" t="n">
        <v>0.3867334167709637</v>
      </c>
      <c r="I185" t="n">
        <v>0.4444444444444444</v>
      </c>
      <c r="J185" t="n">
        <v>0.4433319427061605</v>
      </c>
      <c r="K185" t="n">
        <v>0.6677157174036119</v>
      </c>
      <c r="L185" t="b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12.83733107111575</v>
      </c>
      <c r="S185" t="n">
        <v>2.431610942249217</v>
      </c>
      <c r="T185" t="n">
        <v>0.2026342451874251</v>
      </c>
      <c r="U185" t="n">
        <v>0.6317991631799164</v>
      </c>
      <c r="V185" t="n">
        <v>0.3723849372384937</v>
      </c>
      <c r="W185" t="n">
        <v>0.3291492329149233</v>
      </c>
      <c r="X185" t="n">
        <v>0.2861677982301477</v>
      </c>
      <c r="Y185" t="n">
        <v>6.753922180701323</v>
      </c>
      <c r="Z185" t="n">
        <v>0.4433319427061605</v>
      </c>
      <c r="AA185" t="n">
        <v>0</v>
      </c>
    </row>
    <row r="186">
      <c r="A186" t="inlineStr">
        <is>
          <t>2022-01-06</t>
        </is>
      </c>
      <c r="B186" t="inlineStr">
        <is>
          <t>CW</t>
        </is>
      </c>
      <c r="C186" t="inlineStr">
        <is>
          <t>09:17</t>
        </is>
      </c>
      <c r="D186" t="n">
        <v>3.448381700726264</v>
      </c>
      <c r="E186" t="n">
        <v>0.2313774085345785</v>
      </c>
      <c r="F186" t="n">
        <v>5.284080300554118</v>
      </c>
      <c r="G186" t="n">
        <v>0.1802252816020025</v>
      </c>
      <c r="H186" t="n">
        <v>0.1677096370463079</v>
      </c>
      <c r="I186" t="n">
        <v>0.7763830776383077</v>
      </c>
      <c r="J186" t="n">
        <v>0.2944505829869857</v>
      </c>
      <c r="K186" t="n">
        <v>0.6677157174036119</v>
      </c>
      <c r="L186" t="b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16.3081222884232</v>
      </c>
      <c r="S186" t="n">
        <v>5.712731229597388</v>
      </c>
      <c r="T186" t="n">
        <v>0.3808487486398197</v>
      </c>
      <c r="U186" t="n">
        <v>0.7322175732217573</v>
      </c>
      <c r="V186" t="n">
        <v>0.7294281729428173</v>
      </c>
      <c r="W186" t="n">
        <v>0.8675034867503487</v>
      </c>
      <c r="X186" t="n">
        <v>0.2313774085345785</v>
      </c>
      <c r="Y186" t="n">
        <v>5.284080300554115</v>
      </c>
      <c r="Z186" t="n">
        <v>0.2944505829869857</v>
      </c>
      <c r="AA186" t="n">
        <v>0</v>
      </c>
    </row>
    <row r="187">
      <c r="A187" t="inlineStr">
        <is>
          <t>2022-01-11</t>
        </is>
      </c>
      <c r="B187" t="inlineStr">
        <is>
          <t>CW</t>
        </is>
      </c>
      <c r="C187" t="inlineStr">
        <is>
          <t>09:17</t>
        </is>
      </c>
      <c r="D187" t="n">
        <v>28.80355318110028</v>
      </c>
      <c r="E187" t="n">
        <v>0.2510777570312401</v>
      </c>
      <c r="F187" t="n">
        <v>5.462643197580427</v>
      </c>
      <c r="G187" t="n">
        <v>0.2703379224030037</v>
      </c>
      <c r="H187" t="n">
        <v>0.1939924906132666</v>
      </c>
      <c r="I187" t="n">
        <v>0.496513249651325</v>
      </c>
      <c r="J187" t="n">
        <v>0.2850348151367731</v>
      </c>
      <c r="K187" t="n">
        <v>0.6677157174036119</v>
      </c>
      <c r="L187" t="b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8.39504941442533</v>
      </c>
      <c r="S187" t="n">
        <v>3.708049753578974</v>
      </c>
      <c r="T187" t="n">
        <v>0.2346866932644918</v>
      </c>
      <c r="U187" t="n">
        <v>0.4086471408647141</v>
      </c>
      <c r="V187" t="n">
        <v>0.5592747559274756</v>
      </c>
      <c r="W187" t="n">
        <v>0.5216178521617852</v>
      </c>
      <c r="X187" t="n">
        <v>0.2510777570312401</v>
      </c>
      <c r="Y187" t="n">
        <v>5.462643197580428</v>
      </c>
      <c r="Z187" t="n">
        <v>0.2850348151367731</v>
      </c>
      <c r="AA187" t="n">
        <v>5.551115123125783e-17</v>
      </c>
    </row>
    <row r="188">
      <c r="A188" t="inlineStr">
        <is>
          <t>2022-01-12</t>
        </is>
      </c>
      <c r="B188" t="inlineStr">
        <is>
          <t>CW</t>
        </is>
      </c>
      <c r="C188" t="inlineStr">
        <is>
          <t>09:17</t>
        </is>
      </c>
      <c r="D188" t="n">
        <v>34.39320412299342</v>
      </c>
      <c r="E188" t="n">
        <v>0.2023605080351577</v>
      </c>
      <c r="F188" t="n">
        <v>6.74122622095225</v>
      </c>
      <c r="G188" t="n">
        <v>0.1063829787234043</v>
      </c>
      <c r="H188" t="n">
        <v>0.3842302878598248</v>
      </c>
      <c r="I188" t="n">
        <v>0.7317526731752673</v>
      </c>
      <c r="J188" t="n">
        <v>0.3425958412683451</v>
      </c>
      <c r="K188" t="n">
        <v>0.6677157174036119</v>
      </c>
      <c r="L188" t="b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10.44169182958317</v>
      </c>
      <c r="S188" t="n">
        <v>5.004781638508125</v>
      </c>
      <c r="T188" t="n">
        <v>0.605674211029648</v>
      </c>
      <c r="U188" t="n">
        <v>0.5271966527196653</v>
      </c>
      <c r="V188" t="n">
        <v>0.6903765690376569</v>
      </c>
      <c r="W188" t="n">
        <v>0.9776847977684798</v>
      </c>
      <c r="X188" t="n">
        <v>0.2023605080351576</v>
      </c>
      <c r="Y188" t="n">
        <v>6.741226220952251</v>
      </c>
      <c r="Z188" t="n">
        <v>0.3425958412683451</v>
      </c>
      <c r="AA188" t="n">
        <v>0</v>
      </c>
    </row>
    <row r="189">
      <c r="A189" t="inlineStr">
        <is>
          <t>2022-01-13</t>
        </is>
      </c>
      <c r="B189" t="inlineStr">
        <is>
          <t>CW</t>
        </is>
      </c>
      <c r="C189" t="inlineStr">
        <is>
          <t>09:16</t>
        </is>
      </c>
      <c r="D189" t="n">
        <v>39.57552180937847</v>
      </c>
      <c r="E189" t="n">
        <v>0.1346227173231237</v>
      </c>
      <c r="F189" t="n">
        <v>2.433277238618716</v>
      </c>
      <c r="G189" t="n">
        <v>0.01001251564455569</v>
      </c>
      <c r="H189" t="n">
        <v>0.01376720901126408</v>
      </c>
      <c r="I189" t="n">
        <v>0.9321245932124594</v>
      </c>
      <c r="J189" t="n">
        <v>0.1959368085048198</v>
      </c>
      <c r="K189" t="n">
        <v>0.6677157174036119</v>
      </c>
      <c r="L189" t="b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24.4900872802542</v>
      </c>
      <c r="S189" t="n">
        <v>30.49213597158802</v>
      </c>
      <c r="T189" t="n">
        <v>0.5073566717402407</v>
      </c>
      <c r="U189" t="n">
        <v>0.8493723849372385</v>
      </c>
      <c r="V189" t="n">
        <v>0.9902370990237099</v>
      </c>
      <c r="W189" t="n">
        <v>0.9567642956764296</v>
      </c>
      <c r="X189" t="n">
        <v>0.1346227173231237</v>
      </c>
      <c r="Y189" t="n">
        <v>2.433277238618717</v>
      </c>
      <c r="Z189" t="n">
        <v>0.1959368085048198</v>
      </c>
      <c r="AA189" t="n">
        <v>0</v>
      </c>
    </row>
    <row r="190">
      <c r="A190" t="inlineStr">
        <is>
          <t>2022-01-14</t>
        </is>
      </c>
      <c r="B190" t="inlineStr">
        <is>
          <t>CW</t>
        </is>
      </c>
      <c r="C190" t="inlineStr">
        <is>
          <t>09:18</t>
        </is>
      </c>
      <c r="D190" t="n">
        <v>7.766833933581362</v>
      </c>
      <c r="E190" t="n">
        <v>0.2747316996314247</v>
      </c>
      <c r="F190" t="n">
        <v>4.868797106801146</v>
      </c>
      <c r="G190" t="n">
        <v>0.4230287859824781</v>
      </c>
      <c r="H190" t="n">
        <v>0.1188986232790989</v>
      </c>
      <c r="I190" t="n">
        <v>0.1920037192003719</v>
      </c>
      <c r="J190" t="n">
        <v>0.2551717075447052</v>
      </c>
      <c r="K190" t="n">
        <v>0.6677157174036119</v>
      </c>
      <c r="L190" t="b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8.934406565132699</v>
      </c>
      <c r="S190" t="n">
        <v>1.116513596254265</v>
      </c>
      <c r="T190" t="n">
        <v>0.1440662704844248</v>
      </c>
      <c r="U190" t="n">
        <v>0.4379358437935844</v>
      </c>
      <c r="V190" t="n">
        <v>0.04602510460251046</v>
      </c>
      <c r="W190" t="n">
        <v>0.09205020920502092</v>
      </c>
      <c r="X190" t="n">
        <v>0.2747316996314247</v>
      </c>
      <c r="Y190" t="n">
        <v>4.868797106801145</v>
      </c>
      <c r="Z190" t="n">
        <v>0.2551717075447052</v>
      </c>
      <c r="AA190" t="n">
        <v>0</v>
      </c>
    </row>
    <row r="191">
      <c r="A191" t="inlineStr">
        <is>
          <t>2022-01-17</t>
        </is>
      </c>
      <c r="B191" t="inlineStr">
        <is>
          <t>CW</t>
        </is>
      </c>
      <c r="C191" t="inlineStr">
        <is>
          <t>09:17</t>
        </is>
      </c>
      <c r="D191" t="n">
        <v>37.51403395103019</v>
      </c>
      <c r="E191" t="n">
        <v>0.2745577590963607</v>
      </c>
      <c r="F191" t="n">
        <v>6.857521300723588</v>
      </c>
      <c r="G191" t="n">
        <v>0.4192740926157697</v>
      </c>
      <c r="H191" t="n">
        <v>0.4030037546933667</v>
      </c>
      <c r="I191" t="n">
        <v>0.4458391445839144</v>
      </c>
      <c r="J191" t="n">
        <v>0.4180789678404375</v>
      </c>
      <c r="K191" t="n">
        <v>0.6677157174036119</v>
      </c>
      <c r="L191" t="b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13.88888888888769</v>
      </c>
      <c r="S191" t="n">
        <v>3.126347563605002</v>
      </c>
      <c r="T191" t="n">
        <v>0.1724881414402784</v>
      </c>
      <c r="U191" t="n">
        <v>0.6750348675034867</v>
      </c>
      <c r="V191" t="n">
        <v>0.4811715481171548</v>
      </c>
      <c r="W191" t="n">
        <v>0.1813110181311018</v>
      </c>
      <c r="X191" t="n">
        <v>0.2745577590963607</v>
      </c>
      <c r="Y191" t="n">
        <v>6.857521300723586</v>
      </c>
      <c r="Z191" t="n">
        <v>0.4180789678404375</v>
      </c>
      <c r="AA191" t="n">
        <v>-5.551115123125783e-17</v>
      </c>
    </row>
    <row r="192">
      <c r="A192" t="inlineStr">
        <is>
          <t>2022-01-18</t>
        </is>
      </c>
      <c r="B192" t="inlineStr">
        <is>
          <t>CW</t>
        </is>
      </c>
      <c r="C192" t="inlineStr">
        <is>
          <t>09:17</t>
        </is>
      </c>
      <c r="D192" t="n">
        <v>-36.06889848513554</v>
      </c>
      <c r="E192" t="n">
        <v>0.2569402670285417</v>
      </c>
      <c r="F192" t="n">
        <v>6.569372049566018</v>
      </c>
      <c r="G192" t="n">
        <v>0.311639549436796</v>
      </c>
      <c r="H192" t="n">
        <v>0.3566958698372966</v>
      </c>
      <c r="I192" t="n">
        <v>0.3217108321710833</v>
      </c>
      <c r="J192" t="n">
        <v>0.3316763341438537</v>
      </c>
      <c r="K192" t="n">
        <v>0.6677157174036119</v>
      </c>
      <c r="L192" t="b">
        <v>0</v>
      </c>
      <c r="N192" t="n">
        <v>0</v>
      </c>
      <c r="O192" t="n">
        <v>0</v>
      </c>
      <c r="P192" t="n">
        <v>1</v>
      </c>
      <c r="Q192" t="n">
        <v>36.06889848513554</v>
      </c>
      <c r="R192" t="n">
        <v>11.69329230232317</v>
      </c>
      <c r="S192" t="n">
        <v>1.846320934021181</v>
      </c>
      <c r="T192" t="n">
        <v>0.1629106706489337</v>
      </c>
      <c r="U192" t="n">
        <v>0.5899581589958159</v>
      </c>
      <c r="V192" t="n">
        <v>0.2301255230125523</v>
      </c>
      <c r="W192" t="n">
        <v>0.1450488145048814</v>
      </c>
      <c r="X192" t="n">
        <v>0.2569402670285417</v>
      </c>
      <c r="Y192" t="n">
        <v>6.56937204956602</v>
      </c>
      <c r="Z192" t="n">
        <v>0.3316763341438537</v>
      </c>
      <c r="AA192" t="n">
        <v>-5.551115123125783e-17</v>
      </c>
    </row>
    <row r="193">
      <c r="A193" t="inlineStr">
        <is>
          <t>2022-01-19</t>
        </is>
      </c>
      <c r="B193" t="inlineStr">
        <is>
          <t>CW</t>
        </is>
      </c>
      <c r="C193" t="inlineStr">
        <is>
          <t>09:18</t>
        </is>
      </c>
      <c r="D193" t="n">
        <v>32.33390596387903</v>
      </c>
      <c r="E193" t="n">
        <v>0.2950266832410237</v>
      </c>
      <c r="F193" t="n">
        <v>7.66676678191841</v>
      </c>
      <c r="G193" t="n">
        <v>0.5481852315394243</v>
      </c>
      <c r="H193" t="n">
        <v>0.509386733416771</v>
      </c>
      <c r="I193" t="n">
        <v>0.6164574616457461</v>
      </c>
      <c r="J193" t="n">
        <v>0.5463202783116274</v>
      </c>
      <c r="K193" t="n">
        <v>0.6677157174036119</v>
      </c>
      <c r="L193" t="b">
        <v>0</v>
      </c>
      <c r="N193" t="n">
        <v>36.06889848513538</v>
      </c>
      <c r="O193" t="n">
        <v>1</v>
      </c>
      <c r="P193" t="n">
        <v>0</v>
      </c>
      <c r="Q193" t="n">
        <v>0</v>
      </c>
      <c r="R193" t="n">
        <v>13.185887775908</v>
      </c>
      <c r="S193" t="n">
        <v>4.734961286480058</v>
      </c>
      <c r="T193" t="n">
        <v>0.2382370458606346</v>
      </c>
      <c r="U193" t="n">
        <v>0.6513249651324965</v>
      </c>
      <c r="V193" t="n">
        <v>0.6652719665271967</v>
      </c>
      <c r="W193" t="n">
        <v>0.5327754532775453</v>
      </c>
      <c r="X193" t="n">
        <v>0.2950266832410237</v>
      </c>
      <c r="Y193" t="n">
        <v>7.666766781918412</v>
      </c>
      <c r="Z193" t="n">
        <v>0.5463202783116274</v>
      </c>
      <c r="AA193" t="n">
        <v>0</v>
      </c>
    </row>
    <row r="194">
      <c r="A194" t="inlineStr">
        <is>
          <t>2022-01-20</t>
        </is>
      </c>
      <c r="B194" t="inlineStr">
        <is>
          <t>CW</t>
        </is>
      </c>
      <c r="C194" t="inlineStr">
        <is>
          <t>09:18</t>
        </is>
      </c>
      <c r="D194" t="n">
        <v>0.9269353690728195</v>
      </c>
      <c r="E194" t="n">
        <v>0.2920623376653551</v>
      </c>
      <c r="F194" t="n">
        <v>6.33212658058487</v>
      </c>
      <c r="G194" t="n">
        <v>0.5344180225281602</v>
      </c>
      <c r="H194" t="n">
        <v>0.3178973717146433</v>
      </c>
      <c r="I194" t="n">
        <v>0.5597396559739656</v>
      </c>
      <c r="J194" t="n">
        <v>0.4528740888919146</v>
      </c>
      <c r="K194" t="n">
        <v>0.6677157174036119</v>
      </c>
      <c r="L194" t="b">
        <v>0</v>
      </c>
      <c r="N194" t="n">
        <v>3.734992521256572</v>
      </c>
      <c r="O194" t="n">
        <v>0</v>
      </c>
      <c r="P194" t="n">
        <v>0</v>
      </c>
      <c r="Q194" t="n">
        <v>0</v>
      </c>
      <c r="R194" t="n">
        <v>8.962199619736332</v>
      </c>
      <c r="S194" t="n">
        <v>3.957783641160965</v>
      </c>
      <c r="T194" t="n">
        <v>0.2638522427440633</v>
      </c>
      <c r="U194" t="n">
        <v>0.4393305439330544</v>
      </c>
      <c r="V194" t="n">
        <v>0.5913528591352859</v>
      </c>
      <c r="W194" t="n">
        <v>0.6485355648535565</v>
      </c>
      <c r="X194" t="n">
        <v>0.2920623376653552</v>
      </c>
      <c r="Y194" t="n">
        <v>6.33212658058487</v>
      </c>
      <c r="Z194" t="n">
        <v>0.4528740888919146</v>
      </c>
      <c r="AA194" t="n">
        <v>-5.551115123125783e-17</v>
      </c>
    </row>
    <row r="195">
      <c r="A195" t="inlineStr">
        <is>
          <t>2022-01-21</t>
        </is>
      </c>
      <c r="B195" t="inlineStr">
        <is>
          <t>CW</t>
        </is>
      </c>
      <c r="C195" t="inlineStr">
        <is>
          <t>09:16</t>
        </is>
      </c>
      <c r="D195" t="n">
        <v>10.1640908139733</v>
      </c>
      <c r="E195" t="n">
        <v>0.1452753800658942</v>
      </c>
      <c r="F195" t="n">
        <v>3.213650223167526</v>
      </c>
      <c r="G195" t="n">
        <v>0.01752190237797246</v>
      </c>
      <c r="H195" t="n">
        <v>0.02878598247809762</v>
      </c>
      <c r="I195" t="n">
        <v>0.8949325894932589</v>
      </c>
      <c r="J195" t="n">
        <v>0.1975096718410798</v>
      </c>
      <c r="K195" t="n">
        <v>0.6677157174036119</v>
      </c>
      <c r="L195" t="b">
        <v>0</v>
      </c>
      <c r="N195" t="n">
        <v>2.808057152183665</v>
      </c>
      <c r="O195" t="n">
        <v>0</v>
      </c>
      <c r="P195" t="n">
        <v>0</v>
      </c>
      <c r="Q195" t="n">
        <v>0</v>
      </c>
      <c r="R195" t="n">
        <v>66.11049450877022</v>
      </c>
      <c r="S195" t="n">
        <v>7.622641509433945</v>
      </c>
      <c r="T195" t="n">
        <v>0.3924528301886826</v>
      </c>
      <c r="U195" t="n">
        <v>0.99581589958159</v>
      </c>
      <c r="V195" t="n">
        <v>0.8131101813110181</v>
      </c>
      <c r="W195" t="n">
        <v>0.8758716875871687</v>
      </c>
      <c r="X195" t="n">
        <v>0.1452753800658942</v>
      </c>
      <c r="Y195" t="n">
        <v>3.213650223167524</v>
      </c>
      <c r="Z195" t="n">
        <v>0.1975096718410798</v>
      </c>
      <c r="AA195" t="n">
        <v>5.551115123125783e-17</v>
      </c>
    </row>
    <row r="196">
      <c r="A196" t="inlineStr">
        <is>
          <t>2022-01-24</t>
        </is>
      </c>
      <c r="B196" t="inlineStr">
        <is>
          <t>CW</t>
        </is>
      </c>
      <c r="C196" t="inlineStr">
        <is>
          <t>09:20+</t>
        </is>
      </c>
      <c r="D196" t="n">
        <v>-55.77156332292559</v>
      </c>
      <c r="E196" t="n">
        <v>0.421239622182551</v>
      </c>
      <c r="F196" t="n">
        <v>13.78984830389567</v>
      </c>
      <c r="G196" t="n">
        <v>0.9649561952440551</v>
      </c>
      <c r="H196" t="n">
        <v>0.967459324155194</v>
      </c>
      <c r="I196" t="n">
        <v>0.5234774523477452</v>
      </c>
      <c r="J196" t="n">
        <v>0.8776616982292488</v>
      </c>
      <c r="K196" t="n">
        <v>0.6677157174036119</v>
      </c>
      <c r="L196" t="b">
        <v>1</v>
      </c>
      <c r="M196" t="inlineStr">
        <is>
          <t>top_quartile_risk</t>
        </is>
      </c>
      <c r="N196" t="n">
        <v>0</v>
      </c>
      <c r="O196" t="n">
        <v>0</v>
      </c>
      <c r="P196" t="n">
        <v>1</v>
      </c>
      <c r="Q196" t="n">
        <v>55.77156332292559</v>
      </c>
      <c r="R196" t="n">
        <v>13.48658737133572</v>
      </c>
      <c r="S196" t="n">
        <v>4.050991501416418</v>
      </c>
      <c r="T196" t="n">
        <v>0.1983002832861157</v>
      </c>
      <c r="U196" t="n">
        <v>0.6610878661087866</v>
      </c>
      <c r="V196" t="n">
        <v>0.603905160390516</v>
      </c>
      <c r="W196" t="n">
        <v>0.3054393305439331</v>
      </c>
      <c r="X196" t="n">
        <v>0.4212396221825508</v>
      </c>
      <c r="Y196" t="n">
        <v>13.78984830389566</v>
      </c>
      <c r="Z196" t="n">
        <v>0.8776616982292488</v>
      </c>
      <c r="AA196" t="n">
        <v>0</v>
      </c>
    </row>
    <row r="197">
      <c r="A197" t="inlineStr">
        <is>
          <t>2022-01-25</t>
        </is>
      </c>
      <c r="B197" t="inlineStr">
        <is>
          <t>CW</t>
        </is>
      </c>
      <c r="C197" t="inlineStr">
        <is>
          <t>09:17</t>
        </is>
      </c>
      <c r="D197" t="n">
        <v>47.32102737434815</v>
      </c>
      <c r="E197" t="n">
        <v>0.2792373159456844</v>
      </c>
      <c r="F197" t="n">
        <v>7.76494496377592</v>
      </c>
      <c r="G197" t="n">
        <v>0.460575719649562</v>
      </c>
      <c r="H197" t="n">
        <v>0.5193992490613266</v>
      </c>
      <c r="I197" t="n">
        <v>0.5230125523012553</v>
      </c>
      <c r="J197" t="n">
        <v>0.4965924979446065</v>
      </c>
      <c r="K197" t="n">
        <v>0.6677157174036119</v>
      </c>
      <c r="L197" t="b">
        <v>0</v>
      </c>
      <c r="N197" t="n">
        <v>55.77156332292543</v>
      </c>
      <c r="O197" t="n">
        <v>1</v>
      </c>
      <c r="P197" t="n">
        <v>0</v>
      </c>
      <c r="Q197" t="n">
        <v>0</v>
      </c>
      <c r="R197" t="n">
        <v>14.15614314550135</v>
      </c>
      <c r="S197" t="n">
        <v>1.516683518705764</v>
      </c>
      <c r="T197" t="n">
        <v>0.3033367037411478</v>
      </c>
      <c r="U197" t="n">
        <v>0.6792189679218968</v>
      </c>
      <c r="V197" t="n">
        <v>0.1366806136680614</v>
      </c>
      <c r="W197" t="n">
        <v>0.7531380753138075</v>
      </c>
      <c r="X197" t="n">
        <v>0.2792373159456844</v>
      </c>
      <c r="Y197" t="n">
        <v>7.764944963775922</v>
      </c>
      <c r="Z197" t="n">
        <v>0.4965924979446065</v>
      </c>
      <c r="AA197" t="n">
        <v>-5.551115123125783e-17</v>
      </c>
    </row>
    <row r="198">
      <c r="A198" t="inlineStr">
        <is>
          <t>2022-01-27</t>
        </is>
      </c>
      <c r="B198" t="inlineStr">
        <is>
          <t>CW</t>
        </is>
      </c>
      <c r="C198" t="inlineStr">
        <is>
          <t>09:17</t>
        </is>
      </c>
      <c r="D198" t="n">
        <v>96.75969745913687</v>
      </c>
      <c r="E198" t="n">
        <v>0.3722339898378379</v>
      </c>
      <c r="F198" t="n">
        <v>9.701407823546143</v>
      </c>
      <c r="G198" t="n">
        <v>0.8823529411764706</v>
      </c>
      <c r="H198" t="n">
        <v>0.7471839799749687</v>
      </c>
      <c r="I198" t="n">
        <v>0.5639237563923757</v>
      </c>
      <c r="J198" t="n">
        <v>0.7645995197390509</v>
      </c>
      <c r="K198" t="n">
        <v>0.6677157174036119</v>
      </c>
      <c r="L198" t="b">
        <v>1</v>
      </c>
      <c r="M198" t="inlineStr">
        <is>
          <t>top_quartile_risk</t>
        </is>
      </c>
      <c r="N198" t="n">
        <v>8.450535948577453</v>
      </c>
      <c r="O198" t="n">
        <v>0</v>
      </c>
      <c r="P198" t="n">
        <v>0</v>
      </c>
      <c r="Q198" t="n">
        <v>0</v>
      </c>
      <c r="R198" t="n">
        <v>11.78349015194811</v>
      </c>
      <c r="S198" t="n">
        <v>2.360834990059642</v>
      </c>
      <c r="T198" t="n">
        <v>0.2982107355864853</v>
      </c>
      <c r="U198" t="n">
        <v>0.5941422594142259</v>
      </c>
      <c r="V198" t="n">
        <v>0.3556485355648535</v>
      </c>
      <c r="W198" t="n">
        <v>0.7419804741980475</v>
      </c>
      <c r="X198" t="n">
        <v>0.3722339898378379</v>
      </c>
      <c r="Y198" t="n">
        <v>9.701407823546143</v>
      </c>
      <c r="Z198" t="n">
        <v>0.7645995197390509</v>
      </c>
      <c r="AA198" t="n">
        <v>0</v>
      </c>
    </row>
    <row r="199">
      <c r="A199" t="inlineStr">
        <is>
          <t>2022-01-31</t>
        </is>
      </c>
      <c r="B199" t="inlineStr">
        <is>
          <t>CW</t>
        </is>
      </c>
      <c r="C199" t="inlineStr">
        <is>
          <t>09:16</t>
        </is>
      </c>
      <c r="D199" t="n">
        <v>-45.91336057465257</v>
      </c>
      <c r="E199" t="n">
        <v>0.3225598982840858</v>
      </c>
      <c r="F199" t="n">
        <v>12.09113487102737</v>
      </c>
      <c r="G199" t="n">
        <v>0.6833541927409261</v>
      </c>
      <c r="H199" t="n">
        <v>0.9224030037546934</v>
      </c>
      <c r="I199" t="n">
        <v>0.8200836820083682</v>
      </c>
      <c r="J199" t="n">
        <v>0.8063196149999216</v>
      </c>
      <c r="K199" t="n">
        <v>0.6677157174036119</v>
      </c>
      <c r="L199" t="b">
        <v>1</v>
      </c>
      <c r="M199" t="inlineStr">
        <is>
          <t>top_quartile_risk</t>
        </is>
      </c>
      <c r="N199" t="n">
        <v>0</v>
      </c>
      <c r="O199" t="n">
        <v>0</v>
      </c>
      <c r="P199" t="n">
        <v>1</v>
      </c>
      <c r="Q199" t="n">
        <v>45.91336057465257</v>
      </c>
      <c r="R199" t="n">
        <v>27.20848465221674</v>
      </c>
      <c r="S199" t="n">
        <v>9.466550065588111</v>
      </c>
      <c r="T199" t="n">
        <v>0.2842151289899456</v>
      </c>
      <c r="U199" t="n">
        <v>0.8870292887029289</v>
      </c>
      <c r="V199" t="n">
        <v>0.8647140864714087</v>
      </c>
      <c r="W199" t="n">
        <v>0.708507670850767</v>
      </c>
      <c r="X199" t="n">
        <v>0.3225598982840858</v>
      </c>
      <c r="Y199" t="n">
        <v>12.09113487102738</v>
      </c>
      <c r="Z199" t="n">
        <v>0.8063196149999216</v>
      </c>
      <c r="AA199" t="n">
        <v>0</v>
      </c>
    </row>
    <row r="200">
      <c r="A200" t="inlineStr">
        <is>
          <t>2022-02-01</t>
        </is>
      </c>
      <c r="B200" t="inlineStr">
        <is>
          <t>CW</t>
        </is>
      </c>
      <c r="C200" t="inlineStr">
        <is>
          <t>09:18</t>
        </is>
      </c>
      <c r="D200" t="n">
        <v>-12.40118951108484</v>
      </c>
      <c r="E200" t="n">
        <v>0.4376428504132654</v>
      </c>
      <c r="F200" t="n">
        <v>10.6705345869689</v>
      </c>
      <c r="G200" t="n">
        <v>0.9774718397997497</v>
      </c>
      <c r="H200" t="n">
        <v>0.8548185231539425</v>
      </c>
      <c r="I200" t="n">
        <v>0.3165969316596932</v>
      </c>
      <c r="J200" t="n">
        <v>0.7962355315134156</v>
      </c>
      <c r="K200" t="n">
        <v>0.6677157174036119</v>
      </c>
      <c r="L200" t="b">
        <v>1</v>
      </c>
      <c r="M200" t="inlineStr">
        <is>
          <t>top_quartile_risk</t>
        </is>
      </c>
      <c r="N200" t="n">
        <v>45.91336057465242</v>
      </c>
      <c r="O200" t="n">
        <v>1</v>
      </c>
      <c r="P200" t="n">
        <v>1</v>
      </c>
      <c r="Q200" t="n">
        <v>12.40118951108484</v>
      </c>
      <c r="R200" t="n">
        <v>8.985060191317164</v>
      </c>
      <c r="S200" t="n">
        <v>1.438608230177314</v>
      </c>
      <c r="T200" t="n">
        <v>0.2118880339020892</v>
      </c>
      <c r="U200" t="n">
        <v>0.4435146443514644</v>
      </c>
      <c r="V200" t="n">
        <v>0.1143654114365411</v>
      </c>
      <c r="W200" t="n">
        <v>0.3919107391910739</v>
      </c>
      <c r="X200" t="n">
        <v>0.4376428504132655</v>
      </c>
      <c r="Y200" t="n">
        <v>10.6705345869689</v>
      </c>
      <c r="Z200" t="n">
        <v>0.7962355315134156</v>
      </c>
      <c r="AA200" t="n">
        <v>0</v>
      </c>
    </row>
    <row r="201">
      <c r="A201" t="inlineStr">
        <is>
          <t>2022-02-03</t>
        </is>
      </c>
      <c r="B201" t="inlineStr">
        <is>
          <t>CW</t>
        </is>
      </c>
      <c r="C201" t="inlineStr">
        <is>
          <t>09:18</t>
        </is>
      </c>
      <c r="D201" t="n">
        <v>7.978308376447247</v>
      </c>
      <c r="E201" t="n">
        <v>0.2348772871295435</v>
      </c>
      <c r="F201" t="n">
        <v>4.38628595959316</v>
      </c>
      <c r="G201" t="n">
        <v>0.1989987484355444</v>
      </c>
      <c r="H201" t="n">
        <v>0.08010012515644556</v>
      </c>
      <c r="I201" t="n">
        <v>0.6908414690841469</v>
      </c>
      <c r="J201" t="n">
        <v>0.2498078432536254</v>
      </c>
      <c r="K201" t="n">
        <v>0.6677157174036119</v>
      </c>
      <c r="L201" t="b">
        <v>0</v>
      </c>
      <c r="N201" t="n">
        <v>58.31455008573721</v>
      </c>
      <c r="O201" t="n">
        <v>2</v>
      </c>
      <c r="P201" t="n">
        <v>0</v>
      </c>
      <c r="Q201" t="n">
        <v>0</v>
      </c>
      <c r="R201" t="n">
        <v>13.41789992952743</v>
      </c>
      <c r="S201" t="n">
        <v>3.382663847780115</v>
      </c>
      <c r="T201" t="n">
        <v>0.4228329809725069</v>
      </c>
      <c r="U201" t="n">
        <v>0.6569037656903766</v>
      </c>
      <c r="V201" t="n">
        <v>0.5146443514644351</v>
      </c>
      <c r="W201" t="n">
        <v>0.900976290097629</v>
      </c>
      <c r="X201" t="n">
        <v>0.2348772871295435</v>
      </c>
      <c r="Y201" t="n">
        <v>4.386285959593161</v>
      </c>
      <c r="Z201" t="n">
        <v>0.2498078432536254</v>
      </c>
      <c r="AA201" t="n">
        <v>0</v>
      </c>
    </row>
    <row r="202">
      <c r="A202" t="inlineStr">
        <is>
          <t>2022-02-04</t>
        </is>
      </c>
      <c r="B202" t="inlineStr">
        <is>
          <t>CW</t>
        </is>
      </c>
      <c r="C202" t="inlineStr">
        <is>
          <t>09:18</t>
        </is>
      </c>
      <c r="D202" t="n">
        <v>34.86671619665722</v>
      </c>
      <c r="E202" t="n">
        <v>0.2804703239905038</v>
      </c>
      <c r="F202" t="n">
        <v>8.071353913316939</v>
      </c>
      <c r="G202" t="n">
        <v>0.4643304130162703</v>
      </c>
      <c r="H202" t="n">
        <v>0.5519399249061326</v>
      </c>
      <c r="I202" t="n">
        <v>0.3361227336122734</v>
      </c>
      <c r="J202" t="n">
        <v>0.4737326818914159</v>
      </c>
      <c r="K202" t="n">
        <v>0.6677157174036119</v>
      </c>
      <c r="L202" t="b">
        <v>0</v>
      </c>
      <c r="N202" t="n">
        <v>50.33624170928988</v>
      </c>
      <c r="O202" t="n">
        <v>0</v>
      </c>
      <c r="P202" t="n">
        <v>0</v>
      </c>
      <c r="Q202" t="n">
        <v>0</v>
      </c>
      <c r="R202" t="n">
        <v>7.645587098355809</v>
      </c>
      <c r="S202" t="n">
        <v>1.428358875167389</v>
      </c>
      <c r="T202" t="n">
        <v>0.2380598125278925</v>
      </c>
      <c r="U202" t="n">
        <v>0.3654114365411437</v>
      </c>
      <c r="V202" t="n">
        <v>0.1115760111576011</v>
      </c>
      <c r="W202" t="n">
        <v>0.5313807531380753</v>
      </c>
      <c r="X202" t="n">
        <v>0.2804703239905038</v>
      </c>
      <c r="Y202" t="n">
        <v>8.071353913316939</v>
      </c>
      <c r="Z202" t="n">
        <v>0.4737326818914159</v>
      </c>
      <c r="AA202" t="n">
        <v>5.551115123125783e-17</v>
      </c>
    </row>
    <row r="203">
      <c r="A203" t="inlineStr">
        <is>
          <t>2022-02-09</t>
        </is>
      </c>
      <c r="B203" t="inlineStr">
        <is>
          <t>NW</t>
        </is>
      </c>
      <c r="C203" t="inlineStr">
        <is>
          <t>NW</t>
        </is>
      </c>
      <c r="D203" t="n">
        <v>47.2700233610214</v>
      </c>
      <c r="E203" t="n">
        <v>0.3760436879943408</v>
      </c>
      <c r="F203" t="n">
        <v>11.41366346749264</v>
      </c>
      <c r="G203" t="n">
        <v>0.8898623279098874</v>
      </c>
      <c r="H203" t="n">
        <v>0.9023779724655819</v>
      </c>
      <c r="I203" t="n">
        <v>0.5</v>
      </c>
      <c r="J203" t="n">
        <v>0.8168961201501878</v>
      </c>
      <c r="K203" t="n">
        <v>0.6677157174036119</v>
      </c>
      <c r="L203" t="b">
        <v>1</v>
      </c>
      <c r="M203" t="inlineStr">
        <is>
          <t>top_quartile_risk</t>
        </is>
      </c>
      <c r="N203" t="n">
        <v>15.46952551263257</v>
      </c>
      <c r="O203" t="n">
        <v>0</v>
      </c>
      <c r="P203" t="n">
        <v>0</v>
      </c>
      <c r="Q203" t="n">
        <v>0</v>
      </c>
      <c r="U203" t="n">
        <v>0.5</v>
      </c>
      <c r="V203" t="n">
        <v>0.5</v>
      </c>
      <c r="W203" t="n">
        <v>0.5</v>
      </c>
      <c r="X203" t="n">
        <v>0.3760436879943408</v>
      </c>
      <c r="Y203" t="n">
        <v>11.41366346749264</v>
      </c>
      <c r="Z203" t="n">
        <v>0.8168961201501878</v>
      </c>
      <c r="AA203" t="n">
        <v>0</v>
      </c>
    </row>
    <row r="204">
      <c r="A204" t="inlineStr">
        <is>
          <t>2022-02-10</t>
        </is>
      </c>
      <c r="B204" t="inlineStr">
        <is>
          <t>CW</t>
        </is>
      </c>
      <c r="C204" t="inlineStr">
        <is>
          <t>09:16</t>
        </is>
      </c>
      <c r="D204" t="n">
        <v>5.853112897765477</v>
      </c>
      <c r="E204" t="n">
        <v>0.3192592408106432</v>
      </c>
      <c r="F204" t="n">
        <v>9.554236719455915</v>
      </c>
      <c r="G204" t="n">
        <v>0.6633291614518148</v>
      </c>
      <c r="H204" t="n">
        <v>0.7309136420525657</v>
      </c>
      <c r="I204" t="n">
        <v>0.6582984658298465</v>
      </c>
      <c r="J204" t="n">
        <v>0.6893568145677216</v>
      </c>
      <c r="K204" t="n">
        <v>0.6677157174036119</v>
      </c>
      <c r="L204" t="b">
        <v>1</v>
      </c>
      <c r="M204" t="inlineStr">
        <is>
          <t>top_quartile_risk</t>
        </is>
      </c>
      <c r="N204" t="n">
        <v>0</v>
      </c>
      <c r="O204" t="n">
        <v>0</v>
      </c>
      <c r="P204" t="n">
        <v>0</v>
      </c>
      <c r="Q204" t="n">
        <v>0</v>
      </c>
      <c r="R204" t="n">
        <v>14.44401943377119</v>
      </c>
      <c r="S204" t="n">
        <v>5.785920925747335</v>
      </c>
      <c r="T204" t="n">
        <v>0.241080038572813</v>
      </c>
      <c r="U204" t="n">
        <v>0.6917712691771269</v>
      </c>
      <c r="V204" t="n">
        <v>0.7350069735006973</v>
      </c>
      <c r="W204" t="n">
        <v>0.5481171548117155</v>
      </c>
      <c r="X204" t="n">
        <v>0.3192592408106432</v>
      </c>
      <c r="Y204" t="n">
        <v>9.554236719455917</v>
      </c>
      <c r="Z204" t="n">
        <v>0.6893568145677216</v>
      </c>
      <c r="AA204" t="n">
        <v>0</v>
      </c>
    </row>
    <row r="205">
      <c r="A205" t="inlineStr">
        <is>
          <t>2022-02-11</t>
        </is>
      </c>
      <c r="B205" t="inlineStr">
        <is>
          <t>CW</t>
        </is>
      </c>
      <c r="C205" t="inlineStr">
        <is>
          <t>09:17</t>
        </is>
      </c>
      <c r="D205" t="n">
        <v>-4.336764181890091</v>
      </c>
      <c r="E205" t="n">
        <v>0.2510143055652705</v>
      </c>
      <c r="F205" t="n">
        <v>4.900581939345636</v>
      </c>
      <c r="G205" t="n">
        <v>0.2690863579474343</v>
      </c>
      <c r="H205" t="n">
        <v>0.1226533166458073</v>
      </c>
      <c r="I205" t="n">
        <v>0.3217108321710832</v>
      </c>
      <c r="J205" t="n">
        <v>0.2210380362715133</v>
      </c>
      <c r="K205" t="n">
        <v>0.6677157174036119</v>
      </c>
      <c r="L205" t="b">
        <v>0</v>
      </c>
      <c r="N205" t="n">
        <v>0</v>
      </c>
      <c r="O205" t="n">
        <v>0</v>
      </c>
      <c r="P205" t="n">
        <v>1</v>
      </c>
      <c r="Q205" t="n">
        <v>4.336764181890091</v>
      </c>
      <c r="R205" t="n">
        <v>11.63221520459983</v>
      </c>
      <c r="S205" t="n">
        <v>1.336157731790784</v>
      </c>
      <c r="T205" t="n">
        <v>0.1955352778230387</v>
      </c>
      <c r="U205" t="n">
        <v>0.5788005578800558</v>
      </c>
      <c r="V205" t="n">
        <v>0.09344490934449093</v>
      </c>
      <c r="W205" t="n">
        <v>0.2928870292887029</v>
      </c>
      <c r="X205" t="n">
        <v>0.2510143055652706</v>
      </c>
      <c r="Y205" t="n">
        <v>4.900581939345636</v>
      </c>
      <c r="Z205" t="n">
        <v>0.2210380362715133</v>
      </c>
      <c r="AA205" t="n">
        <v>-2.775557561562891e-17</v>
      </c>
    </row>
    <row r="206">
      <c r="A206" t="inlineStr">
        <is>
          <t>2022-02-14</t>
        </is>
      </c>
      <c r="B206" t="inlineStr">
        <is>
          <t>CW</t>
        </is>
      </c>
      <c r="C206" t="inlineStr">
        <is>
          <t>09:18</t>
        </is>
      </c>
      <c r="D206" t="n">
        <v>-40.0380059239502</v>
      </c>
      <c r="E206" t="n">
        <v>0.3443895215605545</v>
      </c>
      <c r="F206" t="n">
        <v>7.153895530921639</v>
      </c>
      <c r="G206" t="n">
        <v>0.8010012515644556</v>
      </c>
      <c r="H206" t="n">
        <v>0.4355444305381727</v>
      </c>
      <c r="I206" t="n">
        <v>0.602975360297536</v>
      </c>
      <c r="J206" t="n">
        <v>0.6152133449005586</v>
      </c>
      <c r="K206" t="n">
        <v>0.6677157174036119</v>
      </c>
      <c r="L206" t="b">
        <v>0</v>
      </c>
      <c r="N206" t="n">
        <v>4.336764181889976</v>
      </c>
      <c r="O206" t="n">
        <v>1</v>
      </c>
      <c r="P206" t="n">
        <v>1</v>
      </c>
      <c r="Q206" t="n">
        <v>40.0380059239502</v>
      </c>
      <c r="R206" t="n">
        <v>22.12265719000982</v>
      </c>
      <c r="S206" t="n">
        <v>7.118515713744777</v>
      </c>
      <c r="T206" t="n">
        <v>0.1767007446674211</v>
      </c>
      <c r="U206" t="n">
        <v>0.8214783821478382</v>
      </c>
      <c r="V206" t="n">
        <v>0.7921896792189679</v>
      </c>
      <c r="W206" t="n">
        <v>0.195258019525802</v>
      </c>
      <c r="X206" t="n">
        <v>0.3443895215605545</v>
      </c>
      <c r="Y206" t="n">
        <v>7.15389553092164</v>
      </c>
      <c r="Z206" t="n">
        <v>0.6152133449005586</v>
      </c>
      <c r="AA206" t="n">
        <v>0</v>
      </c>
    </row>
    <row r="207">
      <c r="A207" t="inlineStr">
        <is>
          <t>2022-02-16</t>
        </is>
      </c>
      <c r="B207" t="inlineStr">
        <is>
          <t>NW</t>
        </is>
      </c>
      <c r="C207" t="inlineStr">
        <is>
          <t>NW</t>
        </is>
      </c>
      <c r="D207" t="n">
        <v>-44.61782289689349</v>
      </c>
      <c r="E207" t="n">
        <v>0.4211199255127135</v>
      </c>
      <c r="F207" t="n">
        <v>13.87297450893467</v>
      </c>
      <c r="G207" t="n">
        <v>0.9637046307884856</v>
      </c>
      <c r="H207" t="n">
        <v>0.9699624530663329</v>
      </c>
      <c r="I207" t="n">
        <v>0.5</v>
      </c>
      <c r="J207" t="n">
        <v>0.8734668335419274</v>
      </c>
      <c r="K207" t="n">
        <v>0.6677157174036119</v>
      </c>
      <c r="L207" t="b">
        <v>1</v>
      </c>
      <c r="M207" t="inlineStr">
        <is>
          <t>top_quartile_risk</t>
        </is>
      </c>
      <c r="N207" t="n">
        <v>44.37477010584007</v>
      </c>
      <c r="O207" t="n">
        <v>2</v>
      </c>
      <c r="P207" t="n">
        <v>1</v>
      </c>
      <c r="Q207" t="n">
        <v>44.61782289689349</v>
      </c>
      <c r="U207" t="n">
        <v>0.5</v>
      </c>
      <c r="V207" t="n">
        <v>0.5</v>
      </c>
      <c r="W207" t="n">
        <v>0.5</v>
      </c>
      <c r="X207" t="n">
        <v>0.4211199255127135</v>
      </c>
      <c r="Y207" t="n">
        <v>13.87297450893467</v>
      </c>
      <c r="Z207" t="n">
        <v>0.8734668335419274</v>
      </c>
      <c r="AA207" t="n">
        <v>0</v>
      </c>
    </row>
    <row r="208">
      <c r="A208" t="inlineStr">
        <is>
          <t>2022-02-17</t>
        </is>
      </c>
      <c r="B208" t="inlineStr">
        <is>
          <t>CW</t>
        </is>
      </c>
      <c r="C208" t="inlineStr">
        <is>
          <t>09:17</t>
        </is>
      </c>
      <c r="D208" t="n">
        <v>-35.1024101244863</v>
      </c>
      <c r="E208" t="n">
        <v>0.2833543473024261</v>
      </c>
      <c r="F208" t="n">
        <v>8.79683556599926</v>
      </c>
      <c r="G208" t="n">
        <v>0.476846057571965</v>
      </c>
      <c r="H208" t="n">
        <v>0.6483103879849812</v>
      </c>
      <c r="I208" t="n">
        <v>0.5011622501162251</v>
      </c>
      <c r="J208" t="n">
        <v>0.5502950282460235</v>
      </c>
      <c r="K208" t="n">
        <v>0.6677157174036119</v>
      </c>
      <c r="L208" t="b">
        <v>0</v>
      </c>
      <c r="N208" t="n">
        <v>88.99259300273343</v>
      </c>
      <c r="O208" t="n">
        <v>3</v>
      </c>
      <c r="P208" t="n">
        <v>1</v>
      </c>
      <c r="Q208" t="n">
        <v>35.1024101244863</v>
      </c>
      <c r="R208" t="n">
        <v>12.41008434261151</v>
      </c>
      <c r="S208" t="n">
        <v>2.432179607109442</v>
      </c>
      <c r="T208" t="n">
        <v>0.2338634237605238</v>
      </c>
      <c r="U208" t="n">
        <v>0.6136680613668062</v>
      </c>
      <c r="V208" t="n">
        <v>0.3737796373779637</v>
      </c>
      <c r="W208" t="n">
        <v>0.5160390516039052</v>
      </c>
      <c r="X208" t="n">
        <v>0.283354347302426</v>
      </c>
      <c r="Y208" t="n">
        <v>8.796835565999261</v>
      </c>
      <c r="Z208" t="n">
        <v>0.5502950282460235</v>
      </c>
      <c r="AA208" t="n">
        <v>0</v>
      </c>
    </row>
    <row r="209">
      <c r="A209" t="inlineStr">
        <is>
          <t>2022-02-18</t>
        </is>
      </c>
      <c r="B209" t="inlineStr">
        <is>
          <t>CW</t>
        </is>
      </c>
      <c r="C209" t="inlineStr">
        <is>
          <t>09:16</t>
        </is>
      </c>
      <c r="D209" t="n">
        <v>46.51214132051059</v>
      </c>
      <c r="E209" t="n">
        <v>0.1373016118971859</v>
      </c>
      <c r="F209" t="n">
        <v>4.620495301039478</v>
      </c>
      <c r="G209" t="n">
        <v>0.01251564455569462</v>
      </c>
      <c r="H209" t="n">
        <v>0.09637046307884856</v>
      </c>
      <c r="I209" t="n">
        <v>0.8740120874012088</v>
      </c>
      <c r="J209" t="n">
        <v>0.2183568605340591</v>
      </c>
      <c r="K209" t="n">
        <v>0.6677157174036119</v>
      </c>
      <c r="L209" t="b">
        <v>0</v>
      </c>
      <c r="N209" t="n">
        <v>124.0950031272196</v>
      </c>
      <c r="O209" t="n">
        <v>4</v>
      </c>
      <c r="P209" t="n">
        <v>0</v>
      </c>
      <c r="Q209" t="n">
        <v>0</v>
      </c>
      <c r="R209" t="n">
        <v>35.41047779534392</v>
      </c>
      <c r="S209" t="n">
        <v>21.37592137592137</v>
      </c>
      <c r="T209" t="n">
        <v>0.2903730176457411</v>
      </c>
      <c r="U209" t="n">
        <v>0.9302649930264993</v>
      </c>
      <c r="V209" t="n">
        <v>0.9651324965132496</v>
      </c>
      <c r="W209" t="n">
        <v>0.7266387726638772</v>
      </c>
      <c r="X209" t="n">
        <v>0.1373016118971858</v>
      </c>
      <c r="Y209" t="n">
        <v>4.620495301039478</v>
      </c>
      <c r="Z209" t="n">
        <v>0.2183568605340591</v>
      </c>
      <c r="AA209" t="n">
        <v>-2.775557561562891e-17</v>
      </c>
    </row>
    <row r="210">
      <c r="A210" t="inlineStr">
        <is>
          <t>2022-02-21</t>
        </is>
      </c>
      <c r="B210" t="inlineStr">
        <is>
          <t>CW</t>
        </is>
      </c>
      <c r="C210" t="inlineStr">
        <is>
          <t>09:16</t>
        </is>
      </c>
      <c r="D210" t="n">
        <v>59.07995561622788</v>
      </c>
      <c r="E210" t="n">
        <v>0.2703517800535382</v>
      </c>
      <c r="F210" t="n">
        <v>7.47372240247916</v>
      </c>
      <c r="G210" t="n">
        <v>0.3917396745932415</v>
      </c>
      <c r="H210" t="n">
        <v>0.4793491864831039</v>
      </c>
      <c r="I210" t="n">
        <v>0.7638307763830777</v>
      </c>
      <c r="J210" t="n">
        <v>0.5012016997071538</v>
      </c>
      <c r="K210" t="n">
        <v>0.6677157174036119</v>
      </c>
      <c r="L210" t="b">
        <v>0</v>
      </c>
      <c r="N210" t="n">
        <v>77.58286180670893</v>
      </c>
      <c r="O210" t="n">
        <v>0</v>
      </c>
      <c r="P210" t="n">
        <v>0</v>
      </c>
      <c r="Q210" t="n">
        <v>0</v>
      </c>
      <c r="R210" t="n">
        <v>38.31651357491081</v>
      </c>
      <c r="S210" t="n">
        <v>4.672380425767219</v>
      </c>
      <c r="T210" t="n">
        <v>0.2764722145424385</v>
      </c>
      <c r="U210" t="n">
        <v>0.9456066945606695</v>
      </c>
      <c r="V210" t="n">
        <v>0.6610878661087866</v>
      </c>
      <c r="W210" t="n">
        <v>0.6847977684797768</v>
      </c>
      <c r="X210" t="n">
        <v>0.2703517800535382</v>
      </c>
      <c r="Y210" t="n">
        <v>7.473722402479158</v>
      </c>
      <c r="Z210" t="n">
        <v>0.5012016997071538</v>
      </c>
      <c r="AA210" t="n">
        <v>0</v>
      </c>
    </row>
    <row r="211">
      <c r="A211" t="inlineStr">
        <is>
          <t>2022-02-22</t>
        </is>
      </c>
      <c r="B211" t="inlineStr">
        <is>
          <t>CW</t>
        </is>
      </c>
      <c r="C211" t="inlineStr">
        <is>
          <t>09:16</t>
        </is>
      </c>
      <c r="D211" t="n">
        <v>82.66148853195655</v>
      </c>
      <c r="E211" t="n">
        <v>0.1168497170584365</v>
      </c>
      <c r="F211" t="n">
        <v>0</v>
      </c>
      <c r="G211" t="n">
        <v>0.003754693366708385</v>
      </c>
      <c r="H211" t="n">
        <v>0.001877346683354193</v>
      </c>
      <c r="I211" t="n">
        <v>0.9739655973965599</v>
      </c>
      <c r="J211" t="n">
        <v>0.197045935499337</v>
      </c>
      <c r="K211" t="n">
        <v>0.6677157174036119</v>
      </c>
      <c r="L211" t="b">
        <v>0</v>
      </c>
      <c r="N211" t="n">
        <v>18.5029061904811</v>
      </c>
      <c r="O211" t="n">
        <v>0</v>
      </c>
      <c r="P211" t="n">
        <v>0</v>
      </c>
      <c r="Q211" t="n">
        <v>0</v>
      </c>
      <c r="R211" t="n">
        <v>131.8221817988513</v>
      </c>
      <c r="S211" t="n">
        <v>31.69262415515722</v>
      </c>
      <c r="T211" t="n">
        <v>0.455480458419037</v>
      </c>
      <c r="U211" t="n">
        <v>1</v>
      </c>
      <c r="V211" t="n">
        <v>0.9944211994421199</v>
      </c>
      <c r="W211" t="n">
        <v>0.9274755927475593</v>
      </c>
      <c r="X211" t="n">
        <v>0.1168497170584365</v>
      </c>
      <c r="Y211" t="n">
        <v>0</v>
      </c>
      <c r="Z211" t="n">
        <v>0.197045935499337</v>
      </c>
      <c r="AA211" t="n">
        <v>2.775557561562891e-17</v>
      </c>
    </row>
    <row r="212">
      <c r="A212" t="inlineStr">
        <is>
          <t>2022-02-23</t>
        </is>
      </c>
      <c r="B212" t="inlineStr">
        <is>
          <t>NW</t>
        </is>
      </c>
      <c r="C212" t="inlineStr">
        <is>
          <t>NW</t>
        </is>
      </c>
      <c r="D212" t="n">
        <v>60.06037262851115</v>
      </c>
      <c r="E212" t="n">
        <v>0.3965202030540056</v>
      </c>
      <c r="F212" t="n">
        <v>14.46962515746622</v>
      </c>
      <c r="G212" t="n">
        <v>0.9336670838548186</v>
      </c>
      <c r="H212" t="n">
        <v>0.9799749687108886</v>
      </c>
      <c r="I212" t="n">
        <v>0.5</v>
      </c>
      <c r="J212" t="n">
        <v>0.8654568210262829</v>
      </c>
      <c r="K212" t="n">
        <v>0.6677157174036119</v>
      </c>
      <c r="L212" t="b">
        <v>1</v>
      </c>
      <c r="M212" t="inlineStr">
        <is>
          <t>top_quartile_risk</t>
        </is>
      </c>
      <c r="N212" t="n">
        <v>0</v>
      </c>
      <c r="O212" t="n">
        <v>0</v>
      </c>
      <c r="P212" t="n">
        <v>0</v>
      </c>
      <c r="Q212" t="n">
        <v>0</v>
      </c>
      <c r="U212" t="n">
        <v>0.5</v>
      </c>
      <c r="V212" t="n">
        <v>0.5</v>
      </c>
      <c r="W212" t="n">
        <v>0.5</v>
      </c>
      <c r="X212" t="n">
        <v>0.3965202030540055</v>
      </c>
      <c r="Y212" t="n">
        <v>14.46962515746621</v>
      </c>
      <c r="Z212" t="n">
        <v>0.8654568210262829</v>
      </c>
      <c r="AA212" t="n">
        <v>0</v>
      </c>
    </row>
    <row r="213">
      <c r="A213" t="inlineStr">
        <is>
          <t>2022-02-24</t>
        </is>
      </c>
      <c r="B213" t="inlineStr">
        <is>
          <t>CW</t>
        </is>
      </c>
      <c r="C213" t="inlineStr">
        <is>
          <t>09:18</t>
        </is>
      </c>
      <c r="D213" t="n">
        <v>16.47844966360178</v>
      </c>
      <c r="E213" t="n">
        <v>0.4009842191283808</v>
      </c>
      <c r="F213" t="n">
        <v>7.949523336911079</v>
      </c>
      <c r="G213" t="n">
        <v>0.9486858573216521</v>
      </c>
      <c r="H213" t="n">
        <v>0.5331664580725908</v>
      </c>
      <c r="I213" t="n">
        <v>0.7670850767085078</v>
      </c>
      <c r="J213" t="n">
        <v>0.7461579414993988</v>
      </c>
      <c r="K213" t="n">
        <v>0.6677157174036119</v>
      </c>
      <c r="L213" t="b">
        <v>1</v>
      </c>
      <c r="M213" t="inlineStr">
        <is>
          <t>top_quartile_risk</t>
        </is>
      </c>
      <c r="N213" t="n">
        <v>0</v>
      </c>
      <c r="O213" t="n">
        <v>0</v>
      </c>
      <c r="P213" t="n">
        <v>0</v>
      </c>
      <c r="Q213" t="n">
        <v>0</v>
      </c>
      <c r="R213" t="n">
        <v>16.55792729482861</v>
      </c>
      <c r="S213" t="n">
        <v>6.817691477885658</v>
      </c>
      <c r="T213" t="n">
        <v>0.3236245954692557</v>
      </c>
      <c r="U213" t="n">
        <v>0.7377963737796374</v>
      </c>
      <c r="V213" t="n">
        <v>0.7782426778242678</v>
      </c>
      <c r="W213" t="n">
        <v>0.7852161785216178</v>
      </c>
      <c r="X213" t="n">
        <v>0.4009842191283808</v>
      </c>
      <c r="Y213" t="n">
        <v>7.94952333691108</v>
      </c>
      <c r="Z213" t="n">
        <v>0.7461579414993988</v>
      </c>
      <c r="AA213" t="n">
        <v>0</v>
      </c>
    </row>
    <row r="214">
      <c r="A214" t="inlineStr">
        <is>
          <t>2022-03-02</t>
        </is>
      </c>
      <c r="B214" t="inlineStr">
        <is>
          <t>CW</t>
        </is>
      </c>
      <c r="C214" t="inlineStr">
        <is>
          <t>09:18</t>
        </is>
      </c>
      <c r="D214" t="n">
        <v>38.42789883911931</v>
      </c>
      <c r="E214" t="n">
        <v>0.4635091391704548</v>
      </c>
      <c r="F214" t="n">
        <v>12.38069720210629</v>
      </c>
      <c r="G214" t="n">
        <v>0.9849812265331664</v>
      </c>
      <c r="H214" t="n">
        <v>0.9374217772215269</v>
      </c>
      <c r="I214" t="n">
        <v>0.3705253370525337</v>
      </c>
      <c r="J214" t="n">
        <v>0.8430662689123841</v>
      </c>
      <c r="K214" t="n">
        <v>0.6677157174036119</v>
      </c>
      <c r="L214" t="b">
        <v>1</v>
      </c>
      <c r="M214" t="inlineStr">
        <is>
          <t>top_quartile_risk</t>
        </is>
      </c>
      <c r="N214" t="n">
        <v>0</v>
      </c>
      <c r="O214" t="n">
        <v>0</v>
      </c>
      <c r="P214" t="n">
        <v>0</v>
      </c>
      <c r="Q214" t="n">
        <v>0</v>
      </c>
      <c r="R214" t="n">
        <v>28.95933050362876</v>
      </c>
      <c r="S214" t="n">
        <v>1.598288447017344</v>
      </c>
      <c r="T214" t="n">
        <v>0.1258494840171226</v>
      </c>
      <c r="U214" t="n">
        <v>0.902370990237099</v>
      </c>
      <c r="V214" t="n">
        <v>0.1576011157601116</v>
      </c>
      <c r="W214" t="n">
        <v>0.05160390516039052</v>
      </c>
      <c r="X214" t="n">
        <v>0.4635091391704548</v>
      </c>
      <c r="Y214" t="n">
        <v>12.38069720210629</v>
      </c>
      <c r="Z214" t="n">
        <v>0.8430662689123841</v>
      </c>
      <c r="AA214" t="n">
        <v>0</v>
      </c>
    </row>
    <row r="215">
      <c r="A215" t="inlineStr">
        <is>
          <t>2022-03-03</t>
        </is>
      </c>
      <c r="B215" t="inlineStr">
        <is>
          <t>NW</t>
        </is>
      </c>
      <c r="C215" t="inlineStr">
        <is>
          <t>NW</t>
        </is>
      </c>
      <c r="D215" t="n">
        <v>88.35413955740445</v>
      </c>
      <c r="E215" t="n">
        <v>0.5201268640149495</v>
      </c>
      <c r="F215" t="n">
        <v>18.72834066768636</v>
      </c>
      <c r="G215" t="n">
        <v>0.9987484355444305</v>
      </c>
      <c r="H215" t="n">
        <v>1</v>
      </c>
      <c r="I215" t="n">
        <v>0.5</v>
      </c>
      <c r="J215" t="n">
        <v>0.8994993742177723</v>
      </c>
      <c r="K215" t="n">
        <v>0.6677157174036119</v>
      </c>
      <c r="L215" t="b">
        <v>1</v>
      </c>
      <c r="M215" t="inlineStr">
        <is>
          <t>top_quartile_risk</t>
        </is>
      </c>
      <c r="N215" t="n">
        <v>0</v>
      </c>
      <c r="O215" t="n">
        <v>0</v>
      </c>
      <c r="P215" t="n">
        <v>0</v>
      </c>
      <c r="Q215" t="n">
        <v>0</v>
      </c>
      <c r="U215" t="n">
        <v>0.5</v>
      </c>
      <c r="V215" t="n">
        <v>0.5</v>
      </c>
      <c r="W215" t="n">
        <v>0.5</v>
      </c>
      <c r="X215" t="n">
        <v>0.5201268640149495</v>
      </c>
      <c r="Y215" t="n">
        <v>18.72834066768636</v>
      </c>
      <c r="Z215" t="n">
        <v>0.8994993742177723</v>
      </c>
      <c r="AA215" t="n">
        <v>0</v>
      </c>
    </row>
    <row r="216">
      <c r="A216" t="inlineStr">
        <is>
          <t>2022-03-09</t>
        </is>
      </c>
      <c r="B216" t="inlineStr">
        <is>
          <t>CW</t>
        </is>
      </c>
      <c r="C216" t="inlineStr">
        <is>
          <t>09:18</t>
        </is>
      </c>
      <c r="D216" t="n">
        <v>-1.432396491447116</v>
      </c>
      <c r="E216" t="n">
        <v>0.3791294623021033</v>
      </c>
      <c r="F216" t="n">
        <v>8.7348060088602</v>
      </c>
      <c r="G216" t="n">
        <v>0.8961201501877347</v>
      </c>
      <c r="H216" t="n">
        <v>0.639549436795995</v>
      </c>
      <c r="I216" t="n">
        <v>0.6327289632728964</v>
      </c>
      <c r="J216" t="n">
        <v>0.7408136274480712</v>
      </c>
      <c r="K216" t="n">
        <v>0.6677157174036119</v>
      </c>
      <c r="L216" t="b">
        <v>1</v>
      </c>
      <c r="M216" t="inlineStr">
        <is>
          <t>top_quartile_risk</t>
        </is>
      </c>
      <c r="N216" t="n">
        <v>0</v>
      </c>
      <c r="O216" t="n">
        <v>0</v>
      </c>
      <c r="P216" t="n">
        <v>1</v>
      </c>
      <c r="Q216" t="n">
        <v>1.432396491447116</v>
      </c>
      <c r="R216" t="n">
        <v>18.22032578565421</v>
      </c>
      <c r="S216" t="n">
        <v>4.618376276130286</v>
      </c>
      <c r="T216" t="n">
        <v>0.2268676065467564</v>
      </c>
      <c r="U216" t="n">
        <v>0.7656903765690377</v>
      </c>
      <c r="V216" t="n">
        <v>0.6541143654114365</v>
      </c>
      <c r="W216" t="n">
        <v>0.4783821478382148</v>
      </c>
      <c r="X216" t="n">
        <v>0.3791294623021033</v>
      </c>
      <c r="Y216" t="n">
        <v>8.734806008860202</v>
      </c>
      <c r="Z216" t="n">
        <v>0.7408136274480712</v>
      </c>
      <c r="AA216" t="n">
        <v>0</v>
      </c>
    </row>
    <row r="217">
      <c r="A217" t="inlineStr">
        <is>
          <t>2022-03-11</t>
        </is>
      </c>
      <c r="B217" t="inlineStr">
        <is>
          <t>CW</t>
        </is>
      </c>
      <c r="C217" t="inlineStr">
        <is>
          <t>09:20+</t>
        </is>
      </c>
      <c r="D217" t="n">
        <v>6.695379800651361</v>
      </c>
      <c r="E217" t="n">
        <v>0.374363416368666</v>
      </c>
      <c r="F217" t="n">
        <v>9.819653632393969</v>
      </c>
      <c r="G217" t="n">
        <v>0.886107634543179</v>
      </c>
      <c r="H217" t="n">
        <v>0.7684605757196495</v>
      </c>
      <c r="I217" t="n">
        <v>0.4119014411901441</v>
      </c>
      <c r="J217" t="n">
        <v>0.7442075723431602</v>
      </c>
      <c r="K217" t="n">
        <v>0.6677157174036119</v>
      </c>
      <c r="L217" t="b">
        <v>1</v>
      </c>
      <c r="M217" t="inlineStr">
        <is>
          <t>top_quartile_risk</t>
        </is>
      </c>
      <c r="N217" t="n">
        <v>1.43239649144698</v>
      </c>
      <c r="O217" t="n">
        <v>1</v>
      </c>
      <c r="P217" t="n">
        <v>0</v>
      </c>
      <c r="Q217" t="n">
        <v>0</v>
      </c>
      <c r="R217" t="n">
        <v>9.019988777807043</v>
      </c>
      <c r="S217" t="n">
        <v>1.810327093190704</v>
      </c>
      <c r="T217" t="n">
        <v>0.2468627854350933</v>
      </c>
      <c r="U217" t="n">
        <v>0.4463040446304045</v>
      </c>
      <c r="V217" t="n">
        <v>0.2175732217573222</v>
      </c>
      <c r="W217" t="n">
        <v>0.5718270571827058</v>
      </c>
      <c r="X217" t="n">
        <v>0.374363416368666</v>
      </c>
      <c r="Y217" t="n">
        <v>9.819653632393967</v>
      </c>
      <c r="Z217" t="n">
        <v>0.7442075723431602</v>
      </c>
      <c r="AA217" t="n">
        <v>0</v>
      </c>
    </row>
    <row r="218">
      <c r="A218" t="inlineStr">
        <is>
          <t>2022-03-14</t>
        </is>
      </c>
      <c r="B218" t="inlineStr">
        <is>
          <t>CW</t>
        </is>
      </c>
      <c r="C218" t="inlineStr">
        <is>
          <t>09:18</t>
        </is>
      </c>
      <c r="D218" t="n">
        <v>-13.68875573008097</v>
      </c>
      <c r="E218" t="n">
        <v>0.4453555177229775</v>
      </c>
      <c r="F218" t="n">
        <v>8.73544813177365</v>
      </c>
      <c r="G218" t="n">
        <v>0.9787234042553191</v>
      </c>
      <c r="H218" t="n">
        <v>0.6408010012515645</v>
      </c>
      <c r="I218" t="n">
        <v>0.3138075313807531</v>
      </c>
      <c r="J218" t="n">
        <v>0.7105712684789041</v>
      </c>
      <c r="K218" t="n">
        <v>0.6677157174036119</v>
      </c>
      <c r="L218" t="b">
        <v>1</v>
      </c>
      <c r="M218" t="inlineStr">
        <is>
          <t>top_quartile_risk</t>
        </is>
      </c>
      <c r="N218" t="n">
        <v>0</v>
      </c>
      <c r="O218" t="n">
        <v>0</v>
      </c>
      <c r="P218" t="n">
        <v>1</v>
      </c>
      <c r="Q218" t="n">
        <v>13.68875573008097</v>
      </c>
      <c r="R218" t="n">
        <v>14.53924096168835</v>
      </c>
      <c r="S218" t="n">
        <v>1.154299175500597</v>
      </c>
      <c r="T218" t="n">
        <v>0.1766784452296819</v>
      </c>
      <c r="U218" t="n">
        <v>0.6931659693165969</v>
      </c>
      <c r="V218" t="n">
        <v>0.05439330543933055</v>
      </c>
      <c r="W218" t="n">
        <v>0.1938633193863319</v>
      </c>
      <c r="X218" t="n">
        <v>0.4453555177229775</v>
      </c>
      <c r="Y218" t="n">
        <v>8.735448131773653</v>
      </c>
      <c r="Z218" t="n">
        <v>0.7105712684789041</v>
      </c>
      <c r="AA218" t="n">
        <v>0</v>
      </c>
    </row>
    <row r="219">
      <c r="A219" t="inlineStr">
        <is>
          <t>2022-03-15</t>
        </is>
      </c>
      <c r="B219" t="inlineStr">
        <is>
          <t>CW</t>
        </is>
      </c>
      <c r="C219" t="inlineStr">
        <is>
          <t>09:18</t>
        </is>
      </c>
      <c r="D219" t="n">
        <v>2.727317136649358</v>
      </c>
      <c r="E219" t="n">
        <v>0.4336751341006082</v>
      </c>
      <c r="F219" t="n">
        <v>8.567824332476608</v>
      </c>
      <c r="G219" t="n">
        <v>0.9724655819774718</v>
      </c>
      <c r="H219" t="n">
        <v>0.6145181476846058</v>
      </c>
      <c r="I219" t="n">
        <v>0.1329614132961413</v>
      </c>
      <c r="J219" t="n">
        <v>0.6613857745240593</v>
      </c>
      <c r="K219" t="n">
        <v>0.6677157174036119</v>
      </c>
      <c r="L219" t="b">
        <v>0</v>
      </c>
      <c r="N219" t="n">
        <v>13.68875573008108</v>
      </c>
      <c r="O219" t="n">
        <v>1</v>
      </c>
      <c r="P219" t="n">
        <v>0</v>
      </c>
      <c r="Q219" t="n">
        <v>0</v>
      </c>
      <c r="R219" t="n">
        <v>7.717509580356289</v>
      </c>
      <c r="S219" t="n">
        <v>0.8064516129032137</v>
      </c>
      <c r="T219" t="n">
        <v>0.1057641459545153</v>
      </c>
      <c r="U219" t="n">
        <v>0.3682008368200837</v>
      </c>
      <c r="V219" t="n">
        <v>0.008368200836820083</v>
      </c>
      <c r="W219" t="n">
        <v>0.02231520223152022</v>
      </c>
      <c r="X219" t="n">
        <v>0.4336751341006082</v>
      </c>
      <c r="Y219" t="n">
        <v>8.567824332476608</v>
      </c>
      <c r="Z219" t="n">
        <v>0.6613857745240593</v>
      </c>
      <c r="AA219" t="n">
        <v>0</v>
      </c>
    </row>
    <row r="220">
      <c r="A220" t="inlineStr">
        <is>
          <t>2022-03-16</t>
        </is>
      </c>
      <c r="B220" t="inlineStr">
        <is>
          <t>NW</t>
        </is>
      </c>
      <c r="C220" t="inlineStr">
        <is>
          <t>NW</t>
        </is>
      </c>
      <c r="D220" t="n">
        <v>14.52262433703495</v>
      </c>
      <c r="E220" t="n">
        <v>0.4553582924830182</v>
      </c>
      <c r="F220" t="n">
        <v>15.45587392279217</v>
      </c>
      <c r="G220" t="n">
        <v>0.9824780976220275</v>
      </c>
      <c r="H220" t="n">
        <v>0.9887359198998749</v>
      </c>
      <c r="I220" t="n">
        <v>0.5</v>
      </c>
      <c r="J220" t="n">
        <v>0.888485607008761</v>
      </c>
      <c r="K220" t="n">
        <v>0.6677157174036119</v>
      </c>
      <c r="L220" t="b">
        <v>1</v>
      </c>
      <c r="M220" t="inlineStr">
        <is>
          <t>top_quartile_risk</t>
        </is>
      </c>
      <c r="N220" t="n">
        <v>10.96143859343192</v>
      </c>
      <c r="O220" t="n">
        <v>0</v>
      </c>
      <c r="P220" t="n">
        <v>0</v>
      </c>
      <c r="Q220" t="n">
        <v>0</v>
      </c>
      <c r="U220" t="n">
        <v>0.5</v>
      </c>
      <c r="V220" t="n">
        <v>0.5</v>
      </c>
      <c r="W220" t="n">
        <v>0.5</v>
      </c>
      <c r="X220" t="n">
        <v>0.4553582924830182</v>
      </c>
      <c r="Y220" t="n">
        <v>15.45587392279217</v>
      </c>
      <c r="Z220" t="n">
        <v>0.888485607008761</v>
      </c>
      <c r="AA220" t="n">
        <v>0</v>
      </c>
    </row>
    <row r="221">
      <c r="A221" t="inlineStr">
        <is>
          <t>2022-03-17</t>
        </is>
      </c>
      <c r="B221" t="inlineStr">
        <is>
          <t>NW</t>
        </is>
      </c>
      <c r="C221" t="inlineStr">
        <is>
          <t>NW</t>
        </is>
      </c>
      <c r="D221" t="n">
        <v>28.85915957537649</v>
      </c>
      <c r="E221" t="n">
        <v>0.4317052419093685</v>
      </c>
      <c r="F221" t="n">
        <v>14.2706168784731</v>
      </c>
      <c r="G221" t="n">
        <v>0.9712140175219024</v>
      </c>
      <c r="H221" t="n">
        <v>0.9762202753441802</v>
      </c>
      <c r="I221" t="n">
        <v>0.5</v>
      </c>
      <c r="J221" t="n">
        <v>0.878973717146433</v>
      </c>
      <c r="K221" t="n">
        <v>0.6677157174036119</v>
      </c>
      <c r="L221" t="b">
        <v>1</v>
      </c>
      <c r="M221" t="inlineStr">
        <is>
          <t>top_quartile_risk</t>
        </is>
      </c>
      <c r="N221" t="n">
        <v>0</v>
      </c>
      <c r="O221" t="n">
        <v>0</v>
      </c>
      <c r="P221" t="n">
        <v>0</v>
      </c>
      <c r="Q221" t="n">
        <v>0</v>
      </c>
      <c r="U221" t="n">
        <v>0.5</v>
      </c>
      <c r="V221" t="n">
        <v>0.5</v>
      </c>
      <c r="W221" t="n">
        <v>0.5</v>
      </c>
      <c r="X221" t="n">
        <v>0.4317052419093685</v>
      </c>
      <c r="Y221" t="n">
        <v>14.2706168784731</v>
      </c>
      <c r="Z221" t="n">
        <v>0.878973717146433</v>
      </c>
      <c r="AA221" t="n">
        <v>0</v>
      </c>
    </row>
    <row r="222">
      <c r="A222" t="inlineStr">
        <is>
          <t>2022-03-21</t>
        </is>
      </c>
      <c r="B222" t="inlineStr">
        <is>
          <t>CW</t>
        </is>
      </c>
      <c r="C222" t="inlineStr">
        <is>
          <t>09:18</t>
        </is>
      </c>
      <c r="D222" t="n">
        <v>-0.1420317403254656</v>
      </c>
      <c r="E222" t="n">
        <v>0.4002729895706111</v>
      </c>
      <c r="F222" t="n">
        <v>6.823848280849577</v>
      </c>
      <c r="G222" t="n">
        <v>0.9424280350438048</v>
      </c>
      <c r="H222" t="n">
        <v>0.3992490613266583</v>
      </c>
      <c r="I222" t="n">
        <v>0.3644816364481636</v>
      </c>
      <c r="J222" t="n">
        <v>0.609567165837818</v>
      </c>
      <c r="K222" t="n">
        <v>0.6677157174036119</v>
      </c>
      <c r="L222" t="b">
        <v>0</v>
      </c>
      <c r="N222" t="n">
        <v>0</v>
      </c>
      <c r="O222" t="n">
        <v>0</v>
      </c>
      <c r="P222" t="n">
        <v>1</v>
      </c>
      <c r="Q222" t="n">
        <v>0.1420317403254656</v>
      </c>
      <c r="R222" t="n">
        <v>15.92817002382167</v>
      </c>
      <c r="S222" t="n">
        <v>1.88507540301612</v>
      </c>
      <c r="T222" t="n">
        <v>0.1560062402496085</v>
      </c>
      <c r="U222" t="n">
        <v>0.7280334728033473</v>
      </c>
      <c r="V222" t="n">
        <v>0.2426778242677824</v>
      </c>
      <c r="W222" t="n">
        <v>0.1227336122733612</v>
      </c>
      <c r="X222" t="n">
        <v>0.4002729895706112</v>
      </c>
      <c r="Y222" t="n">
        <v>6.823848280849578</v>
      </c>
      <c r="Z222" t="n">
        <v>0.609567165837818</v>
      </c>
      <c r="AA222" t="n">
        <v>0</v>
      </c>
    </row>
    <row r="223">
      <c r="A223" t="inlineStr">
        <is>
          <t>2022-03-22</t>
        </is>
      </c>
      <c r="B223" t="inlineStr">
        <is>
          <t>CW</t>
        </is>
      </c>
      <c r="C223" t="inlineStr">
        <is>
          <t>09:18</t>
        </is>
      </c>
      <c r="D223" t="n">
        <v>10.51105899955237</v>
      </c>
      <c r="E223" t="n">
        <v>0.3891359255360373</v>
      </c>
      <c r="F223" t="n">
        <v>7.439378063196614</v>
      </c>
      <c r="G223" t="n">
        <v>0.9198998748435544</v>
      </c>
      <c r="H223" t="n">
        <v>0.4705882352941176</v>
      </c>
      <c r="I223" t="n">
        <v>0.3463505346350535</v>
      </c>
      <c r="J223" t="n">
        <v>0.6254653509820796</v>
      </c>
      <c r="K223" t="n">
        <v>0.6677157174036119</v>
      </c>
      <c r="L223" t="b">
        <v>0</v>
      </c>
      <c r="N223" t="n">
        <v>0.1420317403253648</v>
      </c>
      <c r="O223" t="n">
        <v>1</v>
      </c>
      <c r="P223" t="n">
        <v>0</v>
      </c>
      <c r="Q223" t="n">
        <v>0</v>
      </c>
      <c r="R223" t="n">
        <v>15.30601812770052</v>
      </c>
      <c r="S223" t="n">
        <v>1.284085990477561</v>
      </c>
      <c r="T223" t="n">
        <v>0.1875631222045897</v>
      </c>
      <c r="U223" t="n">
        <v>0.7126917712691772</v>
      </c>
      <c r="V223" t="n">
        <v>0.08507670850767085</v>
      </c>
      <c r="W223" t="n">
        <v>0.2412831241283124</v>
      </c>
      <c r="X223" t="n">
        <v>0.3891359255360373</v>
      </c>
      <c r="Y223" t="n">
        <v>7.439378063196619</v>
      </c>
      <c r="Z223" t="n">
        <v>0.6254653509820796</v>
      </c>
      <c r="AA223" t="n">
        <v>0</v>
      </c>
    </row>
    <row r="224">
      <c r="A224" t="inlineStr">
        <is>
          <t>2022-03-23</t>
        </is>
      </c>
      <c r="B224" t="inlineStr">
        <is>
          <t>CW</t>
        </is>
      </c>
      <c r="C224" t="inlineStr">
        <is>
          <t>09:18</t>
        </is>
      </c>
      <c r="D224" t="n">
        <v>5.899843205088643</v>
      </c>
      <c r="E224" t="n">
        <v>0.3965753619177781</v>
      </c>
      <c r="F224" t="n">
        <v>6.801150571415926</v>
      </c>
      <c r="G224" t="n">
        <v>0.934918648310388</v>
      </c>
      <c r="H224" t="n">
        <v>0.3954943679599499</v>
      </c>
      <c r="I224" t="n">
        <v>0.294746629474663</v>
      </c>
      <c r="J224" t="n">
        <v>0.5911145324030678</v>
      </c>
      <c r="K224" t="n">
        <v>0.6677157174036119</v>
      </c>
      <c r="L224" t="b">
        <v>0</v>
      </c>
      <c r="N224" t="n">
        <v>0</v>
      </c>
      <c r="O224" t="n">
        <v>0</v>
      </c>
      <c r="P224" t="n">
        <v>0</v>
      </c>
      <c r="Q224" t="n">
        <v>0</v>
      </c>
      <c r="R224" t="n">
        <v>9.098710968107753</v>
      </c>
      <c r="S224" t="n">
        <v>1.260600504240202</v>
      </c>
      <c r="T224" t="n">
        <v>0.2062800825120343</v>
      </c>
      <c r="U224" t="n">
        <v>0.4518828451882845</v>
      </c>
      <c r="V224" t="n">
        <v>0.08089260808926081</v>
      </c>
      <c r="W224" t="n">
        <v>0.3514644351464435</v>
      </c>
      <c r="X224" t="n">
        <v>0.396575361917778</v>
      </c>
      <c r="Y224" t="n">
        <v>6.801150571415924</v>
      </c>
      <c r="Z224" t="n">
        <v>0.5911145324030678</v>
      </c>
      <c r="AA224" t="n">
        <v>0</v>
      </c>
    </row>
    <row r="225">
      <c r="A225" t="inlineStr">
        <is>
          <t>2022-03-24</t>
        </is>
      </c>
      <c r="B225" t="inlineStr">
        <is>
          <t>CW</t>
        </is>
      </c>
      <c r="C225" t="inlineStr">
        <is>
          <t>09:18</t>
        </is>
      </c>
      <c r="D225" t="n">
        <v>8.626205187247027</v>
      </c>
      <c r="E225" t="n">
        <v>0.3887131409259078</v>
      </c>
      <c r="F225" t="n">
        <v>5.929249005935847</v>
      </c>
      <c r="G225" t="n">
        <v>0.918648310387985</v>
      </c>
      <c r="H225" t="n">
        <v>0.2565707133917397</v>
      </c>
      <c r="I225" t="n">
        <v>0.3565783356578336</v>
      </c>
      <c r="J225" t="n">
        <v>0.5414032766434566</v>
      </c>
      <c r="K225" t="n">
        <v>0.6677157174036119</v>
      </c>
      <c r="L225" t="b">
        <v>0</v>
      </c>
      <c r="N225" t="n">
        <v>0</v>
      </c>
      <c r="O225" t="n">
        <v>0</v>
      </c>
      <c r="P225" t="n">
        <v>0</v>
      </c>
      <c r="Q225" t="n">
        <v>0</v>
      </c>
      <c r="R225" t="n">
        <v>5.714052487653141</v>
      </c>
      <c r="S225" t="n">
        <v>2.569916855631145</v>
      </c>
      <c r="T225" t="n">
        <v>0.226757369614521</v>
      </c>
      <c r="U225" t="n">
        <v>0.1924686192468619</v>
      </c>
      <c r="V225" t="n">
        <v>0.400278940027894</v>
      </c>
      <c r="W225" t="n">
        <v>0.4769874476987448</v>
      </c>
      <c r="X225" t="n">
        <v>0.3887131409259078</v>
      </c>
      <c r="Y225" t="n">
        <v>5.929249005935846</v>
      </c>
      <c r="Z225" t="n">
        <v>0.5414032766434566</v>
      </c>
      <c r="AA225" t="n">
        <v>0</v>
      </c>
    </row>
    <row r="226">
      <c r="A226" t="inlineStr">
        <is>
          <t>2022-03-25</t>
        </is>
      </c>
      <c r="B226" t="inlineStr">
        <is>
          <t>CW</t>
        </is>
      </c>
      <c r="C226" t="inlineStr">
        <is>
          <t>09:17</t>
        </is>
      </c>
      <c r="D226" t="n">
        <v>37.3815588778881</v>
      </c>
      <c r="E226" t="n">
        <v>0.260826504669273</v>
      </c>
      <c r="F226" t="n">
        <v>7.523766735589104</v>
      </c>
      <c r="G226" t="n">
        <v>0.3366708385481852</v>
      </c>
      <c r="H226" t="n">
        <v>0.4831038798498123</v>
      </c>
      <c r="I226" t="n">
        <v>0.4225941422594142</v>
      </c>
      <c r="J226" t="n">
        <v>0.4124287158110819</v>
      </c>
      <c r="K226" t="n">
        <v>0.6677157174036119</v>
      </c>
      <c r="L226" t="b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15.06678642830238</v>
      </c>
      <c r="S226" t="n">
        <v>1.690251572327056</v>
      </c>
      <c r="T226" t="n">
        <v>0.2096436058700239</v>
      </c>
      <c r="U226" t="n">
        <v>0.7071129707112971</v>
      </c>
      <c r="V226" t="n">
        <v>0.1854951185495119</v>
      </c>
      <c r="W226" t="n">
        <v>0.3751743375174337</v>
      </c>
      <c r="X226" t="n">
        <v>0.260826504669273</v>
      </c>
      <c r="Y226" t="n">
        <v>7.523766735589106</v>
      </c>
      <c r="Z226" t="n">
        <v>0.4124287158110819</v>
      </c>
      <c r="AA226" t="n">
        <v>-5.551115123125783e-17</v>
      </c>
    </row>
    <row r="227">
      <c r="A227" t="inlineStr">
        <is>
          <t>2022-03-28</t>
        </is>
      </c>
      <c r="B227" t="inlineStr">
        <is>
          <t>CW</t>
        </is>
      </c>
      <c r="C227" t="inlineStr">
        <is>
          <t>09:17</t>
        </is>
      </c>
      <c r="D227" t="n">
        <v>55.3849190385832</v>
      </c>
      <c r="E227" t="n">
        <v>0.3370782149848268</v>
      </c>
      <c r="F227" t="n">
        <v>8.468667397519026</v>
      </c>
      <c r="G227" t="n">
        <v>0.7672090112640801</v>
      </c>
      <c r="H227" t="n">
        <v>0.5969962453066333</v>
      </c>
      <c r="I227" t="n">
        <v>0.5350999535099954</v>
      </c>
      <c r="J227" t="n">
        <v>0.6527020933302845</v>
      </c>
      <c r="K227" t="n">
        <v>0.6677157174036119</v>
      </c>
      <c r="L227" t="b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12.25979108850225</v>
      </c>
      <c r="S227" t="n">
        <v>3.234172387490472</v>
      </c>
      <c r="T227" t="n">
        <v>0.2288329519450801</v>
      </c>
      <c r="U227" t="n">
        <v>0.6094839609483961</v>
      </c>
      <c r="V227" t="n">
        <v>0.5034867503486751</v>
      </c>
      <c r="W227" t="n">
        <v>0.4923291492329149</v>
      </c>
      <c r="X227" t="n">
        <v>0.3370782149848268</v>
      </c>
      <c r="Y227" t="n">
        <v>8.468667397519026</v>
      </c>
      <c r="Z227" t="n">
        <v>0.6527020933302845</v>
      </c>
      <c r="AA227" t="n">
        <v>0</v>
      </c>
    </row>
    <row r="228">
      <c r="A228" t="inlineStr">
        <is>
          <t>2022-03-29</t>
        </is>
      </c>
      <c r="B228" t="inlineStr">
        <is>
          <t>CW</t>
        </is>
      </c>
      <c r="C228" t="inlineStr">
        <is>
          <t>09:17</t>
        </is>
      </c>
      <c r="D228" t="n">
        <v>41.47014995455269</v>
      </c>
      <c r="E228" t="n">
        <v>0.2683483115906046</v>
      </c>
      <c r="F228" t="n">
        <v>5.486231811124378</v>
      </c>
      <c r="G228" t="n">
        <v>0.3842302878598248</v>
      </c>
      <c r="H228" t="n">
        <v>0.197747183979975</v>
      </c>
      <c r="I228" t="n">
        <v>0.2594142259414226</v>
      </c>
      <c r="J228" t="n">
        <v>0.2846738339242044</v>
      </c>
      <c r="K228" t="n">
        <v>0.6677157174036119</v>
      </c>
      <c r="L228" t="b">
        <v>0</v>
      </c>
      <c r="N228" t="n">
        <v>0</v>
      </c>
      <c r="O228" t="n">
        <v>0</v>
      </c>
      <c r="P228" t="n">
        <v>0</v>
      </c>
      <c r="Q228" t="n">
        <v>0</v>
      </c>
      <c r="R228" t="n">
        <v>5.083854717296818</v>
      </c>
      <c r="S228" t="n">
        <v>4.081177520071368</v>
      </c>
      <c r="T228" t="n">
        <v>0.111507582515611</v>
      </c>
      <c r="U228" t="n">
        <v>0.1366806136680614</v>
      </c>
      <c r="V228" t="n">
        <v>0.606694560669456</v>
      </c>
      <c r="W228" t="n">
        <v>0.03486750348675035</v>
      </c>
      <c r="X228" t="n">
        <v>0.2683483115906046</v>
      </c>
      <c r="Y228" t="n">
        <v>5.48623181112438</v>
      </c>
      <c r="Z228" t="n">
        <v>0.2846738339242044</v>
      </c>
      <c r="AA228" t="n">
        <v>0</v>
      </c>
    </row>
    <row r="229">
      <c r="A229" t="inlineStr">
        <is>
          <t>2022-03-30</t>
        </is>
      </c>
      <c r="B229" t="inlineStr">
        <is>
          <t>NW</t>
        </is>
      </c>
      <c r="C229" t="inlineStr">
        <is>
          <t>NW</t>
        </is>
      </c>
      <c r="D229" t="n">
        <v>-13.39723043637225</v>
      </c>
      <c r="E229" t="n">
        <v>0.3621378457245287</v>
      </c>
      <c r="F229" t="n">
        <v>11.08560367364712</v>
      </c>
      <c r="G229" t="n">
        <v>0.8498122653316645</v>
      </c>
      <c r="H229" t="n">
        <v>0.8873591989987485</v>
      </c>
      <c r="I229" t="n">
        <v>0.5</v>
      </c>
      <c r="J229" t="n">
        <v>0.7948685857321652</v>
      </c>
      <c r="K229" t="n">
        <v>0.6677157174036119</v>
      </c>
      <c r="L229" t="b">
        <v>1</v>
      </c>
      <c r="M229" t="inlineStr">
        <is>
          <t>top_quartile_risk</t>
        </is>
      </c>
      <c r="N229" t="n">
        <v>0</v>
      </c>
      <c r="O229" t="n">
        <v>0</v>
      </c>
      <c r="P229" t="n">
        <v>1</v>
      </c>
      <c r="Q229" t="n">
        <v>13.39723043637225</v>
      </c>
      <c r="U229" t="n">
        <v>0.5</v>
      </c>
      <c r="V229" t="n">
        <v>0.5</v>
      </c>
      <c r="W229" t="n">
        <v>0.5</v>
      </c>
      <c r="X229" t="n">
        <v>0.3621378457245287</v>
      </c>
      <c r="Y229" t="n">
        <v>11.08560367364712</v>
      </c>
      <c r="Z229" t="n">
        <v>0.7948685857321652</v>
      </c>
      <c r="AA229" t="n">
        <v>0</v>
      </c>
    </row>
    <row r="230">
      <c r="A230" t="inlineStr">
        <is>
          <t>2022-03-31</t>
        </is>
      </c>
      <c r="B230" t="inlineStr">
        <is>
          <t>CW</t>
        </is>
      </c>
      <c r="C230" t="inlineStr">
        <is>
          <t>09:16</t>
        </is>
      </c>
      <c r="D230" t="n">
        <v>32.76263655275994</v>
      </c>
      <c r="E230" t="n">
        <v>0.1777713349022841</v>
      </c>
      <c r="F230" t="n">
        <v>5.393341183319039</v>
      </c>
      <c r="G230" t="n">
        <v>0.06257822277847309</v>
      </c>
      <c r="H230" t="n">
        <v>0.1852315394242804</v>
      </c>
      <c r="I230" t="n">
        <v>0.9014411901441189</v>
      </c>
      <c r="J230" t="n">
        <v>0.2794121429099252</v>
      </c>
      <c r="K230" t="n">
        <v>0.6677157174036119</v>
      </c>
      <c r="L230" t="b">
        <v>0</v>
      </c>
      <c r="N230" t="n">
        <v>13.39723043637241</v>
      </c>
      <c r="O230" t="n">
        <v>1</v>
      </c>
      <c r="P230" t="n">
        <v>0</v>
      </c>
      <c r="Q230" t="n">
        <v>0</v>
      </c>
      <c r="R230" t="n">
        <v>24.32680625823572</v>
      </c>
      <c r="S230" t="n">
        <v>15.30715005035247</v>
      </c>
      <c r="T230" t="n">
        <v>0.4531722054380693</v>
      </c>
      <c r="U230" t="n">
        <v>0.8465829846582985</v>
      </c>
      <c r="V230" t="n">
        <v>0.9330543933054394</v>
      </c>
      <c r="W230" t="n">
        <v>0.9246861924686193</v>
      </c>
      <c r="X230" t="n">
        <v>0.1777713349022841</v>
      </c>
      <c r="Y230" t="n">
        <v>5.39334118331904</v>
      </c>
      <c r="Z230" t="n">
        <v>0.2794121429099252</v>
      </c>
      <c r="AA230" t="n">
        <v>-5.551115123125783e-17</v>
      </c>
    </row>
    <row r="231">
      <c r="A231" t="inlineStr">
        <is>
          <t>2022-04-01</t>
        </is>
      </c>
      <c r="B231" t="inlineStr">
        <is>
          <t>CW</t>
        </is>
      </c>
      <c r="C231" t="inlineStr">
        <is>
          <t>09:16</t>
        </is>
      </c>
      <c r="D231" t="n">
        <v>39.19377922863595</v>
      </c>
      <c r="E231" t="n">
        <v>0.2258489320796749</v>
      </c>
      <c r="F231" t="n">
        <v>6.669242527983098</v>
      </c>
      <c r="G231" t="n">
        <v>0.1589486858573217</v>
      </c>
      <c r="H231" t="n">
        <v>0.3717146433041302</v>
      </c>
      <c r="I231" t="n">
        <v>0.7931194793119479</v>
      </c>
      <c r="J231" t="n">
        <v>0.3708892275269703</v>
      </c>
      <c r="K231" t="n">
        <v>0.6677157174036119</v>
      </c>
      <c r="L231" t="b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19.95579376531674</v>
      </c>
      <c r="S231" t="n">
        <v>8.216633323806786</v>
      </c>
      <c r="T231" t="n">
        <v>0.3143755358673972</v>
      </c>
      <c r="U231" t="n">
        <v>0.7880055788005579</v>
      </c>
      <c r="V231" t="n">
        <v>0.8298465829846583</v>
      </c>
      <c r="W231" t="n">
        <v>0.7615062761506276</v>
      </c>
      <c r="X231" t="n">
        <v>0.225848932079675</v>
      </c>
      <c r="Y231" t="n">
        <v>6.669242527983098</v>
      </c>
      <c r="Z231" t="n">
        <v>0.3708892275269703</v>
      </c>
      <c r="AA231" t="n">
        <v>0</v>
      </c>
    </row>
    <row r="232">
      <c r="A232" t="inlineStr">
        <is>
          <t>2022-04-05</t>
        </is>
      </c>
      <c r="B232" t="inlineStr">
        <is>
          <t>CW</t>
        </is>
      </c>
      <c r="C232" t="inlineStr">
        <is>
          <t>09:17</t>
        </is>
      </c>
      <c r="D232" t="n">
        <v>14.71660381381932</v>
      </c>
      <c r="E232" t="n">
        <v>0.2268008097376844</v>
      </c>
      <c r="F232" t="n">
        <v>3.918289765119324</v>
      </c>
      <c r="G232" t="n">
        <v>0.16270337922403</v>
      </c>
      <c r="H232" t="n">
        <v>0.04755944931163955</v>
      </c>
      <c r="I232" t="n">
        <v>0.6266852626685263</v>
      </c>
      <c r="J232" t="n">
        <v>0.2094421839479731</v>
      </c>
      <c r="K232" t="n">
        <v>0.6677157174036119</v>
      </c>
      <c r="L232" t="b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11.6880994651717</v>
      </c>
      <c r="S232" t="n">
        <v>3.632183908045979</v>
      </c>
      <c r="T232" t="n">
        <v>0.2988505747126463</v>
      </c>
      <c r="U232" t="n">
        <v>0.5885634588563459</v>
      </c>
      <c r="V232" t="n">
        <v>0.5481171548117155</v>
      </c>
      <c r="W232" t="n">
        <v>0.7433751743375174</v>
      </c>
      <c r="X232" t="n">
        <v>0.2268008097376844</v>
      </c>
      <c r="Y232" t="n">
        <v>3.918289765119324</v>
      </c>
      <c r="Z232" t="n">
        <v>0.2094421839479731</v>
      </c>
      <c r="AA232" t="n">
        <v>2.775557561562891e-17</v>
      </c>
    </row>
    <row r="233">
      <c r="A233" t="inlineStr">
        <is>
          <t>2022-04-06</t>
        </is>
      </c>
      <c r="B233" t="inlineStr">
        <is>
          <t>CW</t>
        </is>
      </c>
      <c r="C233" t="inlineStr">
        <is>
          <t>09:17</t>
        </is>
      </c>
      <c r="D233" t="n">
        <v>16.26782850770254</v>
      </c>
      <c r="E233" t="n">
        <v>0.2633301546783545</v>
      </c>
      <c r="F233" t="n">
        <v>5.750055354451383</v>
      </c>
      <c r="G233" t="n">
        <v>0.3579474342928661</v>
      </c>
      <c r="H233" t="n">
        <v>0.2327909887359199</v>
      </c>
      <c r="I233" t="n">
        <v>0.5550906555090654</v>
      </c>
      <c r="J233" t="n">
        <v>0.3473135003133275</v>
      </c>
      <c r="K233" t="n">
        <v>0.6677157174036119</v>
      </c>
      <c r="L233" t="b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15.0161928348123</v>
      </c>
      <c r="S233" t="n">
        <v>3.60665844636253</v>
      </c>
      <c r="T233" t="n">
        <v>0.2157829839704034</v>
      </c>
      <c r="U233" t="n">
        <v>0.705718270571827</v>
      </c>
      <c r="V233" t="n">
        <v>0.5425383542538355</v>
      </c>
      <c r="W233" t="n">
        <v>0.4170153417015341</v>
      </c>
      <c r="X233" t="n">
        <v>0.2633301546783545</v>
      </c>
      <c r="Y233" t="n">
        <v>5.750055354451383</v>
      </c>
      <c r="Z233" t="n">
        <v>0.3473135003133275</v>
      </c>
      <c r="AA233" t="n">
        <v>0</v>
      </c>
    </row>
    <row r="234">
      <c r="A234" t="inlineStr">
        <is>
          <t>2022-04-07</t>
        </is>
      </c>
      <c r="B234" t="inlineStr">
        <is>
          <t>CW</t>
        </is>
      </c>
      <c r="C234" t="inlineStr">
        <is>
          <t>09:17</t>
        </is>
      </c>
      <c r="D234" t="n">
        <v>10.47761268358916</v>
      </c>
      <c r="E234" t="n">
        <v>0.2594729690308068</v>
      </c>
      <c r="F234" t="n">
        <v>6.449089180811194</v>
      </c>
      <c r="G234" t="n">
        <v>0.3291614518147685</v>
      </c>
      <c r="H234" t="n">
        <v>0.3341677096370463</v>
      </c>
      <c r="I234" t="n">
        <v>0.6801487680148769</v>
      </c>
      <c r="J234" t="n">
        <v>0.4013614181837013</v>
      </c>
      <c r="K234" t="n">
        <v>0.6677157174036119</v>
      </c>
      <c r="L234" t="b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13.64879727024096</v>
      </c>
      <c r="S234" t="n">
        <v>4.146981627296591</v>
      </c>
      <c r="T234" t="n">
        <v>0.3149606299212643</v>
      </c>
      <c r="U234" t="n">
        <v>0.6652719665271967</v>
      </c>
      <c r="V234" t="n">
        <v>0.6108786610878661</v>
      </c>
      <c r="W234" t="n">
        <v>0.7642956764295676</v>
      </c>
      <c r="X234" t="n">
        <v>0.2594729690308068</v>
      </c>
      <c r="Y234" t="n">
        <v>6.449089180811193</v>
      </c>
      <c r="Z234" t="n">
        <v>0.4013614181837013</v>
      </c>
      <c r="AA234" t="n">
        <v>0</v>
      </c>
    </row>
    <row r="235">
      <c r="A235" t="inlineStr">
        <is>
          <t>2022-04-08</t>
        </is>
      </c>
      <c r="B235" t="inlineStr">
        <is>
          <t>CW</t>
        </is>
      </c>
      <c r="C235" t="inlineStr">
        <is>
          <t>09:17</t>
        </is>
      </c>
      <c r="D235" t="n">
        <v>35.81806490597788</v>
      </c>
      <c r="E235" t="n">
        <v>0.2784427488362475</v>
      </c>
      <c r="F235" t="n">
        <v>9.109280239524756</v>
      </c>
      <c r="G235" t="n">
        <v>0.4568210262828536</v>
      </c>
      <c r="H235" t="n">
        <v>0.690863579474343</v>
      </c>
      <c r="I235" t="n">
        <v>0.3198512319851232</v>
      </c>
      <c r="J235" t="n">
        <v>0.5230440886999033</v>
      </c>
      <c r="K235" t="n">
        <v>0.6677157174036119</v>
      </c>
      <c r="L235" t="b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10.05167010192804</v>
      </c>
      <c r="S235" t="n">
        <v>2.316031537450727</v>
      </c>
      <c r="T235" t="n">
        <v>0.1478318002628083</v>
      </c>
      <c r="U235" t="n">
        <v>0.5104602510460251</v>
      </c>
      <c r="V235" t="n">
        <v>0.3444909344490935</v>
      </c>
      <c r="W235" t="n">
        <v>0.104602510460251</v>
      </c>
      <c r="X235" t="n">
        <v>0.2784427488362475</v>
      </c>
      <c r="Y235" t="n">
        <v>9.109280239524756</v>
      </c>
      <c r="Z235" t="n">
        <v>0.5230440886999033</v>
      </c>
      <c r="AA235" t="n">
        <v>0</v>
      </c>
    </row>
    <row r="236">
      <c r="A236" t="inlineStr">
        <is>
          <t>2022-04-11</t>
        </is>
      </c>
      <c r="B236" t="inlineStr">
        <is>
          <t>CW</t>
        </is>
      </c>
      <c r="C236" t="inlineStr">
        <is>
          <t>09:17</t>
        </is>
      </c>
      <c r="D236" t="n">
        <v>41.16972820505479</v>
      </c>
      <c r="E236" t="n">
        <v>0.2646466726260815</v>
      </c>
      <c r="F236" t="n">
        <v>5.448561006472089</v>
      </c>
      <c r="G236" t="n">
        <v>0.3654568210262829</v>
      </c>
      <c r="H236" t="n">
        <v>0.1914893617021277</v>
      </c>
      <c r="I236" t="n">
        <v>0.5797303579730358</v>
      </c>
      <c r="J236" t="n">
        <v>0.3387245446859714</v>
      </c>
      <c r="K236" t="n">
        <v>0.6677157174036119</v>
      </c>
      <c r="L236" t="b">
        <v>0</v>
      </c>
      <c r="N236" t="n">
        <v>0</v>
      </c>
      <c r="O236" t="n">
        <v>0</v>
      </c>
      <c r="P236" t="n">
        <v>0</v>
      </c>
      <c r="Q236" t="n">
        <v>0</v>
      </c>
      <c r="R236" t="n">
        <v>9.91364985664555</v>
      </c>
      <c r="S236" t="n">
        <v>4.264894984997851</v>
      </c>
      <c r="T236" t="n">
        <v>0.2571795970852954</v>
      </c>
      <c r="U236" t="n">
        <v>0.500697350069735</v>
      </c>
      <c r="V236" t="n">
        <v>0.6234309623430963</v>
      </c>
      <c r="W236" t="n">
        <v>0.6150627615062761</v>
      </c>
      <c r="X236" t="n">
        <v>0.2646466726260816</v>
      </c>
      <c r="Y236" t="n">
        <v>5.44856100647209</v>
      </c>
      <c r="Z236" t="n">
        <v>0.3387245446859714</v>
      </c>
      <c r="AA236" t="n">
        <v>-5.551115123125783e-17</v>
      </c>
    </row>
    <row r="237">
      <c r="A237" t="inlineStr">
        <is>
          <t>2022-04-13</t>
        </is>
      </c>
      <c r="B237" t="inlineStr">
        <is>
          <t>NW</t>
        </is>
      </c>
      <c r="C237" t="inlineStr">
        <is>
          <t>NW</t>
        </is>
      </c>
      <c r="D237" t="n">
        <v>-44.57362355198723</v>
      </c>
      <c r="E237" t="n">
        <v>0.332321149519401</v>
      </c>
      <c r="F237" t="n">
        <v>9.131401605147634</v>
      </c>
      <c r="G237" t="n">
        <v>0.7459324155193993</v>
      </c>
      <c r="H237" t="n">
        <v>0.6971214017521903</v>
      </c>
      <c r="I237" t="n">
        <v>0.5</v>
      </c>
      <c r="J237" t="n">
        <v>0.6772215269086358</v>
      </c>
      <c r="K237" t="n">
        <v>0.6677157174036119</v>
      </c>
      <c r="L237" t="b">
        <v>1</v>
      </c>
      <c r="M237" t="inlineStr">
        <is>
          <t>top_quartile_risk</t>
        </is>
      </c>
      <c r="N237" t="n">
        <v>0</v>
      </c>
      <c r="O237" t="n">
        <v>0</v>
      </c>
      <c r="P237" t="n">
        <v>1</v>
      </c>
      <c r="Q237" t="n">
        <v>44.57362355198723</v>
      </c>
      <c r="U237" t="n">
        <v>0.5</v>
      </c>
      <c r="V237" t="n">
        <v>0.5</v>
      </c>
      <c r="W237" t="n">
        <v>0.5</v>
      </c>
      <c r="X237" t="n">
        <v>0.3323211495194009</v>
      </c>
      <c r="Y237" t="n">
        <v>9.131401605147635</v>
      </c>
      <c r="Z237" t="n">
        <v>0.6772215269086358</v>
      </c>
      <c r="AA237" t="n">
        <v>0</v>
      </c>
    </row>
    <row r="238">
      <c r="A238" t="inlineStr">
        <is>
          <t>2022-04-18</t>
        </is>
      </c>
      <c r="B238" t="inlineStr">
        <is>
          <t>CW</t>
        </is>
      </c>
      <c r="C238" t="inlineStr">
        <is>
          <t>09:16</t>
        </is>
      </c>
      <c r="D238" t="n">
        <v>49.81100237513071</v>
      </c>
      <c r="E238" t="n">
        <v>0.1615292170768153</v>
      </c>
      <c r="F238" t="n">
        <v>0.2205320760320415</v>
      </c>
      <c r="G238" t="n">
        <v>0.03754693366708386</v>
      </c>
      <c r="H238" t="n">
        <v>0.003754693366708385</v>
      </c>
      <c r="I238" t="n">
        <v>0.8605299860529986</v>
      </c>
      <c r="J238" t="n">
        <v>0.1886266480241166</v>
      </c>
      <c r="K238" t="n">
        <v>0.6677157174036119</v>
      </c>
      <c r="L238" t="b">
        <v>0</v>
      </c>
      <c r="N238" t="n">
        <v>44.57362355198711</v>
      </c>
      <c r="O238" t="n">
        <v>1</v>
      </c>
      <c r="P238" t="n">
        <v>0</v>
      </c>
      <c r="Q238" t="n">
        <v>0</v>
      </c>
      <c r="R238" t="n">
        <v>20.21297574442827</v>
      </c>
      <c r="S238" t="n">
        <v>22.98221614227085</v>
      </c>
      <c r="T238" t="n">
        <v>0.3419972640218878</v>
      </c>
      <c r="U238" t="n">
        <v>0.7921896792189679</v>
      </c>
      <c r="V238" t="n">
        <v>0.9721059972105998</v>
      </c>
      <c r="W238" t="n">
        <v>0.8172942817294282</v>
      </c>
      <c r="X238" t="n">
        <v>0.1615292170768153</v>
      </c>
      <c r="Y238" t="n">
        <v>0.2205320760320423</v>
      </c>
      <c r="Z238" t="n">
        <v>0.1886266480241166</v>
      </c>
      <c r="AA238" t="n">
        <v>0</v>
      </c>
    </row>
    <row r="239">
      <c r="A239" t="inlineStr">
        <is>
          <t>2022-04-20</t>
        </is>
      </c>
      <c r="B239" t="inlineStr">
        <is>
          <t>CW</t>
        </is>
      </c>
      <c r="C239" t="inlineStr">
        <is>
          <t>09:18</t>
        </is>
      </c>
      <c r="D239" t="n">
        <v>11.97621172717056</v>
      </c>
      <c r="E239" t="n">
        <v>0.2803890013351798</v>
      </c>
      <c r="F239" t="n">
        <v>7.153477102598082</v>
      </c>
      <c r="G239" t="n">
        <v>0.4630788485607009</v>
      </c>
      <c r="H239" t="n">
        <v>0.4342928660826033</v>
      </c>
      <c r="I239" t="n">
        <v>0.598326359832636</v>
      </c>
      <c r="J239" t="n">
        <v>0.4786139578238489</v>
      </c>
      <c r="K239" t="n">
        <v>0.6677157174036119</v>
      </c>
      <c r="L239" t="b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12.69046742731125</v>
      </c>
      <c r="S239" t="n">
        <v>5.938697318007676</v>
      </c>
      <c r="T239" t="n">
        <v>0.2189381499726358</v>
      </c>
      <c r="U239" t="n">
        <v>0.6220362622036262</v>
      </c>
      <c r="V239" t="n">
        <v>0.7419804741980475</v>
      </c>
      <c r="W239" t="n">
        <v>0.4309623430962343</v>
      </c>
      <c r="X239" t="n">
        <v>0.2803890013351798</v>
      </c>
      <c r="Y239" t="n">
        <v>7.153477102598081</v>
      </c>
      <c r="Z239" t="n">
        <v>0.4786139578238489</v>
      </c>
      <c r="AA239" t="n">
        <v>-5.551115123125783e-17</v>
      </c>
    </row>
    <row r="240">
      <c r="A240" t="inlineStr">
        <is>
          <t>2022-04-21</t>
        </is>
      </c>
      <c r="B240" t="inlineStr">
        <is>
          <t>NW</t>
        </is>
      </c>
      <c r="C240" t="inlineStr">
        <is>
          <t>NW</t>
        </is>
      </c>
      <c r="D240" t="n">
        <v>-39.2451647936619</v>
      </c>
      <c r="E240" t="n">
        <v>0.3779434117888984</v>
      </c>
      <c r="F240" t="n">
        <v>11.19272436660485</v>
      </c>
      <c r="G240" t="n">
        <v>0.8948685857321652</v>
      </c>
      <c r="H240" t="n">
        <v>0.8911138923654568</v>
      </c>
      <c r="I240" t="n">
        <v>0.5</v>
      </c>
      <c r="J240" t="n">
        <v>0.8143929912390488</v>
      </c>
      <c r="K240" t="n">
        <v>0.6677157174036119</v>
      </c>
      <c r="L240" t="b">
        <v>1</v>
      </c>
      <c r="M240" t="inlineStr">
        <is>
          <t>top_quartile_risk</t>
        </is>
      </c>
      <c r="N240" t="n">
        <v>0</v>
      </c>
      <c r="O240" t="n">
        <v>0</v>
      </c>
      <c r="P240" t="n">
        <v>1</v>
      </c>
      <c r="Q240" t="n">
        <v>39.2451647936619</v>
      </c>
      <c r="U240" t="n">
        <v>0.5</v>
      </c>
      <c r="V240" t="n">
        <v>0.5</v>
      </c>
      <c r="W240" t="n">
        <v>0.5</v>
      </c>
      <c r="X240" t="n">
        <v>0.3779434117888984</v>
      </c>
      <c r="Y240" t="n">
        <v>11.19272436660485</v>
      </c>
      <c r="Z240" t="n">
        <v>0.8143929912390488</v>
      </c>
      <c r="AA240" t="n">
        <v>0</v>
      </c>
    </row>
    <row r="241">
      <c r="A241" t="inlineStr">
        <is>
          <t>2022-04-22</t>
        </is>
      </c>
      <c r="B241" t="inlineStr">
        <is>
          <t>CW</t>
        </is>
      </c>
      <c r="C241" t="inlineStr">
        <is>
          <t>09:17</t>
        </is>
      </c>
      <c r="D241" t="n">
        <v>18.68226098800891</v>
      </c>
      <c r="E241" t="n">
        <v>0.2722312892926765</v>
      </c>
      <c r="F241" t="n">
        <v>5.563815073855481</v>
      </c>
      <c r="G241" t="n">
        <v>0.4055068836045057</v>
      </c>
      <c r="H241" t="n">
        <v>0.2102628285356696</v>
      </c>
      <c r="I241" t="n">
        <v>0.194793119479312</v>
      </c>
      <c r="J241" t="n">
        <v>0.2852665087519325</v>
      </c>
      <c r="K241" t="n">
        <v>0.6677157174036119</v>
      </c>
      <c r="L241" t="b">
        <v>0</v>
      </c>
      <c r="N241" t="n">
        <v>39.24516479366184</v>
      </c>
      <c r="O241" t="n">
        <v>1</v>
      </c>
      <c r="P241" t="n">
        <v>0</v>
      </c>
      <c r="Q241" t="n">
        <v>0</v>
      </c>
      <c r="R241" t="n">
        <v>4.500698334160881</v>
      </c>
      <c r="S241" t="n">
        <v>2.696196437168986</v>
      </c>
      <c r="T241" t="n">
        <v>0.1283903065318495</v>
      </c>
      <c r="U241" t="n">
        <v>0.09902370990237098</v>
      </c>
      <c r="V241" t="n">
        <v>0.4253835425383543</v>
      </c>
      <c r="W241" t="n">
        <v>0.0599721059972106</v>
      </c>
      <c r="X241" t="n">
        <v>0.2722312892926765</v>
      </c>
      <c r="Y241" t="n">
        <v>5.56381507385548</v>
      </c>
      <c r="Z241" t="n">
        <v>0.2852665087519325</v>
      </c>
      <c r="AA241" t="n">
        <v>0</v>
      </c>
    </row>
    <row r="242">
      <c r="A242" t="inlineStr">
        <is>
          <t>2022-04-25</t>
        </is>
      </c>
      <c r="B242" t="inlineStr">
        <is>
          <t>CW</t>
        </is>
      </c>
      <c r="C242" t="inlineStr">
        <is>
          <t>09:20+</t>
        </is>
      </c>
      <c r="D242" t="n">
        <v>-7.423701989551178</v>
      </c>
      <c r="E242" t="n">
        <v>0.4078523963308455</v>
      </c>
      <c r="F242" t="n">
        <v>9.377643905808897</v>
      </c>
      <c r="G242" t="n">
        <v>0.9536921151439299</v>
      </c>
      <c r="H242" t="n">
        <v>0.7196495619524406</v>
      </c>
      <c r="I242" t="n">
        <v>0.297071129707113</v>
      </c>
      <c r="J242" t="n">
        <v>0.7287508967799707</v>
      </c>
      <c r="K242" t="n">
        <v>0.6677157174036119</v>
      </c>
      <c r="L242" t="b">
        <v>1</v>
      </c>
      <c r="M242" t="inlineStr">
        <is>
          <t>top_quartile_risk</t>
        </is>
      </c>
      <c r="N242" t="n">
        <v>20.56290380565315</v>
      </c>
      <c r="O242" t="n">
        <v>0</v>
      </c>
      <c r="P242" t="n">
        <v>1</v>
      </c>
      <c r="Q242" t="n">
        <v>7.423701989551178</v>
      </c>
      <c r="R242" t="n">
        <v>9.613966793476228</v>
      </c>
      <c r="S242" t="n">
        <v>1.218686526743387</v>
      </c>
      <c r="T242" t="n">
        <v>0.2031144211238882</v>
      </c>
      <c r="U242" t="n">
        <v>0.4853556485355648</v>
      </c>
      <c r="V242" t="n">
        <v>0.07391910739191074</v>
      </c>
      <c r="W242" t="n">
        <v>0.3319386331938633</v>
      </c>
      <c r="X242" t="n">
        <v>0.4078523963308455</v>
      </c>
      <c r="Y242" t="n">
        <v>9.377643905808894</v>
      </c>
      <c r="Z242" t="n">
        <v>0.7287508967799707</v>
      </c>
      <c r="AA242" t="n">
        <v>0</v>
      </c>
    </row>
    <row r="243">
      <c r="A243" t="inlineStr">
        <is>
          <t>2022-04-27</t>
        </is>
      </c>
      <c r="B243" t="inlineStr">
        <is>
          <t>CW</t>
        </is>
      </c>
      <c r="C243" t="inlineStr">
        <is>
          <t>09:17</t>
        </is>
      </c>
      <c r="D243" t="n">
        <v>-0.4181839668160624</v>
      </c>
      <c r="E243" t="n">
        <v>0.2732614649854158</v>
      </c>
      <c r="F243" t="n">
        <v>5.48239784070282</v>
      </c>
      <c r="G243" t="n">
        <v>0.4105131414267835</v>
      </c>
      <c r="H243" t="n">
        <v>0.195244055068836</v>
      </c>
      <c r="I243" t="n">
        <v>0.5360297536029753</v>
      </c>
      <c r="J243" t="n">
        <v>0.3495088293188429</v>
      </c>
      <c r="K243" t="n">
        <v>0.6677157174036119</v>
      </c>
      <c r="L243" t="b">
        <v>0</v>
      </c>
      <c r="N243" t="n">
        <v>27.98660579520447</v>
      </c>
      <c r="O243" t="n">
        <v>1</v>
      </c>
      <c r="P243" t="n">
        <v>1</v>
      </c>
      <c r="Q243" t="n">
        <v>0.4181839668160624</v>
      </c>
      <c r="R243" t="n">
        <v>11.36866409406776</v>
      </c>
      <c r="S243" t="n">
        <v>3.072702331961588</v>
      </c>
      <c r="T243" t="n">
        <v>0.2469135802469151</v>
      </c>
      <c r="U243" t="n">
        <v>0.5620641562064156</v>
      </c>
      <c r="V243" t="n">
        <v>0.4728033472803347</v>
      </c>
      <c r="W243" t="n">
        <v>0.5732217573221757</v>
      </c>
      <c r="X243" t="n">
        <v>0.2732614649854158</v>
      </c>
      <c r="Y243" t="n">
        <v>5.482397840702817</v>
      </c>
      <c r="Z243" t="n">
        <v>0.3495088293188429</v>
      </c>
      <c r="AA243" t="n">
        <v>-5.551115123125783e-17</v>
      </c>
    </row>
    <row r="244">
      <c r="A244" t="inlineStr">
        <is>
          <t>2022-04-28</t>
        </is>
      </c>
      <c r="B244" t="inlineStr">
        <is>
          <t>NW</t>
        </is>
      </c>
      <c r="C244" t="inlineStr">
        <is>
          <t>NW</t>
        </is>
      </c>
      <c r="D244" t="n">
        <v>14.72366781161906</v>
      </c>
      <c r="E244" t="n">
        <v>0.3859600050177164</v>
      </c>
      <c r="F244" t="n">
        <v>12.39516015039684</v>
      </c>
      <c r="G244" t="n">
        <v>0.9161451814768461</v>
      </c>
      <c r="H244" t="n">
        <v>0.9399249061326659</v>
      </c>
      <c r="I244" t="n">
        <v>0.5</v>
      </c>
      <c r="J244" t="n">
        <v>0.8424280350438048</v>
      </c>
      <c r="K244" t="n">
        <v>0.6677157174036119</v>
      </c>
      <c r="L244" t="b">
        <v>1</v>
      </c>
      <c r="M244" t="inlineStr">
        <is>
          <t>top_quartile_risk</t>
        </is>
      </c>
      <c r="N244" t="n">
        <v>28.40478976202076</v>
      </c>
      <c r="O244" t="n">
        <v>2</v>
      </c>
      <c r="P244" t="n">
        <v>0</v>
      </c>
      <c r="Q244" t="n">
        <v>0</v>
      </c>
      <c r="U244" t="n">
        <v>0.5</v>
      </c>
      <c r="V244" t="n">
        <v>0.5</v>
      </c>
      <c r="W244" t="n">
        <v>0.5</v>
      </c>
      <c r="X244" t="n">
        <v>0.3859600050177164</v>
      </c>
      <c r="Y244" t="n">
        <v>12.39516015039684</v>
      </c>
      <c r="Z244" t="n">
        <v>0.8424280350438048</v>
      </c>
      <c r="AA244" t="n">
        <v>0</v>
      </c>
    </row>
    <row r="245">
      <c r="A245" t="inlineStr">
        <is>
          <t>2022-05-02</t>
        </is>
      </c>
      <c r="B245" t="inlineStr">
        <is>
          <t>CW</t>
        </is>
      </c>
      <c r="C245" t="inlineStr">
        <is>
          <t>09:20+</t>
        </is>
      </c>
      <c r="D245" t="n">
        <v>30.99821582497932</v>
      </c>
      <c r="E245" t="n">
        <v>0.370755715708756</v>
      </c>
      <c r="F245" t="n">
        <v>9.125965923897979</v>
      </c>
      <c r="G245" t="n">
        <v>0.8773466833541927</v>
      </c>
      <c r="H245" t="n">
        <v>0.6933667083854819</v>
      </c>
      <c r="I245" t="n">
        <v>0.3858670385867038</v>
      </c>
      <c r="J245" t="n">
        <v>0.7054587644132106</v>
      </c>
      <c r="K245" t="n">
        <v>0.6677157174036119</v>
      </c>
      <c r="L245" t="b">
        <v>1</v>
      </c>
      <c r="M245" t="inlineStr">
        <is>
          <t>top_quartile_risk</t>
        </is>
      </c>
      <c r="N245" t="n">
        <v>13.68112195040158</v>
      </c>
      <c r="O245" t="n">
        <v>0</v>
      </c>
      <c r="P245" t="n">
        <v>0</v>
      </c>
      <c r="Q245" t="n">
        <v>0</v>
      </c>
      <c r="R245" t="n">
        <v>15.54876256539929</v>
      </c>
      <c r="S245" t="n">
        <v>1.66666666666667</v>
      </c>
      <c r="T245" t="n">
        <v>0.1909722222222261</v>
      </c>
      <c r="U245" t="n">
        <v>0.7182705718270572</v>
      </c>
      <c r="V245" t="n">
        <v>0.1785216178521618</v>
      </c>
      <c r="W245" t="n">
        <v>0.2608089260808926</v>
      </c>
      <c r="X245" t="n">
        <v>0.370755715708756</v>
      </c>
      <c r="Y245" t="n">
        <v>9.125965923897979</v>
      </c>
      <c r="Z245" t="n">
        <v>0.7054587644132106</v>
      </c>
      <c r="AA245" t="n">
        <v>0</v>
      </c>
    </row>
    <row r="246">
      <c r="A246" t="inlineStr">
        <is>
          <t>2022-05-04</t>
        </is>
      </c>
      <c r="B246" t="inlineStr">
        <is>
          <t>NW</t>
        </is>
      </c>
      <c r="C246" t="inlineStr">
        <is>
          <t>NW</t>
        </is>
      </c>
      <c r="D246" t="n">
        <v>-40.83792595021766</v>
      </c>
      <c r="E246" t="n">
        <v>0.4008460874980216</v>
      </c>
      <c r="F246" t="n">
        <v>13.22871653081366</v>
      </c>
      <c r="G246" t="n">
        <v>0.9474342928660826</v>
      </c>
      <c r="H246" t="n">
        <v>0.9586983729662077</v>
      </c>
      <c r="I246" t="n">
        <v>0.5</v>
      </c>
      <c r="J246" t="n">
        <v>0.8624530663329162</v>
      </c>
      <c r="K246" t="n">
        <v>0.6677157174036119</v>
      </c>
      <c r="L246" t="b">
        <v>1</v>
      </c>
      <c r="M246" t="inlineStr">
        <is>
          <t>top_quartile_risk</t>
        </is>
      </c>
      <c r="N246" t="n">
        <v>0</v>
      </c>
      <c r="O246" t="n">
        <v>0</v>
      </c>
      <c r="P246" t="n">
        <v>1</v>
      </c>
      <c r="Q246" t="n">
        <v>40.83792595021766</v>
      </c>
      <c r="U246" t="n">
        <v>0.5</v>
      </c>
      <c r="V246" t="n">
        <v>0.5</v>
      </c>
      <c r="W246" t="n">
        <v>0.5</v>
      </c>
      <c r="X246" t="n">
        <v>0.4008460874980216</v>
      </c>
      <c r="Y246" t="n">
        <v>13.22871653081366</v>
      </c>
      <c r="Z246" t="n">
        <v>0.8624530663329162</v>
      </c>
      <c r="AA246" t="n">
        <v>0</v>
      </c>
    </row>
    <row r="247">
      <c r="A247" t="inlineStr">
        <is>
          <t>2022-05-05</t>
        </is>
      </c>
      <c r="B247" t="inlineStr">
        <is>
          <t>CW</t>
        </is>
      </c>
      <c r="C247" t="inlineStr">
        <is>
          <t>09:18</t>
        </is>
      </c>
      <c r="D247" t="n">
        <v>-14.69397411478143</v>
      </c>
      <c r="E247" t="n">
        <v>0.322683506861071</v>
      </c>
      <c r="F247" t="n">
        <v>9.221083148348749</v>
      </c>
      <c r="G247" t="n">
        <v>0.685857321652065</v>
      </c>
      <c r="H247" t="n">
        <v>0.7071339173967459</v>
      </c>
      <c r="I247" t="n">
        <v>0.3919107391910739</v>
      </c>
      <c r="J247" t="n">
        <v>0.6355786434577393</v>
      </c>
      <c r="K247" t="n">
        <v>0.6677157174036119</v>
      </c>
      <c r="L247" t="b">
        <v>0</v>
      </c>
      <c r="N247" t="n">
        <v>40.8379259502176</v>
      </c>
      <c r="O247" t="n">
        <v>1</v>
      </c>
      <c r="P247" t="n">
        <v>1</v>
      </c>
      <c r="Q247" t="n">
        <v>14.69397411478143</v>
      </c>
      <c r="R247" t="n">
        <v>5.853635345259621</v>
      </c>
      <c r="S247" t="n">
        <v>4.337251722740177</v>
      </c>
      <c r="T247" t="n">
        <v>0.2026753141467369</v>
      </c>
      <c r="U247" t="n">
        <v>0.2119944211994421</v>
      </c>
      <c r="V247" t="n">
        <v>0.6331938633193863</v>
      </c>
      <c r="W247" t="n">
        <v>0.3305439330543933</v>
      </c>
      <c r="X247" t="n">
        <v>0.322683506861071</v>
      </c>
      <c r="Y247" t="n">
        <v>9.221083148348749</v>
      </c>
      <c r="Z247" t="n">
        <v>0.6355786434577393</v>
      </c>
      <c r="AA247" t="n">
        <v>0</v>
      </c>
    </row>
    <row r="248">
      <c r="A248" t="inlineStr">
        <is>
          <t>2022-05-06</t>
        </is>
      </c>
      <c r="B248" t="inlineStr">
        <is>
          <t>CW</t>
        </is>
      </c>
      <c r="C248" t="inlineStr">
        <is>
          <t>09:18</t>
        </is>
      </c>
      <c r="D248" t="n">
        <v>33.02904180243426</v>
      </c>
      <c r="E248" t="n">
        <v>0.247304909900779</v>
      </c>
      <c r="F248" t="n">
        <v>4.074439845850019</v>
      </c>
      <c r="G248" t="n">
        <v>0.2515644555694618</v>
      </c>
      <c r="H248" t="n">
        <v>0.05757196495619524</v>
      </c>
      <c r="I248" t="n">
        <v>0.5313807531380753</v>
      </c>
      <c r="J248" t="n">
        <v>0.2299307188378779</v>
      </c>
      <c r="K248" t="n">
        <v>0.6677157174036119</v>
      </c>
      <c r="L248" t="b">
        <v>0</v>
      </c>
      <c r="N248" t="n">
        <v>55.53190006499881</v>
      </c>
      <c r="O248" t="n">
        <v>2</v>
      </c>
      <c r="P248" t="n">
        <v>0</v>
      </c>
      <c r="Q248" t="n">
        <v>0</v>
      </c>
      <c r="R248" t="n">
        <v>18.80793652245349</v>
      </c>
      <c r="S248" t="n">
        <v>4.24474187380498</v>
      </c>
      <c r="T248" t="n">
        <v>0.178457616316122</v>
      </c>
      <c r="U248" t="n">
        <v>0.7740585774058577</v>
      </c>
      <c r="V248" t="n">
        <v>0.6178521617852162</v>
      </c>
      <c r="W248" t="n">
        <v>0.202231520223152</v>
      </c>
      <c r="X248" t="n">
        <v>0.247304909900779</v>
      </c>
      <c r="Y248" t="n">
        <v>4.074439845850019</v>
      </c>
      <c r="Z248" t="n">
        <v>0.2299307188378779</v>
      </c>
      <c r="AA248" t="n">
        <v>0</v>
      </c>
    </row>
    <row r="249">
      <c r="A249" t="inlineStr">
        <is>
          <t>2022-05-10</t>
        </is>
      </c>
      <c r="B249" t="inlineStr">
        <is>
          <t>CW</t>
        </is>
      </c>
      <c r="C249" t="inlineStr">
        <is>
          <t>09:16</t>
        </is>
      </c>
      <c r="D249" t="n">
        <v>34.40078350163609</v>
      </c>
      <c r="E249" t="n">
        <v>0.1755964510628645</v>
      </c>
      <c r="F249" t="n">
        <v>4.361836952028558</v>
      </c>
      <c r="G249" t="n">
        <v>0.05381727158948686</v>
      </c>
      <c r="H249" t="n">
        <v>0.07759699624530664</v>
      </c>
      <c r="I249" t="n">
        <v>0.7745234774523477</v>
      </c>
      <c r="J249" t="n">
        <v>0.207470402624387</v>
      </c>
      <c r="K249" t="n">
        <v>0.6677157174036119</v>
      </c>
      <c r="L249" t="b">
        <v>0</v>
      </c>
      <c r="N249" t="n">
        <v>22.50285826256459</v>
      </c>
      <c r="O249" t="n">
        <v>0</v>
      </c>
      <c r="P249" t="n">
        <v>0</v>
      </c>
      <c r="Q249" t="n">
        <v>0</v>
      </c>
      <c r="R249" t="n">
        <v>52.99969057984001</v>
      </c>
      <c r="S249" t="n">
        <v>8.512911843276928</v>
      </c>
      <c r="T249" t="n">
        <v>0.2315227070347202</v>
      </c>
      <c r="U249" t="n">
        <v>0.9790794979079498</v>
      </c>
      <c r="V249" t="n">
        <v>0.8396094839609484</v>
      </c>
      <c r="W249" t="n">
        <v>0.504881450488145</v>
      </c>
      <c r="X249" t="n">
        <v>0.1755964510628645</v>
      </c>
      <c r="Y249" t="n">
        <v>4.361836952028558</v>
      </c>
      <c r="Z249" t="n">
        <v>0.207470402624387</v>
      </c>
      <c r="AA249" t="n">
        <v>-2.775557561562891e-17</v>
      </c>
    </row>
    <row r="250">
      <c r="A250" t="inlineStr">
        <is>
          <t>2022-05-11</t>
        </is>
      </c>
      <c r="B250" t="inlineStr">
        <is>
          <t>CW</t>
        </is>
      </c>
      <c r="C250" t="inlineStr">
        <is>
          <t>09:16</t>
        </is>
      </c>
      <c r="D250" t="n">
        <v>-42.67596761510999</v>
      </c>
      <c r="E250" t="n">
        <v>0.1959455231115407</v>
      </c>
      <c r="F250" t="n">
        <v>6.669527567642696</v>
      </c>
      <c r="G250" t="n">
        <v>0.0951188986232791</v>
      </c>
      <c r="H250" t="n">
        <v>0.3729662077596996</v>
      </c>
      <c r="I250" t="n">
        <v>0.8981868898186889</v>
      </c>
      <c r="J250" t="n">
        <v>0.3668714205169293</v>
      </c>
      <c r="K250" t="n">
        <v>0.6677157174036119</v>
      </c>
      <c r="L250" t="b">
        <v>0</v>
      </c>
      <c r="N250" t="n">
        <v>0</v>
      </c>
      <c r="O250" t="n">
        <v>0</v>
      </c>
      <c r="P250" t="n">
        <v>1</v>
      </c>
      <c r="Q250" t="n">
        <v>42.67596761510999</v>
      </c>
      <c r="R250" t="n">
        <v>31.47058191408573</v>
      </c>
      <c r="S250" t="n">
        <v>11.4996479699601</v>
      </c>
      <c r="T250" t="n">
        <v>0.3989673785496402</v>
      </c>
      <c r="U250" t="n">
        <v>0.9121338912133892</v>
      </c>
      <c r="V250" t="n">
        <v>0.898186889818689</v>
      </c>
      <c r="W250" t="n">
        <v>0.8842398884239888</v>
      </c>
      <c r="X250" t="n">
        <v>0.1959455231115407</v>
      </c>
      <c r="Y250" t="n">
        <v>6.669527567642695</v>
      </c>
      <c r="Z250" t="n">
        <v>0.3668714205169293</v>
      </c>
      <c r="AA250" t="n">
        <v>5.551115123125783e-17</v>
      </c>
    </row>
    <row r="251">
      <c r="A251" t="inlineStr">
        <is>
          <t>2022-05-12</t>
        </is>
      </c>
      <c r="B251" t="inlineStr">
        <is>
          <t>CW</t>
        </is>
      </c>
      <c r="C251" t="inlineStr">
        <is>
          <t>09:18</t>
        </is>
      </c>
      <c r="D251" t="n">
        <v>38.62145766426523</v>
      </c>
      <c r="E251" t="n">
        <v>0.2978257119136296</v>
      </c>
      <c r="F251" t="n">
        <v>7.166483554642676</v>
      </c>
      <c r="G251" t="n">
        <v>0.5569461827284106</v>
      </c>
      <c r="H251" t="n">
        <v>0.4367959949937422</v>
      </c>
      <c r="I251" t="n">
        <v>0.6792189679218968</v>
      </c>
      <c r="J251" t="n">
        <v>0.5333406646732405</v>
      </c>
      <c r="K251" t="n">
        <v>0.6677157174036119</v>
      </c>
      <c r="L251" t="b">
        <v>0</v>
      </c>
      <c r="N251" t="n">
        <v>42.67596761511004</v>
      </c>
      <c r="O251" t="n">
        <v>1</v>
      </c>
      <c r="P251" t="n">
        <v>0</v>
      </c>
      <c r="Q251" t="n">
        <v>0</v>
      </c>
      <c r="R251" t="n">
        <v>21.49156471749198</v>
      </c>
      <c r="S251" t="n">
        <v>4.819277108433735</v>
      </c>
      <c r="T251" t="n">
        <v>0.2409638554216828</v>
      </c>
      <c r="U251" t="n">
        <v>0.8158995815899581</v>
      </c>
      <c r="V251" t="n">
        <v>0.6750348675034867</v>
      </c>
      <c r="W251" t="n">
        <v>0.5467224546722455</v>
      </c>
      <c r="X251" t="n">
        <v>0.2978257119136296</v>
      </c>
      <c r="Y251" t="n">
        <v>7.166483554642679</v>
      </c>
      <c r="Z251" t="n">
        <v>0.5333406646732405</v>
      </c>
      <c r="AA251" t="n">
        <v>0</v>
      </c>
    </row>
    <row r="252">
      <c r="A252" t="inlineStr">
        <is>
          <t>2022-05-16</t>
        </is>
      </c>
      <c r="B252" t="inlineStr">
        <is>
          <t>CW</t>
        </is>
      </c>
      <c r="C252" t="inlineStr">
        <is>
          <t>09:16</t>
        </is>
      </c>
      <c r="D252" t="n">
        <v>30.41654868573783</v>
      </c>
      <c r="E252" t="n">
        <v>0.2650661857305769</v>
      </c>
      <c r="F252" t="n">
        <v>7.648178353029611</v>
      </c>
      <c r="G252" t="n">
        <v>0.3692115143929912</v>
      </c>
      <c r="H252" t="n">
        <v>0.5043804755944932</v>
      </c>
      <c r="I252" t="n">
        <v>0.8479776847977685</v>
      </c>
      <c r="J252" t="n">
        <v>0.5190323329545474</v>
      </c>
      <c r="K252" t="n">
        <v>0.6677157174036119</v>
      </c>
      <c r="L252" t="b">
        <v>0</v>
      </c>
      <c r="N252" t="n">
        <v>4.054509950844931</v>
      </c>
      <c r="O252" t="n">
        <v>0</v>
      </c>
      <c r="P252" t="n">
        <v>0</v>
      </c>
      <c r="Q252" t="n">
        <v>0</v>
      </c>
      <c r="R252" t="n">
        <v>34.26562816103627</v>
      </c>
      <c r="S252" t="n">
        <v>7.0909619296716</v>
      </c>
      <c r="T252" t="n">
        <v>0.348735832606797</v>
      </c>
      <c r="U252" t="n">
        <v>0.9205020920502092</v>
      </c>
      <c r="V252" t="n">
        <v>0.7907949790794979</v>
      </c>
      <c r="W252" t="n">
        <v>0.8326359832635983</v>
      </c>
      <c r="X252" t="n">
        <v>0.2650661857305769</v>
      </c>
      <c r="Y252" t="n">
        <v>7.648178353029612</v>
      </c>
      <c r="Z252" t="n">
        <v>0.5190323329545474</v>
      </c>
      <c r="AA252" t="n">
        <v>0</v>
      </c>
    </row>
    <row r="253">
      <c r="A253" t="inlineStr">
        <is>
          <t>2022-05-17</t>
        </is>
      </c>
      <c r="B253" t="inlineStr">
        <is>
          <t>CW</t>
        </is>
      </c>
      <c r="C253" t="inlineStr">
        <is>
          <t>09:16</t>
        </is>
      </c>
      <c r="D253" t="n">
        <v>-42.21337798152737</v>
      </c>
      <c r="E253" t="n">
        <v>0.2481046750251323</v>
      </c>
      <c r="F253" t="n">
        <v>7.039166047701412</v>
      </c>
      <c r="G253" t="n">
        <v>0.2528160200250313</v>
      </c>
      <c r="H253" t="n">
        <v>0.4192740926157697</v>
      </c>
      <c r="I253" t="n">
        <v>0.7173407717340772</v>
      </c>
      <c r="J253" t="n">
        <v>0.4123041994031359</v>
      </c>
      <c r="K253" t="n">
        <v>0.6677157174036119</v>
      </c>
      <c r="L253" t="b">
        <v>0</v>
      </c>
      <c r="N253" t="n">
        <v>0</v>
      </c>
      <c r="O253" t="n">
        <v>0</v>
      </c>
      <c r="P253" t="n">
        <v>1</v>
      </c>
      <c r="Q253" t="n">
        <v>42.21337798152737</v>
      </c>
      <c r="R253" t="n">
        <v>26.65737269456046</v>
      </c>
      <c r="S253" t="n">
        <v>6.56529516994634</v>
      </c>
      <c r="T253" t="n">
        <v>0.2325581395348807</v>
      </c>
      <c r="U253" t="n">
        <v>0.8758716875871687</v>
      </c>
      <c r="V253" t="n">
        <v>0.7656903765690377</v>
      </c>
      <c r="W253" t="n">
        <v>0.5104602510460251</v>
      </c>
      <c r="X253" t="n">
        <v>0.2481046750251323</v>
      </c>
      <c r="Y253" t="n">
        <v>7.039166047701414</v>
      </c>
      <c r="Z253" t="n">
        <v>0.4123041994031359</v>
      </c>
      <c r="AA253" t="n">
        <v>0</v>
      </c>
    </row>
    <row r="254">
      <c r="A254" t="inlineStr">
        <is>
          <t>2022-05-18</t>
        </is>
      </c>
      <c r="B254" t="inlineStr">
        <is>
          <t>CW</t>
        </is>
      </c>
      <c r="C254" t="inlineStr">
        <is>
          <t>09:16</t>
        </is>
      </c>
      <c r="D254" t="n">
        <v>42.27232172606545</v>
      </c>
      <c r="E254" t="n">
        <v>0.2388591173482444</v>
      </c>
      <c r="F254" t="n">
        <v>7.710837567201581</v>
      </c>
      <c r="G254" t="n">
        <v>0.2190237797246558</v>
      </c>
      <c r="H254" t="n">
        <v>0.5156445556946183</v>
      </c>
      <c r="I254" t="n">
        <v>0.8847047884704788</v>
      </c>
      <c r="J254" t="n">
        <v>0.4708082918618055</v>
      </c>
      <c r="K254" t="n">
        <v>0.6677157174036119</v>
      </c>
      <c r="L254" t="b">
        <v>0</v>
      </c>
      <c r="N254" t="n">
        <v>42.21337798152717</v>
      </c>
      <c r="O254" t="n">
        <v>1</v>
      </c>
      <c r="P254" t="n">
        <v>0</v>
      </c>
      <c r="Q254" t="n">
        <v>0</v>
      </c>
      <c r="R254" t="n">
        <v>28.88675594371092</v>
      </c>
      <c r="S254" t="n">
        <v>9.480048367593708</v>
      </c>
      <c r="T254" t="n">
        <v>0.4111245465538061</v>
      </c>
      <c r="U254" t="n">
        <v>0.900976290097629</v>
      </c>
      <c r="V254" t="n">
        <v>0.8661087866108786</v>
      </c>
      <c r="W254" t="n">
        <v>0.8870292887029289</v>
      </c>
      <c r="X254" t="n">
        <v>0.2388591173482444</v>
      </c>
      <c r="Y254" t="n">
        <v>7.710837567201584</v>
      </c>
      <c r="Z254" t="n">
        <v>0.4708082918618055</v>
      </c>
      <c r="AA254" t="n">
        <v>-5.551115123125783e-17</v>
      </c>
    </row>
    <row r="255">
      <c r="A255" t="inlineStr">
        <is>
          <t>2022-05-19</t>
        </is>
      </c>
      <c r="B255" t="inlineStr">
        <is>
          <t>CW</t>
        </is>
      </c>
      <c r="C255" t="inlineStr">
        <is>
          <t>09:16</t>
        </is>
      </c>
      <c r="D255" t="n">
        <v>79.98695488096803</v>
      </c>
      <c r="E255" t="n">
        <v>0.2496144143163621</v>
      </c>
      <c r="F255" t="n">
        <v>6.60383673256554</v>
      </c>
      <c r="G255" t="n">
        <v>0.262828535669587</v>
      </c>
      <c r="H255" t="n">
        <v>0.360450563204005</v>
      </c>
      <c r="I255" t="n">
        <v>0.9279404927940492</v>
      </c>
      <c r="J255" t="n">
        <v>0.4348997381082467</v>
      </c>
      <c r="K255" t="n">
        <v>0.6677157174036119</v>
      </c>
      <c r="L255" t="b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26.17022542080487</v>
      </c>
      <c r="S255" t="n">
        <v>15.15339324449954</v>
      </c>
      <c r="T255" t="n">
        <v>0.650759219088944</v>
      </c>
      <c r="U255" t="n">
        <v>0.8716875871687587</v>
      </c>
      <c r="V255" t="n">
        <v>0.9288702928870293</v>
      </c>
      <c r="W255" t="n">
        <v>0.9832635983263598</v>
      </c>
      <c r="X255" t="n">
        <v>0.2496144143163621</v>
      </c>
      <c r="Y255" t="n">
        <v>6.603836732565536</v>
      </c>
      <c r="Z255" t="n">
        <v>0.4348997381082467</v>
      </c>
      <c r="AA255" t="n">
        <v>-5.551115123125783e-17</v>
      </c>
    </row>
    <row r="256">
      <c r="A256" t="inlineStr">
        <is>
          <t>2022-05-23</t>
        </is>
      </c>
      <c r="B256" t="inlineStr">
        <is>
          <t>CW</t>
        </is>
      </c>
      <c r="C256" t="inlineStr">
        <is>
          <t>09:18</t>
        </is>
      </c>
      <c r="D256" t="n">
        <v>22.69697721249722</v>
      </c>
      <c r="E256" t="n">
        <v>0.4117073782430857</v>
      </c>
      <c r="F256" t="n">
        <v>9.974696569173897</v>
      </c>
      <c r="G256" t="n">
        <v>0.9599499374217773</v>
      </c>
      <c r="H256" t="n">
        <v>0.785982478097622</v>
      </c>
      <c r="I256" t="n">
        <v>0.3328684332868433</v>
      </c>
      <c r="J256" t="n">
        <v>0.7649466528651284</v>
      </c>
      <c r="K256" t="n">
        <v>0.6677157174036119</v>
      </c>
      <c r="L256" t="b">
        <v>1</v>
      </c>
      <c r="M256" t="inlineStr">
        <is>
          <t>top_quartile_risk</t>
        </is>
      </c>
      <c r="N256" t="n">
        <v>0</v>
      </c>
      <c r="O256" t="n">
        <v>0</v>
      </c>
      <c r="P256" t="n">
        <v>0</v>
      </c>
      <c r="Q256" t="n">
        <v>0</v>
      </c>
      <c r="R256" t="n">
        <v>12.84598310093994</v>
      </c>
      <c r="S256" t="n">
        <v>2.036830357142845</v>
      </c>
      <c r="T256" t="n">
        <v>0.1395089285714365</v>
      </c>
      <c r="U256" t="n">
        <v>0.6331938633193863</v>
      </c>
      <c r="V256" t="n">
        <v>0.2803347280334728</v>
      </c>
      <c r="W256" t="n">
        <v>0.08507670850767085</v>
      </c>
      <c r="X256" t="n">
        <v>0.4117073782430857</v>
      </c>
      <c r="Y256" t="n">
        <v>9.974696569173895</v>
      </c>
      <c r="Z256" t="n">
        <v>0.7649466528651284</v>
      </c>
      <c r="AA256" t="n">
        <v>0</v>
      </c>
    </row>
    <row r="257">
      <c r="A257" t="inlineStr">
        <is>
          <t>2022-05-24</t>
        </is>
      </c>
      <c r="B257" t="inlineStr">
        <is>
          <t>CW</t>
        </is>
      </c>
      <c r="C257" t="inlineStr">
        <is>
          <t>09:16</t>
        </is>
      </c>
      <c r="D257" t="n">
        <v>39.21807702473797</v>
      </c>
      <c r="E257" t="n">
        <v>0.2670162885872361</v>
      </c>
      <c r="F257" t="n">
        <v>8.027335332961849</v>
      </c>
      <c r="G257" t="n">
        <v>0.379224030037547</v>
      </c>
      <c r="H257" t="n">
        <v>0.5469336670838548</v>
      </c>
      <c r="I257" t="n">
        <v>0.8205485820548581</v>
      </c>
      <c r="J257" t="n">
        <v>0.5345727952595324</v>
      </c>
      <c r="K257" t="n">
        <v>0.6677157174036119</v>
      </c>
      <c r="L257" t="b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23.63431603955464</v>
      </c>
      <c r="S257" t="n">
        <v>5.88527851458884</v>
      </c>
      <c r="T257" t="n">
        <v>0.3978779840848768</v>
      </c>
      <c r="U257" t="n">
        <v>0.8410041841004184</v>
      </c>
      <c r="V257" t="n">
        <v>0.7405857740585774</v>
      </c>
      <c r="W257" t="n">
        <v>0.8800557880055788</v>
      </c>
      <c r="X257" t="n">
        <v>0.2670162885872361</v>
      </c>
      <c r="Y257" t="n">
        <v>8.027335332961851</v>
      </c>
      <c r="Z257" t="n">
        <v>0.5345727952595324</v>
      </c>
      <c r="AA257" t="n">
        <v>0</v>
      </c>
    </row>
    <row r="258">
      <c r="A258" t="inlineStr">
        <is>
          <t>2022-05-25</t>
        </is>
      </c>
      <c r="B258" t="inlineStr">
        <is>
          <t>CW</t>
        </is>
      </c>
      <c r="C258" t="inlineStr">
        <is>
          <t>09:16</t>
        </is>
      </c>
      <c r="D258" t="n">
        <v>23.30585749306707</v>
      </c>
      <c r="E258" t="n">
        <v>0.1700676740042103</v>
      </c>
      <c r="F258" t="n">
        <v>6.517223771693491</v>
      </c>
      <c r="G258" t="n">
        <v>0.04130162703379224</v>
      </c>
      <c r="H258" t="n">
        <v>0.3454317897371715</v>
      </c>
      <c r="I258" t="n">
        <v>0.8716875871687586</v>
      </c>
      <c r="J258" t="n">
        <v>0.3290308841421372</v>
      </c>
      <c r="K258" t="n">
        <v>0.6677157174036119</v>
      </c>
      <c r="L258" t="b">
        <v>0</v>
      </c>
      <c r="N258" t="n">
        <v>0</v>
      </c>
      <c r="O258" t="n">
        <v>0</v>
      </c>
      <c r="P258" t="n">
        <v>0</v>
      </c>
      <c r="Q258" t="n">
        <v>0</v>
      </c>
      <c r="R258" t="n">
        <v>39.75198219802514</v>
      </c>
      <c r="S258" t="n">
        <v>29.11421377889676</v>
      </c>
      <c r="T258" t="n">
        <v>0.2746623941405395</v>
      </c>
      <c r="U258" t="n">
        <v>0.9539748953974896</v>
      </c>
      <c r="V258" t="n">
        <v>0.9860529986052998</v>
      </c>
      <c r="W258" t="n">
        <v>0.6750348675034867</v>
      </c>
      <c r="X258" t="n">
        <v>0.1700676740042103</v>
      </c>
      <c r="Y258" t="n">
        <v>6.517223771693494</v>
      </c>
      <c r="Z258" t="n">
        <v>0.3290308841421372</v>
      </c>
      <c r="AA258" t="n">
        <v>0</v>
      </c>
    </row>
    <row r="259">
      <c r="A259" t="inlineStr">
        <is>
          <t>2022-05-26</t>
        </is>
      </c>
      <c r="B259" t="inlineStr">
        <is>
          <t>CW</t>
        </is>
      </c>
      <c r="C259" t="inlineStr">
        <is>
          <t>09:17</t>
        </is>
      </c>
      <c r="D259" t="n">
        <v>-11.13633751508475</v>
      </c>
      <c r="E259" t="n">
        <v>0.319690540364255</v>
      </c>
      <c r="F259" t="n">
        <v>11.92140541586279</v>
      </c>
      <c r="G259" t="n">
        <v>0.6658322903629537</v>
      </c>
      <c r="H259" t="n">
        <v>0.9173967459324155</v>
      </c>
      <c r="I259" t="n">
        <v>0.7099023709902371</v>
      </c>
      <c r="J259" t="n">
        <v>0.7752720887161952</v>
      </c>
      <c r="K259" t="n">
        <v>0.6677157174036119</v>
      </c>
      <c r="L259" t="b">
        <v>1</v>
      </c>
      <c r="M259" t="inlineStr">
        <is>
          <t>top_quartile_risk</t>
        </is>
      </c>
      <c r="N259" t="n">
        <v>0</v>
      </c>
      <c r="O259" t="n">
        <v>0</v>
      </c>
      <c r="P259" t="n">
        <v>1</v>
      </c>
      <c r="Q259" t="n">
        <v>11.13633751508475</v>
      </c>
      <c r="R259" t="n">
        <v>15.56533869369283</v>
      </c>
      <c r="S259" t="n">
        <v>4.439159730479594</v>
      </c>
      <c r="T259" t="n">
        <v>0.3170828378913923</v>
      </c>
      <c r="U259" t="n">
        <v>0.7196652719665272</v>
      </c>
      <c r="V259" t="n">
        <v>0.6401673640167364</v>
      </c>
      <c r="W259" t="n">
        <v>0.7698744769874477</v>
      </c>
      <c r="X259" t="n">
        <v>0.3196905403642551</v>
      </c>
      <c r="Y259" t="n">
        <v>11.92140541586279</v>
      </c>
      <c r="Z259" t="n">
        <v>0.7752720887161952</v>
      </c>
      <c r="AA259" t="n">
        <v>0</v>
      </c>
    </row>
    <row r="260">
      <c r="A260" t="inlineStr">
        <is>
          <t>2022-05-27</t>
        </is>
      </c>
      <c r="B260" t="inlineStr">
        <is>
          <t>CW</t>
        </is>
      </c>
      <c r="C260" t="inlineStr">
        <is>
          <t>09:17</t>
        </is>
      </c>
      <c r="D260" t="n">
        <v>41.32224315094984</v>
      </c>
      <c r="E260" t="n">
        <v>0.2488813653507063</v>
      </c>
      <c r="F260" t="n">
        <v>9.626072074366334</v>
      </c>
      <c r="G260" t="n">
        <v>0.2590738423028786</v>
      </c>
      <c r="H260" t="n">
        <v>0.7396745932415519</v>
      </c>
      <c r="I260" t="n">
        <v>0.5285913528591353</v>
      </c>
      <c r="J260" t="n">
        <v>0.5052176447895993</v>
      </c>
      <c r="K260" t="n">
        <v>0.6677157174036119</v>
      </c>
      <c r="L260" t="b">
        <v>0</v>
      </c>
      <c r="N260" t="n">
        <v>11.13633751508496</v>
      </c>
      <c r="O260" t="n">
        <v>1</v>
      </c>
      <c r="P260" t="n">
        <v>0</v>
      </c>
      <c r="Q260" t="n">
        <v>0</v>
      </c>
      <c r="R260" t="n">
        <v>14.30140988577242</v>
      </c>
      <c r="S260" t="n">
        <v>2.530087527352297</v>
      </c>
      <c r="T260" t="n">
        <v>0.2324945295404876</v>
      </c>
      <c r="U260" t="n">
        <v>0.6847977684797768</v>
      </c>
      <c r="V260" t="n">
        <v>0.3919107391910739</v>
      </c>
      <c r="W260" t="n">
        <v>0.5090655509065551</v>
      </c>
      <c r="X260" t="n">
        <v>0.2488813653507063</v>
      </c>
      <c r="Y260" t="n">
        <v>9.626072074366332</v>
      </c>
      <c r="Z260" t="n">
        <v>0.5052176447895993</v>
      </c>
      <c r="AA260" t="n">
        <v>0</v>
      </c>
    </row>
    <row r="261">
      <c r="A261" t="inlineStr">
        <is>
          <t>2022-05-31</t>
        </is>
      </c>
      <c r="B261" t="inlineStr">
        <is>
          <t>CW</t>
        </is>
      </c>
      <c r="C261" t="inlineStr">
        <is>
          <t>09:16</t>
        </is>
      </c>
      <c r="D261" t="n">
        <v>-0.5166245872787554</v>
      </c>
      <c r="E261" t="n">
        <v>0.1997489912795866</v>
      </c>
      <c r="F261" t="n">
        <v>3.246378880673486</v>
      </c>
      <c r="G261" t="n">
        <v>0.1013767209011264</v>
      </c>
      <c r="H261" t="n">
        <v>0.03128911138923655</v>
      </c>
      <c r="I261" t="n">
        <v>0.8182240818224082</v>
      </c>
      <c r="J261" t="n">
        <v>0.2167111492806268</v>
      </c>
      <c r="K261" t="n">
        <v>0.6677157174036119</v>
      </c>
      <c r="L261" t="b">
        <v>0</v>
      </c>
      <c r="N261" t="n">
        <v>0</v>
      </c>
      <c r="O261" t="n">
        <v>0</v>
      </c>
      <c r="P261" t="n">
        <v>1</v>
      </c>
      <c r="Q261" t="n">
        <v>0.5166245872787554</v>
      </c>
      <c r="R261" t="n">
        <v>15.26519505359587</v>
      </c>
      <c r="S261" t="n">
        <v>11.04012777001397</v>
      </c>
      <c r="T261" t="n">
        <v>0.3593531643042489</v>
      </c>
      <c r="U261" t="n">
        <v>0.7112970711297071</v>
      </c>
      <c r="V261" t="n">
        <v>0.8967921896792189</v>
      </c>
      <c r="W261" t="n">
        <v>0.8465829846582985</v>
      </c>
      <c r="X261" t="n">
        <v>0.1997489912795866</v>
      </c>
      <c r="Y261" t="n">
        <v>3.246378880673488</v>
      </c>
      <c r="Z261" t="n">
        <v>0.2167111492806268</v>
      </c>
      <c r="AA261" t="n">
        <v>5.551115123125783e-17</v>
      </c>
    </row>
    <row r="262">
      <c r="A262" t="inlineStr">
        <is>
          <t>2022-06-01</t>
        </is>
      </c>
      <c r="B262" t="inlineStr">
        <is>
          <t>CW</t>
        </is>
      </c>
      <c r="C262" t="inlineStr">
        <is>
          <t>09:17</t>
        </is>
      </c>
      <c r="D262" t="n">
        <v>17.73108639486131</v>
      </c>
      <c r="E262" t="n">
        <v>0.2781255077687097</v>
      </c>
      <c r="F262" t="n">
        <v>9.803721880433846</v>
      </c>
      <c r="G262" t="n">
        <v>0.4530663329161452</v>
      </c>
      <c r="H262" t="n">
        <v>0.7659574468085106</v>
      </c>
      <c r="I262" t="n">
        <v>0.6773593677359369</v>
      </c>
      <c r="J262" t="n">
        <v>0.6230813854370497</v>
      </c>
      <c r="K262" t="n">
        <v>0.6677157174036119</v>
      </c>
      <c r="L262" t="b">
        <v>0</v>
      </c>
      <c r="N262" t="n">
        <v>0.516624587278784</v>
      </c>
      <c r="O262" t="n">
        <v>1</v>
      </c>
      <c r="P262" t="n">
        <v>0</v>
      </c>
      <c r="Q262" t="n">
        <v>0</v>
      </c>
      <c r="R262" t="n">
        <v>16.40133618225044</v>
      </c>
      <c r="S262" t="n">
        <v>6.611374407582947</v>
      </c>
      <c r="T262" t="n">
        <v>0.2369668246445497</v>
      </c>
      <c r="U262" t="n">
        <v>0.7336122733612274</v>
      </c>
      <c r="V262" t="n">
        <v>0.7698744769874477</v>
      </c>
      <c r="W262" t="n">
        <v>0.5285913528591353</v>
      </c>
      <c r="X262" t="n">
        <v>0.2781255077687097</v>
      </c>
      <c r="Y262" t="n">
        <v>9.803721880433848</v>
      </c>
      <c r="Z262" t="n">
        <v>0.6230813854370497</v>
      </c>
      <c r="AA262" t="n">
        <v>0</v>
      </c>
    </row>
    <row r="263">
      <c r="A263" t="inlineStr">
        <is>
          <t>2022-06-02</t>
        </is>
      </c>
      <c r="B263" t="inlineStr">
        <is>
          <t>CW</t>
        </is>
      </c>
      <c r="C263" t="inlineStr">
        <is>
          <t>09:16</t>
        </is>
      </c>
      <c r="D263" t="n">
        <v>-46.67160227356484</v>
      </c>
      <c r="E263" t="n">
        <v>0.2242413368741548</v>
      </c>
      <c r="F263" t="n">
        <v>6.732510879266746</v>
      </c>
      <c r="G263" t="n">
        <v>0.1564455569461827</v>
      </c>
      <c r="H263" t="n">
        <v>0.3829787234042553</v>
      </c>
      <c r="I263" t="n">
        <v>0.8149697814969782</v>
      </c>
      <c r="J263" t="n">
        <v>0.3787636684395709</v>
      </c>
      <c r="K263" t="n">
        <v>0.6677157174036119</v>
      </c>
      <c r="L263" t="b">
        <v>0</v>
      </c>
      <c r="N263" t="n">
        <v>0</v>
      </c>
      <c r="O263" t="n">
        <v>0</v>
      </c>
      <c r="P263" t="n">
        <v>1</v>
      </c>
      <c r="Q263" t="n">
        <v>46.67160227356484</v>
      </c>
      <c r="R263" t="n">
        <v>11.31218279514217</v>
      </c>
      <c r="S263" t="n">
        <v>15.47768043387569</v>
      </c>
      <c r="T263" t="n">
        <v>0.50062578222778</v>
      </c>
      <c r="U263" t="n">
        <v>0.5606694560669456</v>
      </c>
      <c r="V263" t="n">
        <v>0.9344490934449093</v>
      </c>
      <c r="W263" t="n">
        <v>0.9497907949790795</v>
      </c>
      <c r="X263" t="n">
        <v>0.2242413368741548</v>
      </c>
      <c r="Y263" t="n">
        <v>6.732510879266747</v>
      </c>
      <c r="Z263" t="n">
        <v>0.3787636684395709</v>
      </c>
      <c r="AA263" t="n">
        <v>0</v>
      </c>
    </row>
    <row r="264">
      <c r="A264" t="inlineStr">
        <is>
          <t>2022-06-03</t>
        </is>
      </c>
      <c r="B264" t="inlineStr">
        <is>
          <t>CW</t>
        </is>
      </c>
      <c r="C264" t="inlineStr">
        <is>
          <t>09:17</t>
        </is>
      </c>
      <c r="D264" t="n">
        <v>18.79204432437721</v>
      </c>
      <c r="E264" t="n">
        <v>0.2484015980660334</v>
      </c>
      <c r="F264" t="n">
        <v>9.001928385854558</v>
      </c>
      <c r="G264" t="n">
        <v>0.2553191489361702</v>
      </c>
      <c r="H264" t="n">
        <v>0.6846057571964956</v>
      </c>
      <c r="I264" t="n">
        <v>0.2803347280334728</v>
      </c>
      <c r="J264" t="n">
        <v>0.4320369080597609</v>
      </c>
      <c r="K264" t="n">
        <v>0.6677157174036119</v>
      </c>
      <c r="L264" t="b">
        <v>0</v>
      </c>
      <c r="N264" t="n">
        <v>46.67160227356453</v>
      </c>
      <c r="O264" t="n">
        <v>1</v>
      </c>
      <c r="P264" t="n">
        <v>0</v>
      </c>
      <c r="Q264" t="n">
        <v>0</v>
      </c>
      <c r="R264" t="n">
        <v>9.445262173064938</v>
      </c>
      <c r="S264" t="n">
        <v>1.150659711567966</v>
      </c>
      <c r="T264" t="n">
        <v>0.1994476833384404</v>
      </c>
      <c r="U264" t="n">
        <v>0.4755927475592748</v>
      </c>
      <c r="V264" t="n">
        <v>0.05299860529986053</v>
      </c>
      <c r="W264" t="n">
        <v>0.3124128312412831</v>
      </c>
      <c r="X264" t="n">
        <v>0.2484015980660335</v>
      </c>
      <c r="Y264" t="n">
        <v>9.00192838585456</v>
      </c>
      <c r="Z264" t="n">
        <v>0.4320369080597609</v>
      </c>
      <c r="AA264" t="n">
        <v>0</v>
      </c>
    </row>
    <row r="265">
      <c r="A265" t="inlineStr">
        <is>
          <t>2022-06-06</t>
        </is>
      </c>
      <c r="B265" t="inlineStr">
        <is>
          <t>CW</t>
        </is>
      </c>
      <c r="C265" t="inlineStr">
        <is>
          <t>09:16</t>
        </is>
      </c>
      <c r="D265" t="n">
        <v>9.680410054414512</v>
      </c>
      <c r="E265" t="n">
        <v>0.2166334468472262</v>
      </c>
      <c r="F265" t="n">
        <v>4.071978639859784</v>
      </c>
      <c r="G265" t="n">
        <v>0.1351689612015019</v>
      </c>
      <c r="H265" t="n">
        <v>0.05632040050062578</v>
      </c>
      <c r="I265" t="n">
        <v>0.8693630869363087</v>
      </c>
      <c r="J265" t="n">
        <v>0.2504683620681128</v>
      </c>
      <c r="K265" t="n">
        <v>0.6677157174036119</v>
      </c>
      <c r="L265" t="b">
        <v>0</v>
      </c>
      <c r="N265" t="n">
        <v>27.87955794918707</v>
      </c>
      <c r="O265" t="n">
        <v>0</v>
      </c>
      <c r="P265" t="n">
        <v>0</v>
      </c>
      <c r="Q265" t="n">
        <v>0</v>
      </c>
      <c r="R265" t="n">
        <v>23.6239002667104</v>
      </c>
      <c r="S265" t="n">
        <v>9.514597256419259</v>
      </c>
      <c r="T265" t="n">
        <v>0.4220893422441144</v>
      </c>
      <c r="U265" t="n">
        <v>0.8396094839609484</v>
      </c>
      <c r="V265" t="n">
        <v>0.8688981868898187</v>
      </c>
      <c r="W265" t="n">
        <v>0.899581589958159</v>
      </c>
      <c r="X265" t="n">
        <v>0.2166334468472262</v>
      </c>
      <c r="Y265" t="n">
        <v>4.071978639859786</v>
      </c>
      <c r="Z265" t="n">
        <v>0.2504683620681128</v>
      </c>
      <c r="AA265" t="n">
        <v>5.551115123125783e-17</v>
      </c>
    </row>
    <row r="266">
      <c r="A266" t="inlineStr">
        <is>
          <t>2022-06-07</t>
        </is>
      </c>
      <c r="B266" t="inlineStr">
        <is>
          <t>CW</t>
        </is>
      </c>
      <c r="C266" t="inlineStr">
        <is>
          <t>09:17</t>
        </is>
      </c>
      <c r="D266" t="n">
        <v>29.72142131265728</v>
      </c>
      <c r="E266" t="n">
        <v>0.2700864847757802</v>
      </c>
      <c r="F266" t="n">
        <v>4.45291331090751</v>
      </c>
      <c r="G266" t="n">
        <v>0.3892365456821026</v>
      </c>
      <c r="H266" t="n">
        <v>0.0851063829787234</v>
      </c>
      <c r="I266" t="n">
        <v>0.3784286378428638</v>
      </c>
      <c r="J266" t="n">
        <v>0.2654228990329032</v>
      </c>
      <c r="K266" t="n">
        <v>0.6677157174036119</v>
      </c>
      <c r="L266" t="b">
        <v>0</v>
      </c>
      <c r="N266" t="n">
        <v>18.19914789477298</v>
      </c>
      <c r="O266" t="n">
        <v>0</v>
      </c>
      <c r="P266" t="n">
        <v>0</v>
      </c>
      <c r="Q266" t="n">
        <v>0</v>
      </c>
      <c r="R266" t="n">
        <v>8.274695555090418</v>
      </c>
      <c r="S266" t="n">
        <v>3.91709844559585</v>
      </c>
      <c r="T266" t="n">
        <v>0.1658031088082925</v>
      </c>
      <c r="U266" t="n">
        <v>0.3960948396094839</v>
      </c>
      <c r="V266" t="n">
        <v>0.5843793584379359</v>
      </c>
      <c r="W266" t="n">
        <v>0.1548117154811715</v>
      </c>
      <c r="X266" t="n">
        <v>0.2700864847757802</v>
      </c>
      <c r="Y266" t="n">
        <v>4.452913310907512</v>
      </c>
      <c r="Z266" t="n">
        <v>0.2654228990329032</v>
      </c>
      <c r="AA266" t="n">
        <v>-5.551115123125783e-17</v>
      </c>
    </row>
    <row r="267">
      <c r="A267" t="inlineStr">
        <is>
          <t>2022-06-08</t>
        </is>
      </c>
      <c r="B267" t="inlineStr">
        <is>
          <t>CW</t>
        </is>
      </c>
      <c r="C267" t="inlineStr">
        <is>
          <t>09:16</t>
        </is>
      </c>
      <c r="D267" t="n">
        <v>43.1087189358787</v>
      </c>
      <c r="E267" t="n">
        <v>0.238139264184161</v>
      </c>
      <c r="F267" t="n">
        <v>7.415642684944207</v>
      </c>
      <c r="G267" t="n">
        <v>0.2152690863579474</v>
      </c>
      <c r="H267" t="n">
        <v>0.4630788485607009</v>
      </c>
      <c r="I267" t="n">
        <v>0.895862389586239</v>
      </c>
      <c r="J267" t="n">
        <v>0.4505116518847071</v>
      </c>
      <c r="K267" t="n">
        <v>0.6677157174036119</v>
      </c>
      <c r="L267" t="b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27.38735014468965</v>
      </c>
      <c r="S267" t="n">
        <v>9.868584180510805</v>
      </c>
      <c r="T267" t="n">
        <v>0.4463178775105339</v>
      </c>
      <c r="U267" t="n">
        <v>0.891213389121339</v>
      </c>
      <c r="V267" t="n">
        <v>0.8772663877266388</v>
      </c>
      <c r="W267" t="n">
        <v>0.9191073919107392</v>
      </c>
      <c r="X267" t="n">
        <v>0.238139264184161</v>
      </c>
      <c r="Y267" t="n">
        <v>7.415642684944207</v>
      </c>
      <c r="Z267" t="n">
        <v>0.4505116518847071</v>
      </c>
      <c r="AA267" t="n">
        <v>0</v>
      </c>
    </row>
    <row r="268">
      <c r="A268" t="inlineStr">
        <is>
          <t>2022-06-09</t>
        </is>
      </c>
      <c r="B268" t="inlineStr">
        <is>
          <t>CW</t>
        </is>
      </c>
      <c r="C268" t="inlineStr">
        <is>
          <t>09:18</t>
        </is>
      </c>
      <c r="D268" t="n">
        <v>8.413643835585471</v>
      </c>
      <c r="E268" t="n">
        <v>0.3256860813844565</v>
      </c>
      <c r="F268" t="n">
        <v>6.272575556399653</v>
      </c>
      <c r="G268" t="n">
        <v>0.7071339173967459</v>
      </c>
      <c r="H268" t="n">
        <v>0.3078848560700876</v>
      </c>
      <c r="I268" t="n">
        <v>0.4649000464900047</v>
      </c>
      <c r="J268" t="n">
        <v>0.4989875186847344</v>
      </c>
      <c r="K268" t="n">
        <v>0.6677157174036119</v>
      </c>
      <c r="L268" t="b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12.66371384924558</v>
      </c>
      <c r="S268" t="n">
        <v>3.423680456490722</v>
      </c>
      <c r="T268" t="n">
        <v>0.1902044698050363</v>
      </c>
      <c r="U268" t="n">
        <v>0.6206415620641562</v>
      </c>
      <c r="V268" t="n">
        <v>0.5188284518828452</v>
      </c>
      <c r="W268" t="n">
        <v>0.2552301255230126</v>
      </c>
      <c r="X268" t="n">
        <v>0.3256860813844565</v>
      </c>
      <c r="Y268" t="n">
        <v>6.272575556399653</v>
      </c>
      <c r="Z268" t="n">
        <v>0.4989875186847344</v>
      </c>
      <c r="AA268" t="n">
        <v>0</v>
      </c>
    </row>
    <row r="269">
      <c r="A269" t="inlineStr">
        <is>
          <t>2022-06-13</t>
        </is>
      </c>
      <c r="B269" t="inlineStr">
        <is>
          <t>CW</t>
        </is>
      </c>
      <c r="C269" t="inlineStr">
        <is>
          <t>09:18</t>
        </is>
      </c>
      <c r="D269" t="n">
        <v>19.05521762012046</v>
      </c>
      <c r="E269" t="n">
        <v>0.3854652501100557</v>
      </c>
      <c r="F269" t="n">
        <v>6.111383782961402</v>
      </c>
      <c r="G269" t="n">
        <v>0.9148936170212766</v>
      </c>
      <c r="H269" t="n">
        <v>0.2803504380475594</v>
      </c>
      <c r="I269" t="n">
        <v>0.3449558344955835</v>
      </c>
      <c r="J269" t="n">
        <v>0.5470887889266511</v>
      </c>
      <c r="K269" t="n">
        <v>0.6677157174036119</v>
      </c>
      <c r="L269" t="b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9.874751553775724</v>
      </c>
      <c r="S269" t="n">
        <v>1.801242236024848</v>
      </c>
      <c r="T269" t="n">
        <v>0.20186335403726</v>
      </c>
      <c r="U269" t="n">
        <v>0.499302649930265</v>
      </c>
      <c r="V269" t="n">
        <v>0.2147838214783822</v>
      </c>
      <c r="W269" t="n">
        <v>0.3207810320781032</v>
      </c>
      <c r="X269" t="n">
        <v>0.3854652501100557</v>
      </c>
      <c r="Y269" t="n">
        <v>6.111383782961402</v>
      </c>
      <c r="Z269" t="n">
        <v>0.5470887889266511</v>
      </c>
      <c r="AA269" t="n">
        <v>0</v>
      </c>
    </row>
    <row r="270">
      <c r="A270" t="inlineStr">
        <is>
          <t>2022-06-15</t>
        </is>
      </c>
      <c r="B270" t="inlineStr">
        <is>
          <t>CW</t>
        </is>
      </c>
      <c r="C270" t="inlineStr">
        <is>
          <t>09:16</t>
        </is>
      </c>
      <c r="D270" t="n">
        <v>-35.51792815593961</v>
      </c>
      <c r="E270" t="n">
        <v>0.2591237866417607</v>
      </c>
      <c r="F270" t="n">
        <v>8.942294886769266</v>
      </c>
      <c r="G270" t="n">
        <v>0.3266583229036296</v>
      </c>
      <c r="H270" t="n">
        <v>0.672090112640801</v>
      </c>
      <c r="I270" t="n">
        <v>0.893537889353789</v>
      </c>
      <c r="J270" t="n">
        <v>0.57820695208853</v>
      </c>
      <c r="K270" t="n">
        <v>0.6677157174036119</v>
      </c>
      <c r="L270" t="b">
        <v>0</v>
      </c>
      <c r="N270" t="n">
        <v>0</v>
      </c>
      <c r="O270" t="n">
        <v>0</v>
      </c>
      <c r="P270" t="n">
        <v>1</v>
      </c>
      <c r="Q270" t="n">
        <v>35.51792815593961</v>
      </c>
      <c r="R270" t="n">
        <v>26.44261255548556</v>
      </c>
      <c r="S270" t="n">
        <v>9.188263011351465</v>
      </c>
      <c r="T270" t="n">
        <v>0.4926108374384261</v>
      </c>
      <c r="U270" t="n">
        <v>0.8744769874476988</v>
      </c>
      <c r="V270" t="n">
        <v>0.8577405857740585</v>
      </c>
      <c r="W270" t="n">
        <v>0.9483960948396095</v>
      </c>
      <c r="X270" t="n">
        <v>0.2591237866417607</v>
      </c>
      <c r="Y270" t="n">
        <v>8.94229488676927</v>
      </c>
      <c r="Z270" t="n">
        <v>0.57820695208853</v>
      </c>
      <c r="AA270" t="n">
        <v>0</v>
      </c>
    </row>
    <row r="271">
      <c r="A271" t="inlineStr">
        <is>
          <t>2022-06-16</t>
        </is>
      </c>
      <c r="B271" t="inlineStr">
        <is>
          <t>NW</t>
        </is>
      </c>
      <c r="C271" t="inlineStr">
        <is>
          <t>NW</t>
        </is>
      </c>
      <c r="D271" t="n">
        <v>-43.58777982457809</v>
      </c>
      <c r="E271" t="n">
        <v>0.4121992493852071</v>
      </c>
      <c r="F271" t="n">
        <v>13.07505758710708</v>
      </c>
      <c r="G271" t="n">
        <v>0.9612015018773467</v>
      </c>
      <c r="H271" t="n">
        <v>0.9536921151439299</v>
      </c>
      <c r="I271" t="n">
        <v>0.5</v>
      </c>
      <c r="J271" t="n">
        <v>0.8659574468085106</v>
      </c>
      <c r="K271" t="n">
        <v>0.6677157174036119</v>
      </c>
      <c r="L271" t="b">
        <v>1</v>
      </c>
      <c r="M271" t="inlineStr">
        <is>
          <t>top_quartile_risk</t>
        </is>
      </c>
      <c r="N271" t="n">
        <v>35.51792815593944</v>
      </c>
      <c r="O271" t="n">
        <v>1</v>
      </c>
      <c r="P271" t="n">
        <v>1</v>
      </c>
      <c r="Q271" t="n">
        <v>43.58777982457809</v>
      </c>
      <c r="U271" t="n">
        <v>0.5</v>
      </c>
      <c r="V271" t="n">
        <v>0.5</v>
      </c>
      <c r="W271" t="n">
        <v>0.5</v>
      </c>
      <c r="X271" t="n">
        <v>0.4121992493852071</v>
      </c>
      <c r="Y271" t="n">
        <v>13.07505758710708</v>
      </c>
      <c r="Z271" t="n">
        <v>0.8659574468085106</v>
      </c>
      <c r="AA271" t="n">
        <v>0</v>
      </c>
    </row>
    <row r="272">
      <c r="A272" t="inlineStr">
        <is>
          <t>2022-06-17</t>
        </is>
      </c>
      <c r="B272" t="inlineStr">
        <is>
          <t>CW</t>
        </is>
      </c>
      <c r="C272" t="inlineStr">
        <is>
          <t>09:16</t>
        </is>
      </c>
      <c r="D272" t="n">
        <v>23.76285379507845</v>
      </c>
      <c r="E272" t="n">
        <v>0.1606418124545544</v>
      </c>
      <c r="F272" t="n">
        <v>5.663867725591835</v>
      </c>
      <c r="G272" t="n">
        <v>0.03629536921151439</v>
      </c>
      <c r="H272" t="n">
        <v>0.2227784730913642</v>
      </c>
      <c r="I272" t="n">
        <v>0.8456531845653185</v>
      </c>
      <c r="J272" t="n">
        <v>0.2727601738342151</v>
      </c>
      <c r="K272" t="n">
        <v>0.6677157174036119</v>
      </c>
      <c r="L272" t="b">
        <v>0</v>
      </c>
      <c r="N272" t="n">
        <v>79.10570798051776</v>
      </c>
      <c r="O272" t="n">
        <v>2</v>
      </c>
      <c r="P272" t="n">
        <v>0</v>
      </c>
      <c r="Q272" t="n">
        <v>0</v>
      </c>
      <c r="R272" t="n">
        <v>59.27629832787803</v>
      </c>
      <c r="S272" t="n">
        <v>4.399953439646136</v>
      </c>
      <c r="T272" t="n">
        <v>0.4423233616575499</v>
      </c>
      <c r="U272" t="n">
        <v>0.9874476987447699</v>
      </c>
      <c r="V272" t="n">
        <v>0.6359832635983264</v>
      </c>
      <c r="W272" t="n">
        <v>0.9135285913528591</v>
      </c>
      <c r="X272" t="n">
        <v>0.1606418124545544</v>
      </c>
      <c r="Y272" t="n">
        <v>5.663867725591836</v>
      </c>
      <c r="Z272" t="n">
        <v>0.2727601738342151</v>
      </c>
      <c r="AA272" t="n">
        <v>5.551115123125783e-17</v>
      </c>
    </row>
    <row r="273">
      <c r="A273" t="inlineStr">
        <is>
          <t>2022-06-20</t>
        </is>
      </c>
      <c r="B273" t="inlineStr">
        <is>
          <t>CW</t>
        </is>
      </c>
      <c r="C273" t="inlineStr">
        <is>
          <t>09:17</t>
        </is>
      </c>
      <c r="D273" t="n">
        <v>65.45328627804335</v>
      </c>
      <c r="E273" t="n">
        <v>0.3263826160170049</v>
      </c>
      <c r="F273" t="n">
        <v>9.193711315599893</v>
      </c>
      <c r="G273" t="n">
        <v>0.7146433041301627</v>
      </c>
      <c r="H273" t="n">
        <v>0.7008760951188986</v>
      </c>
      <c r="I273" t="n">
        <v>0.3830776383077638</v>
      </c>
      <c r="J273" t="n">
        <v>0.6428232873611773</v>
      </c>
      <c r="K273" t="n">
        <v>0.6677157174036119</v>
      </c>
      <c r="L273" t="b">
        <v>0</v>
      </c>
      <c r="N273" t="n">
        <v>55.34285418543914</v>
      </c>
      <c r="O273" t="n">
        <v>0</v>
      </c>
      <c r="P273" t="n">
        <v>0</v>
      </c>
      <c r="Q273" t="n">
        <v>0</v>
      </c>
      <c r="R273" t="n">
        <v>21.08492721456967</v>
      </c>
      <c r="S273" t="n">
        <v>1.895734597156372</v>
      </c>
      <c r="T273" t="n">
        <v>0.1436162573603332</v>
      </c>
      <c r="U273" t="n">
        <v>0.8131101813110181</v>
      </c>
      <c r="V273" t="n">
        <v>0.2468619246861925</v>
      </c>
      <c r="W273" t="n">
        <v>0.08926080892608089</v>
      </c>
      <c r="X273" t="n">
        <v>0.3263826160170049</v>
      </c>
      <c r="Y273" t="n">
        <v>9.193711315599895</v>
      </c>
      <c r="Z273" t="n">
        <v>0.6428232873611773</v>
      </c>
      <c r="AA273" t="n">
        <v>0</v>
      </c>
    </row>
    <row r="274">
      <c r="A274" t="inlineStr">
        <is>
          <t>2022-06-21</t>
        </is>
      </c>
      <c r="B274" t="inlineStr">
        <is>
          <t>CW</t>
        </is>
      </c>
      <c r="C274" t="inlineStr">
        <is>
          <t>09:17</t>
        </is>
      </c>
      <c r="D274" t="n">
        <v>-33.8657799902494</v>
      </c>
      <c r="E274" t="n">
        <v>0.2587680101004236</v>
      </c>
      <c r="F274" t="n">
        <v>7.204810488774973</v>
      </c>
      <c r="G274" t="n">
        <v>0.3229036295369211</v>
      </c>
      <c r="H274" t="n">
        <v>0.4443053817271589</v>
      </c>
      <c r="I274" t="n">
        <v>0.4848907484890749</v>
      </c>
      <c r="J274" t="n">
        <v>0.403861754203447</v>
      </c>
      <c r="K274" t="n">
        <v>0.6677157174036119</v>
      </c>
      <c r="L274" t="b">
        <v>0</v>
      </c>
      <c r="N274" t="n">
        <v>0</v>
      </c>
      <c r="O274" t="n">
        <v>0</v>
      </c>
      <c r="P274" t="n">
        <v>1</v>
      </c>
      <c r="Q274" t="n">
        <v>33.8657799902494</v>
      </c>
      <c r="R274" t="n">
        <v>14.42730707520268</v>
      </c>
      <c r="S274" t="n">
        <v>3.567060741948634</v>
      </c>
      <c r="T274" t="n">
        <v>0.1834488381573537</v>
      </c>
      <c r="U274" t="n">
        <v>0.6903765690376569</v>
      </c>
      <c r="V274" t="n">
        <v>0.5369595536959554</v>
      </c>
      <c r="W274" t="n">
        <v>0.2273361227336123</v>
      </c>
      <c r="X274" t="n">
        <v>0.2587680101004236</v>
      </c>
      <c r="Y274" t="n">
        <v>7.204810488774974</v>
      </c>
      <c r="Z274" t="n">
        <v>0.403861754203447</v>
      </c>
      <c r="AA274" t="n">
        <v>0</v>
      </c>
    </row>
    <row r="275">
      <c r="A275" t="inlineStr">
        <is>
          <t>2022-06-22</t>
        </is>
      </c>
      <c r="B275" t="inlineStr">
        <is>
          <t>CW</t>
        </is>
      </c>
      <c r="C275" t="inlineStr">
        <is>
          <t>09:16</t>
        </is>
      </c>
      <c r="D275" t="n">
        <v>-13.20572674166975</v>
      </c>
      <c r="E275" t="n">
        <v>0.1983131040985564</v>
      </c>
      <c r="F275" t="n">
        <v>4.609690209118106</v>
      </c>
      <c r="G275" t="n">
        <v>0.1001251564455569</v>
      </c>
      <c r="H275" t="n">
        <v>0.0951188986232791</v>
      </c>
      <c r="I275" t="n">
        <v>0.895862389586239</v>
      </c>
      <c r="J275" t="n">
        <v>0.2572700999447822</v>
      </c>
      <c r="K275" t="n">
        <v>0.6677157174036119</v>
      </c>
      <c r="L275" t="b">
        <v>0</v>
      </c>
      <c r="N275" t="n">
        <v>33.86577999024939</v>
      </c>
      <c r="O275" t="n">
        <v>1</v>
      </c>
      <c r="P275" t="n">
        <v>1</v>
      </c>
      <c r="Q275" t="n">
        <v>13.20572674166975</v>
      </c>
      <c r="R275" t="n">
        <v>36.59192594000295</v>
      </c>
      <c r="S275" t="n">
        <v>8.374641273154195</v>
      </c>
      <c r="T275" t="n">
        <v>0.4435168275502262</v>
      </c>
      <c r="U275" t="n">
        <v>0.9358437935843794</v>
      </c>
      <c r="V275" t="n">
        <v>0.8354253835425384</v>
      </c>
      <c r="W275" t="n">
        <v>0.9163179916317992</v>
      </c>
      <c r="X275" t="n">
        <v>0.1983131040985564</v>
      </c>
      <c r="Y275" t="n">
        <v>4.609690209118105</v>
      </c>
      <c r="Z275" t="n">
        <v>0.2572700999447822</v>
      </c>
      <c r="AA275" t="n">
        <v>0</v>
      </c>
    </row>
    <row r="276">
      <c r="A276" t="inlineStr">
        <is>
          <t>2022-06-23</t>
        </is>
      </c>
      <c r="B276" t="inlineStr">
        <is>
          <t>CW</t>
        </is>
      </c>
      <c r="C276" t="inlineStr">
        <is>
          <t>09:18</t>
        </is>
      </c>
      <c r="D276" t="n">
        <v>-46.69077489345182</v>
      </c>
      <c r="E276" t="n">
        <v>0.3580603466153042</v>
      </c>
      <c r="F276" t="n">
        <v>10.59548950470776</v>
      </c>
      <c r="G276" t="n">
        <v>0.8410513141426783</v>
      </c>
      <c r="H276" t="n">
        <v>0.8498122653316645</v>
      </c>
      <c r="I276" t="n">
        <v>0.5132496513249651</v>
      </c>
      <c r="J276" t="n">
        <v>0.7789953620547303</v>
      </c>
      <c r="K276" t="n">
        <v>0.6677157174036119</v>
      </c>
      <c r="L276" t="b">
        <v>1</v>
      </c>
      <c r="M276" t="inlineStr">
        <is>
          <t>top_quartile_risk</t>
        </is>
      </c>
      <c r="N276" t="n">
        <v>47.07150673191882</v>
      </c>
      <c r="O276" t="n">
        <v>2</v>
      </c>
      <c r="P276" t="n">
        <v>1</v>
      </c>
      <c r="Q276" t="n">
        <v>46.69077489345182</v>
      </c>
      <c r="R276" t="n">
        <v>9.951829256432086</v>
      </c>
      <c r="S276" t="n">
        <v>2.953240360951596</v>
      </c>
      <c r="T276" t="n">
        <v>0.2461033634126193</v>
      </c>
      <c r="U276" t="n">
        <v>0.5062761506276151</v>
      </c>
      <c r="V276" t="n">
        <v>0.4658298465829847</v>
      </c>
      <c r="W276" t="n">
        <v>0.5676429567642957</v>
      </c>
      <c r="X276" t="n">
        <v>0.3580603466153042</v>
      </c>
      <c r="Y276" t="n">
        <v>10.59548950470776</v>
      </c>
      <c r="Z276" t="n">
        <v>0.7789953620547303</v>
      </c>
      <c r="AA276" t="n">
        <v>0</v>
      </c>
    </row>
    <row r="277">
      <c r="A277" t="inlineStr">
        <is>
          <t>2022-06-24</t>
        </is>
      </c>
      <c r="B277" t="inlineStr">
        <is>
          <t>CW</t>
        </is>
      </c>
      <c r="C277" t="inlineStr">
        <is>
          <t>09:16</t>
        </is>
      </c>
      <c r="D277" t="n">
        <v>42.51679950313495</v>
      </c>
      <c r="E277" t="n">
        <v>0.08730948492979709</v>
      </c>
      <c r="F277" t="n">
        <v>3.03107228784679</v>
      </c>
      <c r="G277" t="n">
        <v>0.001251564455569462</v>
      </c>
      <c r="H277" t="n">
        <v>0.0262828535669587</v>
      </c>
      <c r="I277" t="n">
        <v>0.9525801952580196</v>
      </c>
      <c r="J277" t="n">
        <v>0.2015298062606152</v>
      </c>
      <c r="K277" t="n">
        <v>0.6677157174036119</v>
      </c>
      <c r="L277" t="b">
        <v>0</v>
      </c>
      <c r="N277" t="n">
        <v>93.76228162537063</v>
      </c>
      <c r="O277" t="n">
        <v>3</v>
      </c>
      <c r="P277" t="n">
        <v>0</v>
      </c>
      <c r="Q277" t="n">
        <v>0</v>
      </c>
      <c r="R277" t="n">
        <v>41.57090927610665</v>
      </c>
      <c r="S277" t="n">
        <v>17.21170395869191</v>
      </c>
      <c r="T277" t="n">
        <v>0.5020080321285141</v>
      </c>
      <c r="U277" t="n">
        <v>0.9567642956764296</v>
      </c>
      <c r="V277" t="n">
        <v>0.9497907949790795</v>
      </c>
      <c r="W277" t="n">
        <v>0.9511854951185496</v>
      </c>
      <c r="X277" t="n">
        <v>0.08730948492979709</v>
      </c>
      <c r="Y277" t="n">
        <v>3.031072287846791</v>
      </c>
      <c r="Z277" t="n">
        <v>0.2015298062606152</v>
      </c>
      <c r="AA277" t="n">
        <v>0</v>
      </c>
    </row>
    <row r="278">
      <c r="A278" t="inlineStr">
        <is>
          <t>2022-06-27</t>
        </is>
      </c>
      <c r="B278" t="inlineStr">
        <is>
          <t>CW</t>
        </is>
      </c>
      <c r="C278" t="inlineStr">
        <is>
          <t>09:16</t>
        </is>
      </c>
      <c r="D278" t="n">
        <v>43.01824786166767</v>
      </c>
      <c r="E278" t="n">
        <v>0.2592568200992216</v>
      </c>
      <c r="F278" t="n">
        <v>8.201389886153024</v>
      </c>
      <c r="G278" t="n">
        <v>0.327909887359199</v>
      </c>
      <c r="H278" t="n">
        <v>0.5644555694618273</v>
      </c>
      <c r="I278" t="n">
        <v>0.6699209669920968</v>
      </c>
      <c r="J278" t="n">
        <v>0.4909303761268299</v>
      </c>
      <c r="K278" t="n">
        <v>0.6677157174036119</v>
      </c>
      <c r="L278" t="b">
        <v>0</v>
      </c>
      <c r="N278" t="n">
        <v>51.24548212223544</v>
      </c>
      <c r="O278" t="n">
        <v>0</v>
      </c>
      <c r="P278" t="n">
        <v>0</v>
      </c>
      <c r="Q278" t="n">
        <v>0</v>
      </c>
      <c r="R278" t="n">
        <v>27.22925775876451</v>
      </c>
      <c r="S278" t="n">
        <v>5.290437890974088</v>
      </c>
      <c r="T278" t="n">
        <v>0.2144772117962446</v>
      </c>
      <c r="U278" t="n">
        <v>0.8884239888423989</v>
      </c>
      <c r="V278" t="n">
        <v>0.7099023709902371</v>
      </c>
      <c r="W278" t="n">
        <v>0.4114365411436541</v>
      </c>
      <c r="X278" t="n">
        <v>0.2592568200992216</v>
      </c>
      <c r="Y278" t="n">
        <v>8.201389886153027</v>
      </c>
      <c r="Z278" t="n">
        <v>0.4909303761268299</v>
      </c>
      <c r="AA278" t="n">
        <v>0</v>
      </c>
    </row>
    <row r="279">
      <c r="A279" t="inlineStr">
        <is>
          <t>2022-06-28</t>
        </is>
      </c>
      <c r="B279" t="inlineStr">
        <is>
          <t>CW</t>
        </is>
      </c>
      <c r="C279" t="inlineStr">
        <is>
          <t>09:16</t>
        </is>
      </c>
      <c r="D279" t="n">
        <v>30.40023250119383</v>
      </c>
      <c r="E279" t="n">
        <v>0.2651410672004414</v>
      </c>
      <c r="F279" t="n">
        <v>5.145014642380022</v>
      </c>
      <c r="G279" t="n">
        <v>0.3717146433041302</v>
      </c>
      <c r="H279" t="n">
        <v>0.1501877346683354</v>
      </c>
      <c r="I279" t="n">
        <v>0.599256159925616</v>
      </c>
      <c r="J279" t="n">
        <v>0.3286121831741095</v>
      </c>
      <c r="K279" t="n">
        <v>0.6677157174036119</v>
      </c>
      <c r="L279" t="b">
        <v>0</v>
      </c>
      <c r="N279" t="n">
        <v>8.227234260567457</v>
      </c>
      <c r="O279" t="n">
        <v>0</v>
      </c>
      <c r="P279" t="n">
        <v>0</v>
      </c>
      <c r="Q279" t="n">
        <v>0</v>
      </c>
      <c r="R279" t="n">
        <v>17.32387394819406</v>
      </c>
      <c r="S279" t="n">
        <v>4.798826487845774</v>
      </c>
      <c r="T279" t="n">
        <v>0.209555741827326</v>
      </c>
      <c r="U279" t="n">
        <v>0.7517433751743375</v>
      </c>
      <c r="V279" t="n">
        <v>0.6736401673640168</v>
      </c>
      <c r="W279" t="n">
        <v>0.3723849372384937</v>
      </c>
      <c r="X279" t="n">
        <v>0.2651410672004414</v>
      </c>
      <c r="Y279" t="n">
        <v>5.145014642380025</v>
      </c>
      <c r="Z279" t="n">
        <v>0.3286121831741095</v>
      </c>
      <c r="AA279" t="n">
        <v>-5.551115123125783e-17</v>
      </c>
    </row>
    <row r="280">
      <c r="A280" t="inlineStr">
        <is>
          <t>2022-06-30</t>
        </is>
      </c>
      <c r="B280" t="inlineStr">
        <is>
          <t>CW</t>
        </is>
      </c>
      <c r="C280" t="inlineStr">
        <is>
          <t>09:16</t>
        </is>
      </c>
      <c r="D280" t="n">
        <v>64.19462499147812</v>
      </c>
      <c r="E280" t="n">
        <v>0.1465070097716364</v>
      </c>
      <c r="F280" t="n">
        <v>7.022496831918975</v>
      </c>
      <c r="G280" t="n">
        <v>0.01877346683354193</v>
      </c>
      <c r="H280" t="n">
        <v>0.4180225281602002</v>
      </c>
      <c r="I280" t="n">
        <v>0.9628079962807995</v>
      </c>
      <c r="J280" t="n">
        <v>0.3672799972536568</v>
      </c>
      <c r="K280" t="n">
        <v>0.6677157174036119</v>
      </c>
      <c r="L280" t="b">
        <v>0</v>
      </c>
      <c r="N280" t="n">
        <v>0</v>
      </c>
      <c r="O280" t="n">
        <v>0</v>
      </c>
      <c r="P280" t="n">
        <v>0</v>
      </c>
      <c r="Q280" t="n">
        <v>0</v>
      </c>
      <c r="R280" t="n">
        <v>49.18561012901374</v>
      </c>
      <c r="S280" t="n">
        <v>20.78248384781047</v>
      </c>
      <c r="T280" t="n">
        <v>0.5025125628140723</v>
      </c>
      <c r="U280" t="n">
        <v>0.9735006973500697</v>
      </c>
      <c r="V280" t="n">
        <v>0.9623430962343096</v>
      </c>
      <c r="W280" t="n">
        <v>0.9525801952580195</v>
      </c>
      <c r="X280" t="n">
        <v>0.1465070097716364</v>
      </c>
      <c r="Y280" t="n">
        <v>7.022496831918976</v>
      </c>
      <c r="Z280" t="n">
        <v>0.3672799972536568</v>
      </c>
      <c r="AA280" t="n">
        <v>0</v>
      </c>
    </row>
    <row r="281">
      <c r="A281" t="inlineStr">
        <is>
          <t>2022-07-01</t>
        </is>
      </c>
      <c r="B281" t="inlineStr">
        <is>
          <t>CW</t>
        </is>
      </c>
      <c r="C281" t="inlineStr">
        <is>
          <t>09:16</t>
        </is>
      </c>
      <c r="D281" t="n">
        <v>42.73888939236905</v>
      </c>
      <c r="E281" t="n">
        <v>0.2540552002195374</v>
      </c>
      <c r="F281" t="n">
        <v>7.642274771941986</v>
      </c>
      <c r="G281" t="n">
        <v>0.2941176470588235</v>
      </c>
      <c r="H281" t="n">
        <v>0.5031289111389237</v>
      </c>
      <c r="I281" t="n">
        <v>0.5983263598326359</v>
      </c>
      <c r="J281" t="n">
        <v>0.4385638952456261</v>
      </c>
      <c r="K281" t="n">
        <v>0.6677157174036119</v>
      </c>
      <c r="L281" t="b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20.28436442857188</v>
      </c>
      <c r="S281" t="n">
        <v>3.128876636802196</v>
      </c>
      <c r="T281" t="n">
        <v>0.2343211578221978</v>
      </c>
      <c r="U281" t="n">
        <v>0.793584379358438</v>
      </c>
      <c r="V281" t="n">
        <v>0.4825662482566248</v>
      </c>
      <c r="W281" t="n">
        <v>0.5188284518828452</v>
      </c>
      <c r="X281" t="n">
        <v>0.2540552002195374</v>
      </c>
      <c r="Y281" t="n">
        <v>7.642274771941986</v>
      </c>
      <c r="Z281" t="n">
        <v>0.4385638952456261</v>
      </c>
      <c r="AA281" t="n">
        <v>0</v>
      </c>
    </row>
    <row r="282">
      <c r="A282" t="inlineStr">
        <is>
          <t>2022-07-04</t>
        </is>
      </c>
      <c r="B282" t="inlineStr">
        <is>
          <t>CW</t>
        </is>
      </c>
      <c r="C282" t="inlineStr">
        <is>
          <t>09:16</t>
        </is>
      </c>
      <c r="D282" t="n">
        <v>38.95433924958392</v>
      </c>
      <c r="E282" t="n">
        <v>0.1748423877486623</v>
      </c>
      <c r="F282" t="n">
        <v>4.681632613600886</v>
      </c>
      <c r="G282" t="n">
        <v>0.05131414267834793</v>
      </c>
      <c r="H282" t="n">
        <v>0.1013767209011264</v>
      </c>
      <c r="I282" t="n">
        <v>0.7522082752208276</v>
      </c>
      <c r="J282" t="n">
        <v>0.2115180004759553</v>
      </c>
      <c r="K282" t="n">
        <v>0.6677157174036119</v>
      </c>
      <c r="L282" t="b">
        <v>0</v>
      </c>
      <c r="N282" t="n">
        <v>0</v>
      </c>
      <c r="O282" t="n">
        <v>0</v>
      </c>
      <c r="P282" t="n">
        <v>0</v>
      </c>
      <c r="Q282" t="n">
        <v>0</v>
      </c>
      <c r="R282" t="n">
        <v>51.36883201663024</v>
      </c>
      <c r="S282" t="n">
        <v>13.78232945669154</v>
      </c>
      <c r="T282" t="n">
        <v>0.2082971706300969</v>
      </c>
      <c r="U282" t="n">
        <v>0.9748953974895398</v>
      </c>
      <c r="V282" t="n">
        <v>0.9163179916317992</v>
      </c>
      <c r="W282" t="n">
        <v>0.3654114365411437</v>
      </c>
      <c r="X282" t="n">
        <v>0.1748423877486623</v>
      </c>
      <c r="Y282" t="n">
        <v>4.681632613600886</v>
      </c>
      <c r="Z282" t="n">
        <v>0.2115180004759553</v>
      </c>
      <c r="AA282" t="n">
        <v>-2.775557561562891e-17</v>
      </c>
    </row>
    <row r="283">
      <c r="A283" t="inlineStr">
        <is>
          <t>2022-07-05</t>
        </is>
      </c>
      <c r="B283" t="inlineStr">
        <is>
          <t>CW</t>
        </is>
      </c>
      <c r="C283" t="inlineStr">
        <is>
          <t>09:17</t>
        </is>
      </c>
      <c r="D283" t="n">
        <v>-0.9056563924208154</v>
      </c>
      <c r="E283" t="n">
        <v>0.2775190551921042</v>
      </c>
      <c r="F283" t="n">
        <v>6.848169302535947</v>
      </c>
      <c r="G283" t="n">
        <v>0.4468085106382979</v>
      </c>
      <c r="H283" t="n">
        <v>0.4017521902377972</v>
      </c>
      <c r="I283" t="n">
        <v>0.1868898186889819</v>
      </c>
      <c r="J283" t="n">
        <v>0.3768022440882344</v>
      </c>
      <c r="K283" t="n">
        <v>0.6677157174036119</v>
      </c>
      <c r="L283" t="b">
        <v>0</v>
      </c>
      <c r="N283" t="n">
        <v>0</v>
      </c>
      <c r="O283" t="n">
        <v>0</v>
      </c>
      <c r="P283" t="n">
        <v>1</v>
      </c>
      <c r="Q283" t="n">
        <v>0.9056563924208154</v>
      </c>
      <c r="R283" t="n">
        <v>5.345928760781122</v>
      </c>
      <c r="S283" t="n">
        <v>1.147578609134726</v>
      </c>
      <c r="T283" t="n">
        <v>0.2065641496442454</v>
      </c>
      <c r="U283" t="n">
        <v>0.1562064156206416</v>
      </c>
      <c r="V283" t="n">
        <v>0.0502092050209205</v>
      </c>
      <c r="W283" t="n">
        <v>0.3542538354253835</v>
      </c>
      <c r="X283" t="n">
        <v>0.2775190551921042</v>
      </c>
      <c r="Y283" t="n">
        <v>6.848169302535947</v>
      </c>
      <c r="Z283" t="n">
        <v>0.3768022440882344</v>
      </c>
      <c r="AA283" t="n">
        <v>5.551115123125783e-17</v>
      </c>
    </row>
    <row r="284">
      <c r="A284" t="inlineStr">
        <is>
          <t>2022-07-06</t>
        </is>
      </c>
      <c r="B284" t="inlineStr">
        <is>
          <t>CW</t>
        </is>
      </c>
      <c r="C284" t="inlineStr">
        <is>
          <t>09:17</t>
        </is>
      </c>
      <c r="D284" t="n">
        <v>-42.39672762232431</v>
      </c>
      <c r="E284" t="n">
        <v>0.3260166595084981</v>
      </c>
      <c r="F284" t="n">
        <v>10.31718058439501</v>
      </c>
      <c r="G284" t="n">
        <v>0.7121401752190237</v>
      </c>
      <c r="H284" t="n">
        <v>0.8235294117647058</v>
      </c>
      <c r="I284" t="n">
        <v>0.3193863319386332</v>
      </c>
      <c r="J284" t="n">
        <v>0.6781451011812184</v>
      </c>
      <c r="K284" t="n">
        <v>0.6677157174036119</v>
      </c>
      <c r="L284" t="b">
        <v>1</v>
      </c>
      <c r="M284" t="inlineStr">
        <is>
          <t>top_quartile_risk</t>
        </is>
      </c>
      <c r="N284" t="n">
        <v>0.9056563924204966</v>
      </c>
      <c r="O284" t="n">
        <v>1</v>
      </c>
      <c r="P284" t="n">
        <v>1</v>
      </c>
      <c r="Q284" t="n">
        <v>42.39672762232431</v>
      </c>
      <c r="R284" t="n">
        <v>7.857095525242562</v>
      </c>
      <c r="S284" t="n">
        <v>2.048835251192803</v>
      </c>
      <c r="T284" t="n">
        <v>0.1964636542239654</v>
      </c>
      <c r="U284" t="n">
        <v>0.3737796373779637</v>
      </c>
      <c r="V284" t="n">
        <v>0.2859135285913529</v>
      </c>
      <c r="W284" t="n">
        <v>0.298465829846583</v>
      </c>
      <c r="X284" t="n">
        <v>0.3260166595084981</v>
      </c>
      <c r="Y284" t="n">
        <v>10.31718058439501</v>
      </c>
      <c r="Z284" t="n">
        <v>0.6781451011812184</v>
      </c>
      <c r="AA284" t="n">
        <v>0</v>
      </c>
    </row>
    <row r="285">
      <c r="A285" t="inlineStr">
        <is>
          <t>2022-07-07</t>
        </is>
      </c>
      <c r="B285" t="inlineStr">
        <is>
          <t>CW</t>
        </is>
      </c>
      <c r="C285" t="inlineStr">
        <is>
          <t>09:16</t>
        </is>
      </c>
      <c r="D285" t="n">
        <v>42.50037984893697</v>
      </c>
      <c r="E285" t="n">
        <v>0.1758863278702375</v>
      </c>
      <c r="F285" t="n">
        <v>7.055784755951342</v>
      </c>
      <c r="G285" t="n">
        <v>0.05506883604505632</v>
      </c>
      <c r="H285" t="n">
        <v>0.4230287859824781</v>
      </c>
      <c r="I285" t="n">
        <v>0.9367735936773594</v>
      </c>
      <c r="J285" t="n">
        <v>0.3785937675464857</v>
      </c>
      <c r="K285" t="n">
        <v>0.6677157174036119</v>
      </c>
      <c r="L285" t="b">
        <v>0</v>
      </c>
      <c r="N285" t="n">
        <v>43.30238401474526</v>
      </c>
      <c r="O285" t="n">
        <v>2</v>
      </c>
      <c r="P285" t="n">
        <v>0</v>
      </c>
      <c r="Q285" t="n">
        <v>0</v>
      </c>
      <c r="R285" t="n">
        <v>31.69542618253115</v>
      </c>
      <c r="S285" t="n">
        <v>15.72649572649573</v>
      </c>
      <c r="T285" t="n">
        <v>0.512820512820514</v>
      </c>
      <c r="U285" t="n">
        <v>0.9149232914923291</v>
      </c>
      <c r="V285" t="n">
        <v>0.9372384937238494</v>
      </c>
      <c r="W285" t="n">
        <v>0.9581589958158996</v>
      </c>
      <c r="X285" t="n">
        <v>0.1758863278702375</v>
      </c>
      <c r="Y285" t="n">
        <v>7.055784755951342</v>
      </c>
      <c r="Z285" t="n">
        <v>0.3785937675464857</v>
      </c>
      <c r="AA285" t="n">
        <v>-5.551115123125783e-17</v>
      </c>
    </row>
    <row r="286">
      <c r="A286" t="inlineStr">
        <is>
          <t>2022-07-12</t>
        </is>
      </c>
      <c r="B286" t="inlineStr">
        <is>
          <t>CW</t>
        </is>
      </c>
      <c r="C286" t="inlineStr">
        <is>
          <t>09:17</t>
        </is>
      </c>
      <c r="D286" t="n">
        <v>17.60555765063521</v>
      </c>
      <c r="E286" t="n">
        <v>0.3197927894833698</v>
      </c>
      <c r="F286" t="n">
        <v>6.443275814447313</v>
      </c>
      <c r="G286" t="n">
        <v>0.6670838548185232</v>
      </c>
      <c r="H286" t="n">
        <v>0.3316645807259074</v>
      </c>
      <c r="I286" t="n">
        <v>0.1083217108321711</v>
      </c>
      <c r="J286" t="n">
        <v>0.4211637163842065</v>
      </c>
      <c r="K286" t="n">
        <v>0.6677157174036119</v>
      </c>
      <c r="L286" t="b">
        <v>0</v>
      </c>
      <c r="N286" t="n">
        <v>0.8020041658082846</v>
      </c>
      <c r="O286" t="n">
        <v>0</v>
      </c>
      <c r="P286" t="n">
        <v>0</v>
      </c>
      <c r="Q286" t="n">
        <v>0</v>
      </c>
      <c r="R286" t="n">
        <v>5.778461251689945</v>
      </c>
      <c r="S286" t="n">
        <v>1.231586573291481</v>
      </c>
      <c r="T286" t="n">
        <v>0.1207437816952426</v>
      </c>
      <c r="U286" t="n">
        <v>0.203626220362622</v>
      </c>
      <c r="V286" t="n">
        <v>0.07949790794979079</v>
      </c>
      <c r="W286" t="n">
        <v>0.04184100418410042</v>
      </c>
      <c r="X286" t="n">
        <v>0.3197927894833698</v>
      </c>
      <c r="Y286" t="n">
        <v>6.443275814447312</v>
      </c>
      <c r="Z286" t="n">
        <v>0.4211637163842065</v>
      </c>
      <c r="AA286" t="n">
        <v>-5.551115123125783e-17</v>
      </c>
    </row>
    <row r="287">
      <c r="A287" t="inlineStr">
        <is>
          <t>2022-07-13</t>
        </is>
      </c>
      <c r="B287" t="inlineStr">
        <is>
          <t>CW</t>
        </is>
      </c>
      <c r="C287" t="inlineStr">
        <is>
          <t>09:18</t>
        </is>
      </c>
      <c r="D287" t="n">
        <v>-10.74521644185219</v>
      </c>
      <c r="E287" t="n">
        <v>0.3981458724103457</v>
      </c>
      <c r="F287" t="n">
        <v>10.67201042688342</v>
      </c>
      <c r="G287" t="n">
        <v>0.9374217772215269</v>
      </c>
      <c r="H287" t="n">
        <v>0.8560700876095119</v>
      </c>
      <c r="I287" t="n">
        <v>0.09669920966992096</v>
      </c>
      <c r="J287" t="n">
        <v>0.7367365878663997</v>
      </c>
      <c r="K287" t="n">
        <v>0.6677157174036119</v>
      </c>
      <c r="L287" t="b">
        <v>1</v>
      </c>
      <c r="M287" t="inlineStr">
        <is>
          <t>top_quartile_risk</t>
        </is>
      </c>
      <c r="N287" t="n">
        <v>0</v>
      </c>
      <c r="O287" t="n">
        <v>0</v>
      </c>
      <c r="P287" t="n">
        <v>1</v>
      </c>
      <c r="Q287" t="n">
        <v>10.74521644185219</v>
      </c>
      <c r="R287" t="n">
        <v>4.839520267042924</v>
      </c>
      <c r="S287" t="n">
        <v>1.202346041055708</v>
      </c>
      <c r="T287" t="n">
        <v>0.1466275659824047</v>
      </c>
      <c r="U287" t="n">
        <v>0.1213389121338912</v>
      </c>
      <c r="V287" t="n">
        <v>0.07112970711297072</v>
      </c>
      <c r="W287" t="n">
        <v>0.09762900976290098</v>
      </c>
      <c r="X287" t="n">
        <v>0.3981458724103455</v>
      </c>
      <c r="Y287" t="n">
        <v>10.67201042688342</v>
      </c>
      <c r="Z287" t="n">
        <v>0.7367365878663997</v>
      </c>
      <c r="AA287" t="n">
        <v>0</v>
      </c>
    </row>
    <row r="288">
      <c r="A288" t="inlineStr">
        <is>
          <t>2022-07-14</t>
        </is>
      </c>
      <c r="B288" t="inlineStr">
        <is>
          <t>CW</t>
        </is>
      </c>
      <c r="C288" t="inlineStr">
        <is>
          <t>09:17</t>
        </is>
      </c>
      <c r="D288" t="n">
        <v>13.48894106172065</v>
      </c>
      <c r="E288" t="n">
        <v>0.3130096338962975</v>
      </c>
      <c r="F288" t="n">
        <v>11.21924917816743</v>
      </c>
      <c r="G288" t="n">
        <v>0.6307884856070087</v>
      </c>
      <c r="H288" t="n">
        <v>0.8923654568210263</v>
      </c>
      <c r="I288" t="n">
        <v>0.4797768479776849</v>
      </c>
      <c r="J288" t="n">
        <v>0.705216946566751</v>
      </c>
      <c r="K288" t="n">
        <v>0.6677157174036119</v>
      </c>
      <c r="L288" t="b">
        <v>1</v>
      </c>
      <c r="M288" t="inlineStr">
        <is>
          <t>top_quartile_risk</t>
        </is>
      </c>
      <c r="N288" t="n">
        <v>10.74521644185188</v>
      </c>
      <c r="O288" t="n">
        <v>1</v>
      </c>
      <c r="P288" t="n">
        <v>0</v>
      </c>
      <c r="Q288" t="n">
        <v>0</v>
      </c>
      <c r="R288" t="n">
        <v>9.93939469711391</v>
      </c>
      <c r="S288" t="n">
        <v>6.117136659436018</v>
      </c>
      <c r="T288" t="n">
        <v>0.1735357917570523</v>
      </c>
      <c r="U288" t="n">
        <v>0.5034867503486751</v>
      </c>
      <c r="V288" t="n">
        <v>0.7503486750348675</v>
      </c>
      <c r="W288" t="n">
        <v>0.1854951185495119</v>
      </c>
      <c r="X288" t="n">
        <v>0.3130096338962975</v>
      </c>
      <c r="Y288" t="n">
        <v>11.21924917816743</v>
      </c>
      <c r="Z288" t="n">
        <v>0.705216946566751</v>
      </c>
      <c r="AA288" t="n">
        <v>0</v>
      </c>
    </row>
    <row r="289">
      <c r="A289" t="inlineStr">
        <is>
          <t>2022-07-20</t>
        </is>
      </c>
      <c r="B289" t="inlineStr">
        <is>
          <t>CW</t>
        </is>
      </c>
      <c r="C289" t="inlineStr">
        <is>
          <t>09:17</t>
        </is>
      </c>
      <c r="D289" t="n">
        <v>16.9927334940459</v>
      </c>
      <c r="E289" t="n">
        <v>0.2976709060542997</v>
      </c>
      <c r="F289" t="n">
        <v>10.79561373909292</v>
      </c>
      <c r="G289" t="n">
        <v>0.5556946182728411</v>
      </c>
      <c r="H289" t="n">
        <v>0.8610763454317898</v>
      </c>
      <c r="I289" t="n">
        <v>0.4318921431892144</v>
      </c>
      <c r="J289" t="n">
        <v>0.6530868141196953</v>
      </c>
      <c r="K289" t="n">
        <v>0.6677157174036119</v>
      </c>
      <c r="L289" t="b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8.330278897737497</v>
      </c>
      <c r="S289" t="n">
        <v>3.218960028298537</v>
      </c>
      <c r="T289" t="n">
        <v>0.2122391227449572</v>
      </c>
      <c r="U289" t="n">
        <v>0.404463040446304</v>
      </c>
      <c r="V289" t="n">
        <v>0.496513249651325</v>
      </c>
      <c r="W289" t="n">
        <v>0.3947001394700139</v>
      </c>
      <c r="X289" t="n">
        <v>0.2976709060542997</v>
      </c>
      <c r="Y289" t="n">
        <v>10.79561373909292</v>
      </c>
      <c r="Z289" t="n">
        <v>0.6530868141196953</v>
      </c>
      <c r="AA289" t="n">
        <v>0</v>
      </c>
    </row>
    <row r="290">
      <c r="A290" t="inlineStr">
        <is>
          <t>2022-07-21</t>
        </is>
      </c>
      <c r="B290" t="inlineStr">
        <is>
          <t>CW</t>
        </is>
      </c>
      <c r="C290" t="inlineStr">
        <is>
          <t>09:17</t>
        </is>
      </c>
      <c r="D290" t="n">
        <v>15.52534670300675</v>
      </c>
      <c r="E290" t="n">
        <v>0.2698130356557168</v>
      </c>
      <c r="F290" t="n">
        <v>7.954230384902691</v>
      </c>
      <c r="G290" t="n">
        <v>0.3879849812265332</v>
      </c>
      <c r="H290" t="n">
        <v>0.5344180225281602</v>
      </c>
      <c r="I290" t="n">
        <v>0.5355648535564853</v>
      </c>
      <c r="J290" t="n">
        <v>0.4760741722131744</v>
      </c>
      <c r="K290" t="n">
        <v>0.6677157174036119</v>
      </c>
      <c r="L290" t="b">
        <v>0</v>
      </c>
      <c r="N290" t="n">
        <v>0</v>
      </c>
      <c r="O290" t="n">
        <v>0</v>
      </c>
      <c r="P290" t="n">
        <v>0</v>
      </c>
      <c r="Q290" t="n">
        <v>0</v>
      </c>
      <c r="R290" t="n">
        <v>5.365571221136437</v>
      </c>
      <c r="S290" t="n">
        <v>5.764840182648383</v>
      </c>
      <c r="T290" t="n">
        <v>0.2853881278538894</v>
      </c>
      <c r="U290" t="n">
        <v>0.1589958158995816</v>
      </c>
      <c r="V290" t="n">
        <v>0.7336122733612274</v>
      </c>
      <c r="W290" t="n">
        <v>0.7140864714086471</v>
      </c>
      <c r="X290" t="n">
        <v>0.2698130356557168</v>
      </c>
      <c r="Y290" t="n">
        <v>7.954230384902692</v>
      </c>
      <c r="Z290" t="n">
        <v>0.4760741722131744</v>
      </c>
      <c r="AA290" t="n">
        <v>5.551115123125783e-17</v>
      </c>
    </row>
    <row r="291">
      <c r="A291" t="inlineStr">
        <is>
          <t>2022-07-22</t>
        </is>
      </c>
      <c r="B291" t="inlineStr">
        <is>
          <t>CW</t>
        </is>
      </c>
      <c r="C291" t="inlineStr">
        <is>
          <t>09:18</t>
        </is>
      </c>
      <c r="D291" t="n">
        <v>-13.17369997998724</v>
      </c>
      <c r="E291" t="n">
        <v>0.2722296335422499</v>
      </c>
      <c r="F291" t="n">
        <v>8.621044660978797</v>
      </c>
      <c r="G291" t="n">
        <v>0.4042553191489361</v>
      </c>
      <c r="H291" t="n">
        <v>0.6257822277847309</v>
      </c>
      <c r="I291" t="n">
        <v>0.2361692236169224</v>
      </c>
      <c r="J291" t="n">
        <v>0.4592488634968513</v>
      </c>
      <c r="K291" t="n">
        <v>0.6677157174036119</v>
      </c>
      <c r="L291" t="b">
        <v>0</v>
      </c>
      <c r="N291" t="n">
        <v>0</v>
      </c>
      <c r="O291" t="n">
        <v>0</v>
      </c>
      <c r="P291" t="n">
        <v>1</v>
      </c>
      <c r="Q291" t="n">
        <v>13.17369997998724</v>
      </c>
      <c r="R291" t="n">
        <v>6.81429982318756</v>
      </c>
      <c r="S291" t="n">
        <v>1.478886942985021</v>
      </c>
      <c r="T291" t="n">
        <v>0.1945903872348705</v>
      </c>
      <c r="U291" t="n">
        <v>0.297071129707113</v>
      </c>
      <c r="V291" t="n">
        <v>0.1297071129707113</v>
      </c>
      <c r="W291" t="n">
        <v>0.2817294281729428</v>
      </c>
      <c r="X291" t="n">
        <v>0.2722296335422498</v>
      </c>
      <c r="Y291" t="n">
        <v>8.621044660978798</v>
      </c>
      <c r="Z291" t="n">
        <v>0.4592488634968513</v>
      </c>
      <c r="AA291" t="n">
        <v>5.551115123125783e-17</v>
      </c>
    </row>
    <row r="292">
      <c r="A292" t="inlineStr">
        <is>
          <t>2022-07-25</t>
        </is>
      </c>
      <c r="B292" t="inlineStr">
        <is>
          <t>CW</t>
        </is>
      </c>
      <c r="C292" t="inlineStr">
        <is>
          <t>09:17</t>
        </is>
      </c>
      <c r="D292" t="n">
        <v>16.50828542975257</v>
      </c>
      <c r="E292" t="n">
        <v>0.3231144286750187</v>
      </c>
      <c r="F292" t="n">
        <v>9.203115284457413</v>
      </c>
      <c r="G292" t="n">
        <v>0.6933667083854819</v>
      </c>
      <c r="H292" t="n">
        <v>0.704630788485607</v>
      </c>
      <c r="I292" t="n">
        <v>0.2357043235704324</v>
      </c>
      <c r="J292" t="n">
        <v>0.6063398634625221</v>
      </c>
      <c r="K292" t="n">
        <v>0.6677157174036119</v>
      </c>
      <c r="L292" t="b">
        <v>0</v>
      </c>
      <c r="N292" t="n">
        <v>13.17369997998685</v>
      </c>
      <c r="O292" t="n">
        <v>1</v>
      </c>
      <c r="P292" t="n">
        <v>0</v>
      </c>
      <c r="Q292" t="n">
        <v>0</v>
      </c>
      <c r="R292" t="n">
        <v>9.562321455869192</v>
      </c>
      <c r="S292" t="n">
        <v>1.455389158405395</v>
      </c>
      <c r="T292" t="n">
        <v>0.1476481754904124</v>
      </c>
      <c r="U292" t="n">
        <v>0.4811715481171548</v>
      </c>
      <c r="V292" t="n">
        <v>0.1227336122733612</v>
      </c>
      <c r="W292" t="n">
        <v>0.103207810320781</v>
      </c>
      <c r="X292" t="n">
        <v>0.3231144286750187</v>
      </c>
      <c r="Y292" t="n">
        <v>9.203115284457413</v>
      </c>
      <c r="Z292" t="n">
        <v>0.6063398634625221</v>
      </c>
      <c r="AA292" t="n">
        <v>0</v>
      </c>
    </row>
    <row r="293">
      <c r="A293" t="inlineStr">
        <is>
          <t>2022-07-26</t>
        </is>
      </c>
      <c r="B293" t="inlineStr">
        <is>
          <t>CW</t>
        </is>
      </c>
      <c r="C293" t="inlineStr">
        <is>
          <t>09:17</t>
        </is>
      </c>
      <c r="D293" t="n">
        <v>24.24657713497002</v>
      </c>
      <c r="E293" t="n">
        <v>0.2832434968468754</v>
      </c>
      <c r="F293" t="n">
        <v>6.8033945084302</v>
      </c>
      <c r="G293" t="n">
        <v>0.4743429286608261</v>
      </c>
      <c r="H293" t="n">
        <v>0.3967459324155194</v>
      </c>
      <c r="I293" t="n">
        <v>0.2905625290562529</v>
      </c>
      <c r="J293" t="n">
        <v>0.4065480502417889</v>
      </c>
      <c r="K293" t="n">
        <v>0.6677157174036119</v>
      </c>
      <c r="L293" t="b">
        <v>0</v>
      </c>
      <c r="N293" t="n">
        <v>0</v>
      </c>
      <c r="O293" t="n">
        <v>0</v>
      </c>
      <c r="P293" t="n">
        <v>0</v>
      </c>
      <c r="Q293" t="n">
        <v>0</v>
      </c>
      <c r="R293" t="n">
        <v>6.332129223678764</v>
      </c>
      <c r="S293" t="n">
        <v>3.229908443540181</v>
      </c>
      <c r="T293" t="n">
        <v>0.1525940996948031</v>
      </c>
      <c r="U293" t="n">
        <v>0.2538354253835425</v>
      </c>
      <c r="V293" t="n">
        <v>0.502092050209205</v>
      </c>
      <c r="W293" t="n">
        <v>0.1157601115760112</v>
      </c>
      <c r="X293" t="n">
        <v>0.2832434968468754</v>
      </c>
      <c r="Y293" t="n">
        <v>6.8033945084302</v>
      </c>
      <c r="Z293" t="n">
        <v>0.4065480502417889</v>
      </c>
      <c r="AA293" t="n">
        <v>-5.551115123125783e-17</v>
      </c>
    </row>
    <row r="294">
      <c r="A294" t="inlineStr">
        <is>
          <t>2022-07-27</t>
        </is>
      </c>
      <c r="B294" t="inlineStr">
        <is>
          <t>CW</t>
        </is>
      </c>
      <c r="C294" t="inlineStr">
        <is>
          <t>09:17</t>
        </is>
      </c>
      <c r="D294" t="n">
        <v>-37.92464728055193</v>
      </c>
      <c r="E294" t="n">
        <v>0.3118228885425955</v>
      </c>
      <c r="F294" t="n">
        <v>9.784793805887565</v>
      </c>
      <c r="G294" t="n">
        <v>0.6245306633291614</v>
      </c>
      <c r="H294" t="n">
        <v>0.7634543178973717</v>
      </c>
      <c r="I294" t="n">
        <v>0.5392840539284053</v>
      </c>
      <c r="J294" t="n">
        <v>0.6630508032762944</v>
      </c>
      <c r="K294" t="n">
        <v>0.6677157174036119</v>
      </c>
      <c r="L294" t="b">
        <v>0</v>
      </c>
      <c r="N294" t="n">
        <v>0</v>
      </c>
      <c r="O294" t="n">
        <v>0</v>
      </c>
      <c r="P294" t="n">
        <v>1</v>
      </c>
      <c r="Q294" t="n">
        <v>37.92464728055193</v>
      </c>
      <c r="R294" t="n">
        <v>12.73263586783524</v>
      </c>
      <c r="S294" t="n">
        <v>2.637294446168167</v>
      </c>
      <c r="T294" t="n">
        <v>0.2482159478746545</v>
      </c>
      <c r="U294" t="n">
        <v>0.6248256624825662</v>
      </c>
      <c r="V294" t="n">
        <v>0.4142259414225942</v>
      </c>
      <c r="W294" t="n">
        <v>0.5788005578800558</v>
      </c>
      <c r="X294" t="n">
        <v>0.3118228885425955</v>
      </c>
      <c r="Y294" t="n">
        <v>9.784793805887565</v>
      </c>
      <c r="Z294" t="n">
        <v>0.6630508032762944</v>
      </c>
      <c r="AA294" t="n">
        <v>0</v>
      </c>
    </row>
    <row r="295">
      <c r="A295" t="inlineStr">
        <is>
          <t>2022-07-28</t>
        </is>
      </c>
      <c r="B295" t="inlineStr">
        <is>
          <t>CW</t>
        </is>
      </c>
      <c r="C295" t="inlineStr">
        <is>
          <t>09:17</t>
        </is>
      </c>
      <c r="D295" t="n">
        <v>21.09027443357955</v>
      </c>
      <c r="E295" t="n">
        <v>0.3157460507093855</v>
      </c>
      <c r="F295" t="n">
        <v>12.16162648575279</v>
      </c>
      <c r="G295" t="n">
        <v>0.6408010012515645</v>
      </c>
      <c r="H295" t="n">
        <v>0.9274092615769712</v>
      </c>
      <c r="I295" t="n">
        <v>0.2882380288238029</v>
      </c>
      <c r="J295" t="n">
        <v>0.684931710896175</v>
      </c>
      <c r="K295" t="n">
        <v>0.6677157174036119</v>
      </c>
      <c r="L295" t="b">
        <v>1</v>
      </c>
      <c r="M295" t="inlineStr">
        <is>
          <t>top_quartile_risk</t>
        </is>
      </c>
      <c r="N295" t="n">
        <v>37.92464728055165</v>
      </c>
      <c r="O295" t="n">
        <v>1</v>
      </c>
      <c r="P295" t="n">
        <v>0</v>
      </c>
      <c r="Q295" t="n">
        <v>0</v>
      </c>
      <c r="R295" t="n">
        <v>4.170849929840347</v>
      </c>
      <c r="S295" t="n">
        <v>4.769152714358182</v>
      </c>
      <c r="T295" t="n">
        <v>0.1522070015220613</v>
      </c>
      <c r="U295" t="n">
        <v>0.08228730822873083</v>
      </c>
      <c r="V295" t="n">
        <v>0.6694560669456067</v>
      </c>
      <c r="W295" t="n">
        <v>0.1129707112970711</v>
      </c>
      <c r="X295" t="n">
        <v>0.3157460507093855</v>
      </c>
      <c r="Y295" t="n">
        <v>12.16162648575279</v>
      </c>
      <c r="Z295" t="n">
        <v>0.684931710896175</v>
      </c>
      <c r="AA295" t="n">
        <v>0</v>
      </c>
    </row>
    <row r="296">
      <c r="A296" t="inlineStr">
        <is>
          <t>2022-08-02</t>
        </is>
      </c>
      <c r="B296" t="inlineStr">
        <is>
          <t>CW</t>
        </is>
      </c>
      <c r="C296" t="inlineStr">
        <is>
          <t>09:17</t>
        </is>
      </c>
      <c r="D296" t="n">
        <v>-8.550941443830069</v>
      </c>
      <c r="E296" t="n">
        <v>0.2823833857277313</v>
      </c>
      <c r="F296" t="n">
        <v>6.081917740446645</v>
      </c>
      <c r="G296" t="n">
        <v>0.4718397997496871</v>
      </c>
      <c r="H296" t="n">
        <v>0.2765957446808511</v>
      </c>
      <c r="I296" t="n">
        <v>0.3737796373779638</v>
      </c>
      <c r="J296" t="n">
        <v>0.3741301452478081</v>
      </c>
      <c r="K296" t="n">
        <v>0.6677157174036119</v>
      </c>
      <c r="L296" t="b">
        <v>0</v>
      </c>
      <c r="N296" t="n">
        <v>16.83437284697175</v>
      </c>
      <c r="O296" t="n">
        <v>0</v>
      </c>
      <c r="P296" t="n">
        <v>1</v>
      </c>
      <c r="Q296" t="n">
        <v>8.550941443830069</v>
      </c>
      <c r="R296" t="n">
        <v>9.436993593844113</v>
      </c>
      <c r="S296" t="n">
        <v>2.45133381398702</v>
      </c>
      <c r="T296" t="n">
        <v>0.192261475606828</v>
      </c>
      <c r="U296" t="n">
        <v>0.4728033472803347</v>
      </c>
      <c r="V296" t="n">
        <v>0.3779637377963738</v>
      </c>
      <c r="W296" t="n">
        <v>0.2705718270571827</v>
      </c>
      <c r="X296" t="n">
        <v>0.2823833857277313</v>
      </c>
      <c r="Y296" t="n">
        <v>6.081917740446645</v>
      </c>
      <c r="Z296" t="n">
        <v>0.3741301452478081</v>
      </c>
      <c r="AA296" t="n">
        <v>0</v>
      </c>
    </row>
    <row r="297">
      <c r="A297" t="inlineStr">
        <is>
          <t>2022-08-03</t>
        </is>
      </c>
      <c r="B297" t="inlineStr">
        <is>
          <t>CW</t>
        </is>
      </c>
      <c r="C297" t="inlineStr">
        <is>
          <t>09:17</t>
        </is>
      </c>
      <c r="D297" t="n">
        <v>10.44475669197766</v>
      </c>
      <c r="E297" t="n">
        <v>0.274320184400033</v>
      </c>
      <c r="F297" t="n">
        <v>9.27032413861088</v>
      </c>
      <c r="G297" t="n">
        <v>0.4167709637046308</v>
      </c>
      <c r="H297" t="n">
        <v>0.7121401752190237</v>
      </c>
      <c r="I297" t="n">
        <v>0.6229660622966062</v>
      </c>
      <c r="J297" t="n">
        <v>0.576157668028783</v>
      </c>
      <c r="K297" t="n">
        <v>0.6677157174036119</v>
      </c>
      <c r="L297" t="b">
        <v>0</v>
      </c>
      <c r="N297" t="n">
        <v>25.38531429080194</v>
      </c>
      <c r="O297" t="n">
        <v>1</v>
      </c>
      <c r="P297" t="n">
        <v>0</v>
      </c>
      <c r="Q297" t="n">
        <v>0</v>
      </c>
      <c r="R297" t="n">
        <v>19.20231233842048</v>
      </c>
      <c r="S297" t="n">
        <v>4.251126126126116</v>
      </c>
      <c r="T297" t="n">
        <v>0.2252252252252284</v>
      </c>
      <c r="U297" t="n">
        <v>0.7782426778242678</v>
      </c>
      <c r="V297" t="n">
        <v>0.6206415620641562</v>
      </c>
      <c r="W297" t="n">
        <v>0.4700139470013947</v>
      </c>
      <c r="X297" t="n">
        <v>0.274320184400033</v>
      </c>
      <c r="Y297" t="n">
        <v>9.270324138610878</v>
      </c>
      <c r="Z297" t="n">
        <v>0.576157668028783</v>
      </c>
      <c r="AA297" t="n">
        <v>0</v>
      </c>
    </row>
    <row r="298">
      <c r="A298" t="inlineStr">
        <is>
          <t>2022-08-04</t>
        </is>
      </c>
      <c r="B298" t="inlineStr">
        <is>
          <t>CW</t>
        </is>
      </c>
      <c r="C298" t="inlineStr">
        <is>
          <t>09:17</t>
        </is>
      </c>
      <c r="D298" t="n">
        <v>-44.69357518271498</v>
      </c>
      <c r="E298" t="n">
        <v>0.3157795000809276</v>
      </c>
      <c r="F298" t="n">
        <v>10.84482025530065</v>
      </c>
      <c r="G298" t="n">
        <v>0.6420525657071339</v>
      </c>
      <c r="H298" t="n">
        <v>0.8660826032540676</v>
      </c>
      <c r="I298" t="n">
        <v>0.3370525337052534</v>
      </c>
      <c r="J298" t="n">
        <v>0.6706645743255313</v>
      </c>
      <c r="K298" t="n">
        <v>0.6677157174036119</v>
      </c>
      <c r="L298" t="b">
        <v>1</v>
      </c>
      <c r="M298" t="inlineStr">
        <is>
          <t>top_quartile_risk</t>
        </is>
      </c>
      <c r="N298" t="n">
        <v>14.94055759882394</v>
      </c>
      <c r="O298" t="n">
        <v>0</v>
      </c>
      <c r="P298" t="n">
        <v>1</v>
      </c>
      <c r="Q298" t="n">
        <v>44.69357518271498</v>
      </c>
      <c r="R298" t="n">
        <v>2.947396132900562</v>
      </c>
      <c r="S298" t="n">
        <v>2.866698518872432</v>
      </c>
      <c r="T298" t="n">
        <v>0.2388915432393693</v>
      </c>
      <c r="U298" t="n">
        <v>0.02370990237099024</v>
      </c>
      <c r="V298" t="n">
        <v>0.4518828451882845</v>
      </c>
      <c r="W298" t="n">
        <v>0.5355648535564853</v>
      </c>
      <c r="X298" t="n">
        <v>0.3157795000809276</v>
      </c>
      <c r="Y298" t="n">
        <v>10.84482025530065</v>
      </c>
      <c r="Z298" t="n">
        <v>0.6706645743255313</v>
      </c>
      <c r="AA298" t="n">
        <v>0</v>
      </c>
    </row>
    <row r="299">
      <c r="A299" t="inlineStr">
        <is>
          <t>2022-08-10</t>
        </is>
      </c>
      <c r="B299" t="inlineStr">
        <is>
          <t>CW</t>
        </is>
      </c>
      <c r="C299" t="inlineStr">
        <is>
          <t>09:17</t>
        </is>
      </c>
      <c r="D299" t="n">
        <v>31.6384269286022</v>
      </c>
      <c r="E299" t="n">
        <v>0.283284450584341</v>
      </c>
      <c r="F299" t="n">
        <v>9.731043624633909</v>
      </c>
      <c r="G299" t="n">
        <v>0.4755944931163955</v>
      </c>
      <c r="H299" t="n">
        <v>0.7559449311639549</v>
      </c>
      <c r="I299" t="n">
        <v>0.4879125987912598</v>
      </c>
      <c r="J299" t="n">
        <v>0.5901982894703921</v>
      </c>
      <c r="K299" t="n">
        <v>0.6677157174036119</v>
      </c>
      <c r="L299" t="b">
        <v>0</v>
      </c>
      <c r="N299" t="n">
        <v>59.63413278153894</v>
      </c>
      <c r="O299" t="n">
        <v>1</v>
      </c>
      <c r="P299" t="n">
        <v>0</v>
      </c>
      <c r="Q299" t="n">
        <v>0</v>
      </c>
      <c r="R299" t="n">
        <v>18.33122990560398</v>
      </c>
      <c r="S299" t="n">
        <v>2.399595857539769</v>
      </c>
      <c r="T299" t="n">
        <v>0.2020712301086161</v>
      </c>
      <c r="U299" t="n">
        <v>0.7684797768479776</v>
      </c>
      <c r="V299" t="n">
        <v>0.3695955369595537</v>
      </c>
      <c r="W299" t="n">
        <v>0.3256624825662482</v>
      </c>
      <c r="X299" t="n">
        <v>0.2832844505843411</v>
      </c>
      <c r="Y299" t="n">
        <v>9.73104362463391</v>
      </c>
      <c r="Z299" t="n">
        <v>0.5901982894703921</v>
      </c>
      <c r="AA299" t="n">
        <v>0</v>
      </c>
    </row>
    <row r="300">
      <c r="A300" t="inlineStr">
        <is>
          <t>2022-08-11</t>
        </is>
      </c>
      <c r="B300" t="inlineStr">
        <is>
          <t>NW</t>
        </is>
      </c>
      <c r="C300" t="inlineStr">
        <is>
          <t>NW</t>
        </is>
      </c>
      <c r="D300" t="n">
        <v>34.06085589782676</v>
      </c>
      <c r="E300" t="n">
        <v>0.3497503760615693</v>
      </c>
      <c r="F300" t="n">
        <v>10.83988480722608</v>
      </c>
      <c r="G300" t="n">
        <v>0.8147684605757196</v>
      </c>
      <c r="H300" t="n">
        <v>0.8635794743429287</v>
      </c>
      <c r="I300" t="n">
        <v>0.5</v>
      </c>
      <c r="J300" t="n">
        <v>0.7713391739674593</v>
      </c>
      <c r="K300" t="n">
        <v>0.6677157174036119</v>
      </c>
      <c r="L300" t="b">
        <v>1</v>
      </c>
      <c r="M300" t="inlineStr">
        <is>
          <t>top_quartile_risk</t>
        </is>
      </c>
      <c r="N300" t="n">
        <v>27.99570585293714</v>
      </c>
      <c r="O300" t="n">
        <v>0</v>
      </c>
      <c r="P300" t="n">
        <v>0</v>
      </c>
      <c r="Q300" t="n">
        <v>0</v>
      </c>
      <c r="U300" t="n">
        <v>0.5</v>
      </c>
      <c r="V300" t="n">
        <v>0.5</v>
      </c>
      <c r="W300" t="n">
        <v>0.5</v>
      </c>
      <c r="X300" t="n">
        <v>0.3497503760615693</v>
      </c>
      <c r="Y300" t="n">
        <v>10.83988480722607</v>
      </c>
      <c r="Z300" t="n">
        <v>0.7713391739674593</v>
      </c>
      <c r="AA300" t="n">
        <v>0</v>
      </c>
    </row>
    <row r="301">
      <c r="A301" t="inlineStr">
        <is>
          <t>2022-08-16</t>
        </is>
      </c>
      <c r="B301" t="inlineStr">
        <is>
          <t>CW</t>
        </is>
      </c>
      <c r="C301" t="inlineStr">
        <is>
          <t>09:17</t>
        </is>
      </c>
      <c r="D301" t="n">
        <v>34.6586398022528</v>
      </c>
      <c r="E301" t="n">
        <v>0.2756796830241527</v>
      </c>
      <c r="F301" t="n">
        <v>7.462717904779876</v>
      </c>
      <c r="G301" t="n">
        <v>0.4305381727158949</v>
      </c>
      <c r="H301" t="n">
        <v>0.476846057571965</v>
      </c>
      <c r="I301" t="n">
        <v>0.2631334263133426</v>
      </c>
      <c r="J301" t="n">
        <v>0.4155803773778125</v>
      </c>
      <c r="K301" t="n">
        <v>0.6677157174036119</v>
      </c>
      <c r="L301" t="b">
        <v>0</v>
      </c>
      <c r="N301" t="n">
        <v>0</v>
      </c>
      <c r="O301" t="n">
        <v>0</v>
      </c>
      <c r="P301" t="n">
        <v>0</v>
      </c>
      <c r="Q301" t="n">
        <v>0</v>
      </c>
      <c r="R301" t="n">
        <v>7.004140600385418</v>
      </c>
      <c r="S301" t="n">
        <v>2.267140125648717</v>
      </c>
      <c r="T301" t="n">
        <v>0.163889647637256</v>
      </c>
      <c r="U301" t="n">
        <v>0.3124128312412831</v>
      </c>
      <c r="V301" t="n">
        <v>0.3263598326359833</v>
      </c>
      <c r="W301" t="n">
        <v>0.1506276150627615</v>
      </c>
      <c r="X301" t="n">
        <v>0.2756796830241527</v>
      </c>
      <c r="Y301" t="n">
        <v>7.462717904779877</v>
      </c>
      <c r="Z301" t="n">
        <v>0.4155803773778125</v>
      </c>
      <c r="AA301" t="n">
        <v>0</v>
      </c>
    </row>
    <row r="302">
      <c r="A302" t="inlineStr">
        <is>
          <t>2022-08-18</t>
        </is>
      </c>
      <c r="B302" t="inlineStr">
        <is>
          <t>CW</t>
        </is>
      </c>
      <c r="C302" t="inlineStr">
        <is>
          <t>09:16</t>
        </is>
      </c>
      <c r="D302" t="n">
        <v>23.82807477828487</v>
      </c>
      <c r="E302" t="n">
        <v>0.2047502530443753</v>
      </c>
      <c r="F302" t="n">
        <v>6.25239801482083</v>
      </c>
      <c r="G302" t="n">
        <v>0.1101376720901126</v>
      </c>
      <c r="H302" t="n">
        <v>0.3028785982478098</v>
      </c>
      <c r="I302" t="n">
        <v>0.7921896792189681</v>
      </c>
      <c r="J302" t="n">
        <v>0.3236444439789626</v>
      </c>
      <c r="K302" t="n">
        <v>0.6677157174036119</v>
      </c>
      <c r="L302" t="b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14.5526661266441</v>
      </c>
      <c r="S302" t="n">
        <v>31.63716814159291</v>
      </c>
      <c r="T302" t="n">
        <v>0.2765486725663716</v>
      </c>
      <c r="U302" t="n">
        <v>0.697350069735007</v>
      </c>
      <c r="V302" t="n">
        <v>0.99302649930265</v>
      </c>
      <c r="W302" t="n">
        <v>0.6861924686192469</v>
      </c>
      <c r="X302" t="n">
        <v>0.2047502530443753</v>
      </c>
      <c r="Y302" t="n">
        <v>6.252398014820828</v>
      </c>
      <c r="Z302" t="n">
        <v>0.3236444439789626</v>
      </c>
      <c r="AA302" t="n">
        <v>5.551115123125783e-17</v>
      </c>
    </row>
    <row r="303">
      <c r="A303" t="inlineStr">
        <is>
          <t>2022-08-19</t>
        </is>
      </c>
      <c r="B303" t="inlineStr">
        <is>
          <t>CW</t>
        </is>
      </c>
      <c r="C303" t="inlineStr">
        <is>
          <t>09:18</t>
        </is>
      </c>
      <c r="D303" t="n">
        <v>-37.9882064273962</v>
      </c>
      <c r="E303" t="n">
        <v>0.2925746686655228</v>
      </c>
      <c r="F303" t="n">
        <v>7.676467684874474</v>
      </c>
      <c r="G303" t="n">
        <v>0.5394242803504381</v>
      </c>
      <c r="H303" t="n">
        <v>0.5106382978723404</v>
      </c>
      <c r="I303" t="n">
        <v>0.2575546257554626</v>
      </c>
      <c r="J303" t="n">
        <v>0.4715359564402039</v>
      </c>
      <c r="K303" t="n">
        <v>0.6677157174036119</v>
      </c>
      <c r="L303" t="b">
        <v>0</v>
      </c>
      <c r="N303" t="n">
        <v>0</v>
      </c>
      <c r="O303" t="n">
        <v>0</v>
      </c>
      <c r="P303" t="n">
        <v>1</v>
      </c>
      <c r="Q303" t="n">
        <v>37.9882064273962</v>
      </c>
      <c r="R303" t="n">
        <v>9.602190969485273</v>
      </c>
      <c r="S303" t="n">
        <v>1.546286876907431</v>
      </c>
      <c r="T303" t="n">
        <v>0.1627670396744682</v>
      </c>
      <c r="U303" t="n">
        <v>0.4839609483960948</v>
      </c>
      <c r="V303" t="n">
        <v>0.1450488145048814</v>
      </c>
      <c r="W303" t="n">
        <v>0.1436541143654114</v>
      </c>
      <c r="X303" t="n">
        <v>0.2925746686655229</v>
      </c>
      <c r="Y303" t="n">
        <v>7.676467684874476</v>
      </c>
      <c r="Z303" t="n">
        <v>0.4715359564402039</v>
      </c>
      <c r="AA303" t="n">
        <v>0</v>
      </c>
    </row>
    <row r="304">
      <c r="A304" t="inlineStr">
        <is>
          <t>2022-08-23</t>
        </is>
      </c>
      <c r="B304" t="inlineStr">
        <is>
          <t>CW</t>
        </is>
      </c>
      <c r="C304" t="inlineStr">
        <is>
          <t>09:20+</t>
        </is>
      </c>
      <c r="D304" t="n">
        <v>-37.25309318314904</v>
      </c>
      <c r="E304" t="n">
        <v>0.260672462783013</v>
      </c>
      <c r="F304" t="n">
        <v>5.908571687540142</v>
      </c>
      <c r="G304" t="n">
        <v>0.3354192740926158</v>
      </c>
      <c r="H304" t="n">
        <v>0.2515644555694618</v>
      </c>
      <c r="I304" t="n">
        <v>0.5932124593212459</v>
      </c>
      <c r="J304" t="n">
        <v>0.3534359837290802</v>
      </c>
      <c r="K304" t="n">
        <v>0.6677157174036119</v>
      </c>
      <c r="L304" t="b">
        <v>0</v>
      </c>
      <c r="N304" t="n">
        <v>37.98820642739611</v>
      </c>
      <c r="O304" t="n">
        <v>1</v>
      </c>
      <c r="P304" t="n">
        <v>1</v>
      </c>
      <c r="Q304" t="n">
        <v>37.25309318314904</v>
      </c>
      <c r="R304" t="n">
        <v>14.55220460170585</v>
      </c>
      <c r="S304" t="n">
        <v>8.246197718631189</v>
      </c>
      <c r="T304" t="n">
        <v>0.1901140684410538</v>
      </c>
      <c r="U304" t="n">
        <v>0.6959553695955369</v>
      </c>
      <c r="V304" t="n">
        <v>0.8312412831241283</v>
      </c>
      <c r="W304" t="n">
        <v>0.2524407252440725</v>
      </c>
      <c r="X304" t="n">
        <v>0.260672462783013</v>
      </c>
      <c r="Y304" t="n">
        <v>5.908571687540142</v>
      </c>
      <c r="Z304" t="n">
        <v>0.3534359837290802</v>
      </c>
      <c r="AA304" t="n">
        <v>5.551115123125783e-17</v>
      </c>
    </row>
    <row r="305">
      <c r="A305" t="inlineStr">
        <is>
          <t>2022-08-24</t>
        </is>
      </c>
      <c r="B305" t="inlineStr">
        <is>
          <t>CW</t>
        </is>
      </c>
      <c r="C305" t="inlineStr">
        <is>
          <t>09:17</t>
        </is>
      </c>
      <c r="D305" t="n">
        <v>27.08971419090011</v>
      </c>
      <c r="E305" t="n">
        <v>0.2365461838365749</v>
      </c>
      <c r="F305" t="n">
        <v>5.918970956099741</v>
      </c>
      <c r="G305" t="n">
        <v>0.2077596996245307</v>
      </c>
      <c r="H305" t="n">
        <v>0.2553191489361702</v>
      </c>
      <c r="I305" t="n">
        <v>0.6359832635983264</v>
      </c>
      <c r="J305" t="n">
        <v>0.3124281921439456</v>
      </c>
      <c r="K305" t="n">
        <v>0.6677157174036119</v>
      </c>
      <c r="L305" t="b">
        <v>0</v>
      </c>
      <c r="N305" t="n">
        <v>75.24129961054496</v>
      </c>
      <c r="O305" t="n">
        <v>2</v>
      </c>
      <c r="P305" t="n">
        <v>0</v>
      </c>
      <c r="Q305" t="n">
        <v>0</v>
      </c>
      <c r="R305" t="n">
        <v>12.36195813416845</v>
      </c>
      <c r="S305" t="n">
        <v>6.477611940298504</v>
      </c>
      <c r="T305" t="n">
        <v>0.2388059701492571</v>
      </c>
      <c r="U305" t="n">
        <v>0.6122733612273361</v>
      </c>
      <c r="V305" t="n">
        <v>0.7615062761506276</v>
      </c>
      <c r="W305" t="n">
        <v>0.5341701534170153</v>
      </c>
      <c r="X305" t="n">
        <v>0.2365461838365749</v>
      </c>
      <c r="Y305" t="n">
        <v>5.918970956099741</v>
      </c>
      <c r="Z305" t="n">
        <v>0.3124281921439456</v>
      </c>
      <c r="AA305" t="n">
        <v>-5.551115123125783e-17</v>
      </c>
    </row>
    <row r="306">
      <c r="A306" t="inlineStr">
        <is>
          <t>2022-08-25</t>
        </is>
      </c>
      <c r="B306" t="inlineStr">
        <is>
          <t>CW</t>
        </is>
      </c>
      <c r="C306" t="inlineStr">
        <is>
          <t>09:17</t>
        </is>
      </c>
      <c r="D306" t="n">
        <v>-1.147166259698407</v>
      </c>
      <c r="E306" t="n">
        <v>0.2595201854278152</v>
      </c>
      <c r="F306" t="n">
        <v>8.39009659355423</v>
      </c>
      <c r="G306" t="n">
        <v>0.3304130162703379</v>
      </c>
      <c r="H306" t="n">
        <v>0.5932415519399249</v>
      </c>
      <c r="I306" t="n">
        <v>0.592282659228266</v>
      </c>
      <c r="J306" t="n">
        <v>0.4879183591297583</v>
      </c>
      <c r="K306" t="n">
        <v>0.6677157174036119</v>
      </c>
      <c r="L306" t="b">
        <v>0</v>
      </c>
      <c r="N306" t="n">
        <v>48.15158541964502</v>
      </c>
      <c r="O306" t="n">
        <v>0</v>
      </c>
      <c r="P306" t="n">
        <v>1</v>
      </c>
      <c r="Q306" t="n">
        <v>1.147166259698407</v>
      </c>
      <c r="R306" t="n">
        <v>6.424152549567031</v>
      </c>
      <c r="S306" t="n">
        <v>4.53091684434968</v>
      </c>
      <c r="T306" t="n">
        <v>0.3731343283582105</v>
      </c>
      <c r="U306" t="n">
        <v>0.2705718270571827</v>
      </c>
      <c r="V306" t="n">
        <v>0.6471408647140865</v>
      </c>
      <c r="W306" t="n">
        <v>0.8591352859135286</v>
      </c>
      <c r="X306" t="n">
        <v>0.2595201854278152</v>
      </c>
      <c r="Y306" t="n">
        <v>8.390096593554228</v>
      </c>
      <c r="Z306" t="n">
        <v>0.4879183591297583</v>
      </c>
      <c r="AA306" t="n">
        <v>5.551115123125783e-17</v>
      </c>
    </row>
    <row r="307">
      <c r="A307" t="inlineStr">
        <is>
          <t>2022-08-29</t>
        </is>
      </c>
      <c r="B307" t="inlineStr">
        <is>
          <t>CW</t>
        </is>
      </c>
      <c r="C307" t="inlineStr">
        <is>
          <t>09:17</t>
        </is>
      </c>
      <c r="D307" t="n">
        <v>42.60663887885777</v>
      </c>
      <c r="E307" t="n">
        <v>0.2668841052689706</v>
      </c>
      <c r="F307" t="n">
        <v>4.211172559052601</v>
      </c>
      <c r="G307" t="n">
        <v>0.3779724655819774</v>
      </c>
      <c r="H307" t="n">
        <v>0.06633291614518148</v>
      </c>
      <c r="I307" t="n">
        <v>0.5648535564853556</v>
      </c>
      <c r="J307" t="n">
        <v>0.2906928639879347</v>
      </c>
      <c r="K307" t="n">
        <v>0.6677157174036119</v>
      </c>
      <c r="L307" t="b">
        <v>0</v>
      </c>
      <c r="N307" t="n">
        <v>49.2987516793437</v>
      </c>
      <c r="O307" t="n">
        <v>1</v>
      </c>
      <c r="P307" t="n">
        <v>0</v>
      </c>
      <c r="Q307" t="n">
        <v>0</v>
      </c>
      <c r="R307" t="n">
        <v>20.98050440387307</v>
      </c>
      <c r="S307" t="n">
        <v>5.290278254895217</v>
      </c>
      <c r="T307" t="n">
        <v>0.1717622810030917</v>
      </c>
      <c r="U307" t="n">
        <v>0.8089260808926081</v>
      </c>
      <c r="V307" t="n">
        <v>0.708507670850767</v>
      </c>
      <c r="W307" t="n">
        <v>0.1771269177126918</v>
      </c>
      <c r="X307" t="n">
        <v>0.2668841052689706</v>
      </c>
      <c r="Y307" t="n">
        <v>4.211172559052597</v>
      </c>
      <c r="Z307" t="n">
        <v>0.2906928639879347</v>
      </c>
      <c r="AA307" t="n">
        <v>0</v>
      </c>
    </row>
    <row r="308">
      <c r="A308" t="inlineStr">
        <is>
          <t>2022-09-01</t>
        </is>
      </c>
      <c r="B308" t="inlineStr">
        <is>
          <t>CW</t>
        </is>
      </c>
      <c r="C308" t="inlineStr">
        <is>
          <t>09:16</t>
        </is>
      </c>
      <c r="D308" t="n">
        <v>68.85454544565791</v>
      </c>
      <c r="E308" t="n">
        <v>0.1546188123451306</v>
      </c>
      <c r="F308" t="n">
        <v>3.754309545544223</v>
      </c>
      <c r="G308" t="n">
        <v>0.02878598247809762</v>
      </c>
      <c r="H308" t="n">
        <v>0.04130162703379224</v>
      </c>
      <c r="I308" t="n">
        <v>0.9655973965597396</v>
      </c>
      <c r="J308" t="n">
        <v>0.2211545231167039</v>
      </c>
      <c r="K308" t="n">
        <v>0.6677157174036119</v>
      </c>
      <c r="L308" t="b">
        <v>0</v>
      </c>
      <c r="N308" t="n">
        <v>6.692112800486029</v>
      </c>
      <c r="O308" t="n">
        <v>0</v>
      </c>
      <c r="P308" t="n">
        <v>0</v>
      </c>
      <c r="Q308" t="n">
        <v>0</v>
      </c>
      <c r="R308" t="n">
        <v>43.92895068740492</v>
      </c>
      <c r="S308" t="n">
        <v>39.52569169960472</v>
      </c>
      <c r="T308" t="n">
        <v>0.4611330698287238</v>
      </c>
      <c r="U308" t="n">
        <v>0.9665271966527197</v>
      </c>
      <c r="V308" t="n">
        <v>0.99860529986053</v>
      </c>
      <c r="W308" t="n">
        <v>0.9316596931659693</v>
      </c>
      <c r="X308" t="n">
        <v>0.1546188123451306</v>
      </c>
      <c r="Y308" t="n">
        <v>3.754309545544221</v>
      </c>
      <c r="Z308" t="n">
        <v>0.2211545231167039</v>
      </c>
      <c r="AA308" t="n">
        <v>0</v>
      </c>
    </row>
    <row r="309">
      <c r="A309" t="inlineStr">
        <is>
          <t>2022-09-06</t>
        </is>
      </c>
      <c r="B309" t="inlineStr">
        <is>
          <t>CW</t>
        </is>
      </c>
      <c r="C309" t="inlineStr">
        <is>
          <t>09:17</t>
        </is>
      </c>
      <c r="D309" t="n">
        <v>-39.52145503213139</v>
      </c>
      <c r="E309" t="n">
        <v>0.3132374268207209</v>
      </c>
      <c r="F309" t="n">
        <v>8.471594757777062</v>
      </c>
      <c r="G309" t="n">
        <v>0.6320400500625782</v>
      </c>
      <c r="H309" t="n">
        <v>0.5982478097622027</v>
      </c>
      <c r="I309" t="n">
        <v>0.3444909344490935</v>
      </c>
      <c r="J309" t="n">
        <v>0.5610133308197311</v>
      </c>
      <c r="K309" t="n">
        <v>0.6677157174036119</v>
      </c>
      <c r="L309" t="b">
        <v>0</v>
      </c>
      <c r="N309" t="n">
        <v>0</v>
      </c>
      <c r="O309" t="n">
        <v>0</v>
      </c>
      <c r="P309" t="n">
        <v>1</v>
      </c>
      <c r="Q309" t="n">
        <v>39.52145503213139</v>
      </c>
      <c r="R309" t="n">
        <v>9.15877368247518</v>
      </c>
      <c r="S309" t="n">
        <v>3.745819397993313</v>
      </c>
      <c r="T309" t="n">
        <v>0.08918617614269279</v>
      </c>
      <c r="U309" t="n">
        <v>0.4560669456066946</v>
      </c>
      <c r="V309" t="n">
        <v>0.5648535564853556</v>
      </c>
      <c r="W309" t="n">
        <v>0.01255230125523013</v>
      </c>
      <c r="X309" t="n">
        <v>0.3132374268207208</v>
      </c>
      <c r="Y309" t="n">
        <v>8.471594757777064</v>
      </c>
      <c r="Z309" t="n">
        <v>0.5610133308197311</v>
      </c>
      <c r="AA309" t="n">
        <v>0</v>
      </c>
    </row>
    <row r="310">
      <c r="A310" t="inlineStr">
        <is>
          <t>2022-09-07</t>
        </is>
      </c>
      <c r="B310" t="inlineStr">
        <is>
          <t>CW</t>
        </is>
      </c>
      <c r="C310" t="inlineStr">
        <is>
          <t>09:17</t>
        </is>
      </c>
      <c r="D310" t="n">
        <v>7.710178415334435</v>
      </c>
      <c r="E310" t="n">
        <v>0.3168589578935184</v>
      </c>
      <c r="F310" t="n">
        <v>8.498286030371631</v>
      </c>
      <c r="G310" t="n">
        <v>0.6508135168961201</v>
      </c>
      <c r="H310" t="n">
        <v>0.6032540675844806</v>
      </c>
      <c r="I310" t="n">
        <v>0.4444444444444444</v>
      </c>
      <c r="J310" t="n">
        <v>0.5905159226811293</v>
      </c>
      <c r="K310" t="n">
        <v>0.6677157174036119</v>
      </c>
      <c r="L310" t="b">
        <v>0</v>
      </c>
      <c r="N310" t="n">
        <v>39.5214550321316</v>
      </c>
      <c r="O310" t="n">
        <v>1</v>
      </c>
      <c r="P310" t="n">
        <v>0</v>
      </c>
      <c r="Q310" t="n">
        <v>0</v>
      </c>
      <c r="R310" t="n">
        <v>13.06846391334742</v>
      </c>
      <c r="S310" t="n">
        <v>4.407370517928298</v>
      </c>
      <c r="T310" t="n">
        <v>0.1245019920318725</v>
      </c>
      <c r="U310" t="n">
        <v>0.6443514644351465</v>
      </c>
      <c r="V310" t="n">
        <v>0.6387726638772664</v>
      </c>
      <c r="W310" t="n">
        <v>0.0502092050209205</v>
      </c>
      <c r="X310" t="n">
        <v>0.3168589578935184</v>
      </c>
      <c r="Y310" t="n">
        <v>8.498286030371631</v>
      </c>
      <c r="Z310" t="n">
        <v>0.5905159226811293</v>
      </c>
      <c r="AA310" t="n">
        <v>0</v>
      </c>
    </row>
    <row r="311">
      <c r="A311" t="inlineStr">
        <is>
          <t>2022-09-08</t>
        </is>
      </c>
      <c r="B311" t="inlineStr">
        <is>
          <t>CW</t>
        </is>
      </c>
      <c r="C311" t="inlineStr">
        <is>
          <t>09:18</t>
        </is>
      </c>
      <c r="D311" t="n">
        <v>29.2747806640842</v>
      </c>
      <c r="E311" t="n">
        <v>0.2986510695769634</v>
      </c>
      <c r="F311" t="n">
        <v>8.756834741335153</v>
      </c>
      <c r="G311" t="n">
        <v>0.5607008760951189</v>
      </c>
      <c r="H311" t="n">
        <v>0.6445556946182729</v>
      </c>
      <c r="I311" t="n">
        <v>0.4244537424453743</v>
      </c>
      <c r="J311" t="n">
        <v>0.5669933767744315</v>
      </c>
      <c r="K311" t="n">
        <v>0.6677157174036119</v>
      </c>
      <c r="L311" t="b">
        <v>0</v>
      </c>
      <c r="N311" t="n">
        <v>31.81127661679693</v>
      </c>
      <c r="O311" t="n">
        <v>0</v>
      </c>
      <c r="P311" t="n">
        <v>0</v>
      </c>
      <c r="Q311" t="n">
        <v>0</v>
      </c>
      <c r="R311" t="n">
        <v>6.708155764503041</v>
      </c>
      <c r="S311" t="n">
        <v>1.965484180249278</v>
      </c>
      <c r="T311" t="n">
        <v>0.2876318312559964</v>
      </c>
      <c r="U311" t="n">
        <v>0.2914923291492329</v>
      </c>
      <c r="V311" t="n">
        <v>0.2608089260808926</v>
      </c>
      <c r="W311" t="n">
        <v>0.7210599721059973</v>
      </c>
      <c r="X311" t="n">
        <v>0.2986510695769634</v>
      </c>
      <c r="Y311" t="n">
        <v>8.756834741335155</v>
      </c>
      <c r="Z311" t="n">
        <v>0.5669933767744315</v>
      </c>
      <c r="AA311" t="n">
        <v>0</v>
      </c>
    </row>
    <row r="312">
      <c r="A312" t="inlineStr">
        <is>
          <t>2022-09-12</t>
        </is>
      </c>
      <c r="B312" t="inlineStr">
        <is>
          <t>CW</t>
        </is>
      </c>
      <c r="C312" t="inlineStr">
        <is>
          <t>09:17</t>
        </is>
      </c>
      <c r="D312" t="n">
        <v>1.785482734302561</v>
      </c>
      <c r="E312" t="n">
        <v>0.2934416476329883</v>
      </c>
      <c r="F312" t="n">
        <v>8.089715673666348</v>
      </c>
      <c r="G312" t="n">
        <v>0.5431789737171464</v>
      </c>
      <c r="H312" t="n">
        <v>0.5531914893617021</v>
      </c>
      <c r="I312" t="n">
        <v>0.2603440260344026</v>
      </c>
      <c r="J312" t="n">
        <v>0.4906169904384199</v>
      </c>
      <c r="K312" t="n">
        <v>0.6677157174036119</v>
      </c>
      <c r="L312" t="b">
        <v>0</v>
      </c>
      <c r="N312" t="n">
        <v>2.536495952712357</v>
      </c>
      <c r="O312" t="n">
        <v>0</v>
      </c>
      <c r="P312" t="n">
        <v>0</v>
      </c>
      <c r="Q312" t="n">
        <v>0</v>
      </c>
      <c r="R312" t="n">
        <v>7.038044540768814</v>
      </c>
      <c r="S312" t="n">
        <v>2.390852390852391</v>
      </c>
      <c r="T312" t="n">
        <v>0.1455301455301431</v>
      </c>
      <c r="U312" t="n">
        <v>0.3179916317991632</v>
      </c>
      <c r="V312" t="n">
        <v>0.3668061366806137</v>
      </c>
      <c r="W312" t="n">
        <v>0.09623430962343096</v>
      </c>
      <c r="X312" t="n">
        <v>0.2934416476329883</v>
      </c>
      <c r="Y312" t="n">
        <v>8.089715673666348</v>
      </c>
      <c r="Z312" t="n">
        <v>0.4906169904384199</v>
      </c>
      <c r="AA312" t="n">
        <v>5.551115123125783e-17</v>
      </c>
    </row>
    <row r="313">
      <c r="A313" t="inlineStr">
        <is>
          <t>2022-09-13</t>
        </is>
      </c>
      <c r="B313" t="inlineStr">
        <is>
          <t>CW</t>
        </is>
      </c>
      <c r="C313" t="inlineStr">
        <is>
          <t>09:17</t>
        </is>
      </c>
      <c r="D313" t="n">
        <v>2.621207742998661</v>
      </c>
      <c r="E313" t="n">
        <v>0.2312781916171792</v>
      </c>
      <c r="F313" t="n">
        <v>6.174612294644605</v>
      </c>
      <c r="G313" t="n">
        <v>0.1777221526908636</v>
      </c>
      <c r="H313" t="n">
        <v>0.2903629536921151</v>
      </c>
      <c r="I313" t="n">
        <v>0.4988377498837751</v>
      </c>
      <c r="J313" t="n">
        <v>0.2870015925299465</v>
      </c>
      <c r="K313" t="n">
        <v>0.6677157174036119</v>
      </c>
      <c r="L313" t="b">
        <v>0</v>
      </c>
      <c r="N313" t="n">
        <v>0.7510132184097529</v>
      </c>
      <c r="O313" t="n">
        <v>0</v>
      </c>
      <c r="P313" t="n">
        <v>0</v>
      </c>
      <c r="Q313" t="n">
        <v>0</v>
      </c>
      <c r="R313" t="n">
        <v>6.267645084890135</v>
      </c>
      <c r="S313" t="n">
        <v>3.825000000000003</v>
      </c>
      <c r="T313" t="n">
        <v>0.2749999999999986</v>
      </c>
      <c r="U313" t="n">
        <v>0.2468619246861925</v>
      </c>
      <c r="V313" t="n">
        <v>0.5718270571827058</v>
      </c>
      <c r="W313" t="n">
        <v>0.6778242677824268</v>
      </c>
      <c r="X313" t="n">
        <v>0.2312781916171792</v>
      </c>
      <c r="Y313" t="n">
        <v>6.174612294644608</v>
      </c>
      <c r="Z313" t="n">
        <v>0.2870015925299465</v>
      </c>
      <c r="AA313" t="n">
        <v>0</v>
      </c>
    </row>
    <row r="314">
      <c r="A314" t="inlineStr">
        <is>
          <t>2022-09-14</t>
        </is>
      </c>
      <c r="B314" t="inlineStr">
        <is>
          <t>CW</t>
        </is>
      </c>
      <c r="C314" t="inlineStr">
        <is>
          <t>09:18</t>
        </is>
      </c>
      <c r="D314" t="n">
        <v>-37.18514627007364</v>
      </c>
      <c r="E314" t="n">
        <v>0.3564722545634744</v>
      </c>
      <c r="F314" t="n">
        <v>6.572362620574795</v>
      </c>
      <c r="G314" t="n">
        <v>0.8322903629536921</v>
      </c>
      <c r="H314" t="n">
        <v>0.3579474342928661</v>
      </c>
      <c r="I314" t="n">
        <v>0.1822408182240819</v>
      </c>
      <c r="J314" t="n">
        <v>0.5125432825434396</v>
      </c>
      <c r="K314" t="n">
        <v>0.6677157174036119</v>
      </c>
      <c r="L314" t="b">
        <v>0</v>
      </c>
      <c r="N314" t="n">
        <v>0</v>
      </c>
      <c r="O314" t="n">
        <v>0</v>
      </c>
      <c r="P314" t="n">
        <v>1</v>
      </c>
      <c r="Q314" t="n">
        <v>37.18514627007364</v>
      </c>
      <c r="R314" t="n">
        <v>6.289308176100628</v>
      </c>
      <c r="S314" t="n">
        <v>1.577801958650695</v>
      </c>
      <c r="T314" t="n">
        <v>0.1632208922742018</v>
      </c>
      <c r="U314" t="n">
        <v>0.2482566248256625</v>
      </c>
      <c r="V314" t="n">
        <v>0.1506276150627615</v>
      </c>
      <c r="W314" t="n">
        <v>0.1478382147838215</v>
      </c>
      <c r="X314" t="n">
        <v>0.3564722545634744</v>
      </c>
      <c r="Y314" t="n">
        <v>6.572362620574793</v>
      </c>
      <c r="Z314" t="n">
        <v>0.5125432825434396</v>
      </c>
      <c r="AA314" t="n">
        <v>0</v>
      </c>
    </row>
    <row r="315">
      <c r="A315" t="inlineStr">
        <is>
          <t>2022-09-15</t>
        </is>
      </c>
      <c r="B315" t="inlineStr">
        <is>
          <t>NW</t>
        </is>
      </c>
      <c r="C315" t="inlineStr">
        <is>
          <t>NW</t>
        </is>
      </c>
      <c r="D315" t="n">
        <v>-43.88092432169948</v>
      </c>
      <c r="E315" t="n">
        <v>0.3628176138753563</v>
      </c>
      <c r="F315" t="n">
        <v>11.05938769650006</v>
      </c>
      <c r="G315" t="n">
        <v>0.851063829787234</v>
      </c>
      <c r="H315" t="n">
        <v>0.886107634543179</v>
      </c>
      <c r="I315" t="n">
        <v>0.5</v>
      </c>
      <c r="J315" t="n">
        <v>0.7948685857321652</v>
      </c>
      <c r="K315" t="n">
        <v>0.6677157174036119</v>
      </c>
      <c r="L315" t="b">
        <v>1</v>
      </c>
      <c r="M315" t="inlineStr">
        <is>
          <t>top_quartile_risk</t>
        </is>
      </c>
      <c r="N315" t="n">
        <v>37.18514627007335</v>
      </c>
      <c r="O315" t="n">
        <v>1</v>
      </c>
      <c r="P315" t="n">
        <v>1</v>
      </c>
      <c r="Q315" t="n">
        <v>43.88092432169948</v>
      </c>
      <c r="U315" t="n">
        <v>0.5</v>
      </c>
      <c r="V315" t="n">
        <v>0.5</v>
      </c>
      <c r="W315" t="n">
        <v>0.5</v>
      </c>
      <c r="X315" t="n">
        <v>0.3628176138753563</v>
      </c>
      <c r="Y315" t="n">
        <v>11.05938769650006</v>
      </c>
      <c r="Z315" t="n">
        <v>0.7948685857321652</v>
      </c>
      <c r="AA315" t="n">
        <v>0</v>
      </c>
    </row>
    <row r="316">
      <c r="A316" t="inlineStr">
        <is>
          <t>2022-09-19</t>
        </is>
      </c>
      <c r="B316" t="inlineStr">
        <is>
          <t>CW</t>
        </is>
      </c>
      <c r="C316" t="inlineStr">
        <is>
          <t>09:20+</t>
        </is>
      </c>
      <c r="D316" t="n">
        <v>-34.94659981738764</v>
      </c>
      <c r="E316" t="n">
        <v>0.3648608856248075</v>
      </c>
      <c r="F316" t="n">
        <v>11.12677939415039</v>
      </c>
      <c r="G316" t="n">
        <v>0.8598247809762203</v>
      </c>
      <c r="H316" t="n">
        <v>0.8886107634543179</v>
      </c>
      <c r="I316" t="n">
        <v>0.403998140399814</v>
      </c>
      <c r="J316" t="n">
        <v>0.7801738458521781</v>
      </c>
      <c r="K316" t="n">
        <v>0.6677157174036119</v>
      </c>
      <c r="L316" t="b">
        <v>1</v>
      </c>
      <c r="M316" t="inlineStr">
        <is>
          <t>top_quartile_risk</t>
        </is>
      </c>
      <c r="N316" t="n">
        <v>81.06607059177259</v>
      </c>
      <c r="O316" t="n">
        <v>2</v>
      </c>
      <c r="P316" t="n">
        <v>1</v>
      </c>
      <c r="Q316" t="n">
        <v>34.94659981738764</v>
      </c>
      <c r="R316" t="n">
        <v>23.63567418693607</v>
      </c>
      <c r="S316" t="n">
        <v>2.186658215813652</v>
      </c>
      <c r="T316" t="n">
        <v>0.1267627951196342</v>
      </c>
      <c r="U316" t="n">
        <v>0.8423988842398884</v>
      </c>
      <c r="V316" t="n">
        <v>0.3124128312412831</v>
      </c>
      <c r="W316" t="n">
        <v>0.05718270571827057</v>
      </c>
      <c r="X316" t="n">
        <v>0.3648608856248075</v>
      </c>
      <c r="Y316" t="n">
        <v>11.12677939415039</v>
      </c>
      <c r="Z316" t="n">
        <v>0.7801738458521781</v>
      </c>
      <c r="AA316" t="n">
        <v>0</v>
      </c>
    </row>
    <row r="317">
      <c r="A317" t="inlineStr">
        <is>
          <t>2022-09-20</t>
        </is>
      </c>
      <c r="B317" t="inlineStr">
        <is>
          <t>CW</t>
        </is>
      </c>
      <c r="C317" t="inlineStr">
        <is>
          <t>09:17</t>
        </is>
      </c>
      <c r="D317" t="n">
        <v>9.812105477273924</v>
      </c>
      <c r="E317" t="n">
        <v>0.221114768207856</v>
      </c>
      <c r="F317" t="n">
        <v>5.709437306435547</v>
      </c>
      <c r="G317" t="n">
        <v>0.146433041301627</v>
      </c>
      <c r="H317" t="n">
        <v>0.2265331664580726</v>
      </c>
      <c r="I317" t="n">
        <v>0.5509065550906554</v>
      </c>
      <c r="J317" t="n">
        <v>0.2593677941220109</v>
      </c>
      <c r="K317" t="n">
        <v>0.6677157174036119</v>
      </c>
      <c r="L317" t="b">
        <v>0</v>
      </c>
      <c r="N317" t="n">
        <v>116.0126704091599</v>
      </c>
      <c r="O317" t="n">
        <v>3</v>
      </c>
      <c r="P317" t="n">
        <v>0</v>
      </c>
      <c r="Q317" t="n">
        <v>0</v>
      </c>
      <c r="R317" t="n">
        <v>11.10545685600299</v>
      </c>
      <c r="S317" t="n">
        <v>4.278074866310163</v>
      </c>
      <c r="T317" t="n">
        <v>0.2262443438914073</v>
      </c>
      <c r="U317" t="n">
        <v>0.5467224546722455</v>
      </c>
      <c r="V317" t="n">
        <v>0.6304044630404463</v>
      </c>
      <c r="W317" t="n">
        <v>0.4755927475592748</v>
      </c>
      <c r="X317" t="n">
        <v>0.221114768207856</v>
      </c>
      <c r="Y317" t="n">
        <v>5.709437306435548</v>
      </c>
      <c r="Z317" t="n">
        <v>0.2593677941220109</v>
      </c>
      <c r="AA317" t="n">
        <v>5.551115123125783e-17</v>
      </c>
    </row>
    <row r="318">
      <c r="A318" t="inlineStr">
        <is>
          <t>2022-09-21</t>
        </is>
      </c>
      <c r="B318" t="inlineStr">
        <is>
          <t>CW</t>
        </is>
      </c>
      <c r="C318" t="inlineStr">
        <is>
          <t>09:16</t>
        </is>
      </c>
      <c r="D318" t="n">
        <v>-38.1653230944469</v>
      </c>
      <c r="E318" t="n">
        <v>0.1714256448121001</v>
      </c>
      <c r="F318" t="n">
        <v>4.423421821945849</v>
      </c>
      <c r="G318" t="n">
        <v>0.04380475594493116</v>
      </c>
      <c r="H318" t="n">
        <v>0.08135168961201501</v>
      </c>
      <c r="I318" t="n">
        <v>0.8586703858670387</v>
      </c>
      <c r="J318" t="n">
        <v>0.2217966553961862</v>
      </c>
      <c r="K318" t="n">
        <v>0.6677157174036119</v>
      </c>
      <c r="L318" t="b">
        <v>0</v>
      </c>
      <c r="N318" t="n">
        <v>106.2005649318862</v>
      </c>
      <c r="O318" t="n">
        <v>0</v>
      </c>
      <c r="P318" t="n">
        <v>1</v>
      </c>
      <c r="Q318" t="n">
        <v>38.1653230944469</v>
      </c>
      <c r="R318" t="n">
        <v>43.82064395586637</v>
      </c>
      <c r="S318" t="n">
        <v>11.66812609457092</v>
      </c>
      <c r="T318" t="n">
        <v>0.2845884413310007</v>
      </c>
      <c r="U318" t="n">
        <v>0.9651324965132496</v>
      </c>
      <c r="V318" t="n">
        <v>0.900976290097629</v>
      </c>
      <c r="W318" t="n">
        <v>0.7099023709902371</v>
      </c>
      <c r="X318" t="n">
        <v>0.1714256448121001</v>
      </c>
      <c r="Y318" t="n">
        <v>4.423421821945848</v>
      </c>
      <c r="Z318" t="n">
        <v>0.2217966553961862</v>
      </c>
      <c r="AA318" t="n">
        <v>0</v>
      </c>
    </row>
    <row r="319">
      <c r="A319" t="inlineStr">
        <is>
          <t>2022-09-22</t>
        </is>
      </c>
      <c r="B319" t="inlineStr">
        <is>
          <t>CW</t>
        </is>
      </c>
      <c r="C319" t="inlineStr">
        <is>
          <t>09:16</t>
        </is>
      </c>
      <c r="D319" t="n">
        <v>80.62502027640657</v>
      </c>
      <c r="E319" t="n">
        <v>0.1872925959603818</v>
      </c>
      <c r="F319" t="n">
        <v>6.135673374765155</v>
      </c>
      <c r="G319" t="n">
        <v>0.08010012515644556</v>
      </c>
      <c r="H319" t="n">
        <v>0.2841051314142679</v>
      </c>
      <c r="I319" t="n">
        <v>0.8433286843328686</v>
      </c>
      <c r="J319" t="n">
        <v>0.3143478394948591</v>
      </c>
      <c r="K319" t="n">
        <v>0.6677157174036119</v>
      </c>
      <c r="L319" t="b">
        <v>0</v>
      </c>
      <c r="N319" t="n">
        <v>144.3658880263329</v>
      </c>
      <c r="O319" t="n">
        <v>1</v>
      </c>
      <c r="P319" t="n">
        <v>0</v>
      </c>
      <c r="Q319" t="n">
        <v>0</v>
      </c>
      <c r="R319" t="n">
        <v>15.56819664135134</v>
      </c>
      <c r="S319" t="n">
        <v>23.00235017626322</v>
      </c>
      <c r="T319" t="n">
        <v>0.3525264394829662</v>
      </c>
      <c r="U319" t="n">
        <v>0.7210599721059973</v>
      </c>
      <c r="V319" t="n">
        <v>0.9735006973500697</v>
      </c>
      <c r="W319" t="n">
        <v>0.8354253835425384</v>
      </c>
      <c r="X319" t="n">
        <v>0.1872925959603818</v>
      </c>
      <c r="Y319" t="n">
        <v>6.135673374765155</v>
      </c>
      <c r="Z319" t="n">
        <v>0.3143478394948591</v>
      </c>
      <c r="AA319" t="n">
        <v>0</v>
      </c>
    </row>
    <row r="320">
      <c r="A320" t="inlineStr">
        <is>
          <t>2022-09-26</t>
        </is>
      </c>
      <c r="B320" t="inlineStr">
        <is>
          <t>CW</t>
        </is>
      </c>
      <c r="C320" t="inlineStr">
        <is>
          <t>09:18</t>
        </is>
      </c>
      <c r="D320" t="n">
        <v>35.41075133761148</v>
      </c>
      <c r="E320" t="n">
        <v>0.3818068002752627</v>
      </c>
      <c r="F320" t="n">
        <v>7.990514989043751</v>
      </c>
      <c r="G320" t="n">
        <v>0.9061326658322904</v>
      </c>
      <c r="H320" t="n">
        <v>0.541927409261577</v>
      </c>
      <c r="I320" t="n">
        <v>0.2450023245002324</v>
      </c>
      <c r="J320" t="n">
        <v>0.6282244949375935</v>
      </c>
      <c r="K320" t="n">
        <v>0.6677157174036119</v>
      </c>
      <c r="L320" t="b">
        <v>0</v>
      </c>
      <c r="N320" t="n">
        <v>63.74086774992611</v>
      </c>
      <c r="O320" t="n">
        <v>0</v>
      </c>
      <c r="P320" t="n">
        <v>0</v>
      </c>
      <c r="Q320" t="n">
        <v>0</v>
      </c>
      <c r="R320" t="n">
        <v>9.661892154603647</v>
      </c>
      <c r="S320" t="n">
        <v>1.569835680751164</v>
      </c>
      <c r="T320" t="n">
        <v>0.1467136150234741</v>
      </c>
      <c r="U320" t="n">
        <v>0.4867503486750349</v>
      </c>
      <c r="V320" t="n">
        <v>0.1492329149232915</v>
      </c>
      <c r="W320" t="n">
        <v>0.09902370990237098</v>
      </c>
      <c r="X320" t="n">
        <v>0.3818068002752627</v>
      </c>
      <c r="Y320" t="n">
        <v>7.990514989043751</v>
      </c>
      <c r="Z320" t="n">
        <v>0.6282244949375935</v>
      </c>
      <c r="AA320" t="n">
        <v>0</v>
      </c>
    </row>
    <row r="321">
      <c r="A321" t="inlineStr">
        <is>
          <t>2022-09-27</t>
        </is>
      </c>
      <c r="B321" t="inlineStr">
        <is>
          <t>CW</t>
        </is>
      </c>
      <c r="C321" t="inlineStr">
        <is>
          <t>09:20+</t>
        </is>
      </c>
      <c r="D321" t="n">
        <v>15.93949845675118</v>
      </c>
      <c r="E321" t="n">
        <v>0.3635893460355419</v>
      </c>
      <c r="F321" t="n">
        <v>9.839590066804334</v>
      </c>
      <c r="G321" t="n">
        <v>0.853566958698373</v>
      </c>
      <c r="H321" t="n">
        <v>0.772215269086358</v>
      </c>
      <c r="I321" t="n">
        <v>0.1450488145048815</v>
      </c>
      <c r="J321" t="n">
        <v>0.6793226540148688</v>
      </c>
      <c r="K321" t="n">
        <v>0.6677157174036119</v>
      </c>
      <c r="L321" t="b">
        <v>1</v>
      </c>
      <c r="M321" t="inlineStr">
        <is>
          <t>top_quartile_risk</t>
        </is>
      </c>
      <c r="N321" t="n">
        <v>28.33011641231496</v>
      </c>
      <c r="O321" t="n">
        <v>0</v>
      </c>
      <c r="P321" t="n">
        <v>0</v>
      </c>
      <c r="Q321" t="n">
        <v>0</v>
      </c>
      <c r="R321" t="n">
        <v>3.295174041090928</v>
      </c>
      <c r="S321" t="n">
        <v>1.060405226282905</v>
      </c>
      <c r="T321" t="n">
        <v>0.2082938837341455</v>
      </c>
      <c r="U321" t="n">
        <v>0.03486750348675035</v>
      </c>
      <c r="V321" t="n">
        <v>0.03626220362622036</v>
      </c>
      <c r="W321" t="n">
        <v>0.3640167364016736</v>
      </c>
      <c r="X321" t="n">
        <v>0.3635893460355419</v>
      </c>
      <c r="Y321" t="n">
        <v>9.839590066804336</v>
      </c>
      <c r="Z321" t="n">
        <v>0.6793226540148688</v>
      </c>
      <c r="AA321" t="n">
        <v>0</v>
      </c>
    </row>
    <row r="322">
      <c r="A322" t="inlineStr">
        <is>
          <t>2022-09-28</t>
        </is>
      </c>
      <c r="B322" t="inlineStr">
        <is>
          <t>CW</t>
        </is>
      </c>
      <c r="C322" t="inlineStr">
        <is>
          <t>09:16</t>
        </is>
      </c>
      <c r="D322" t="n">
        <v>54.29476032877156</v>
      </c>
      <c r="E322" t="n">
        <v>0.2377161170595182</v>
      </c>
      <c r="F322" t="n">
        <v>6.006398560365537</v>
      </c>
      <c r="G322" t="n">
        <v>0.2102628285356696</v>
      </c>
      <c r="H322" t="n">
        <v>0.2690863579474343</v>
      </c>
      <c r="I322" t="n">
        <v>0.803812180381218</v>
      </c>
      <c r="J322" t="n">
        <v>0.3525021106694852</v>
      </c>
      <c r="K322" t="n">
        <v>0.6677157174036119</v>
      </c>
      <c r="L322" t="b">
        <v>0</v>
      </c>
      <c r="N322" t="n">
        <v>12.39061795556336</v>
      </c>
      <c r="O322" t="n">
        <v>0</v>
      </c>
      <c r="P322" t="n">
        <v>0</v>
      </c>
      <c r="Q322" t="n">
        <v>0</v>
      </c>
      <c r="R322" t="n">
        <v>35.09738413420529</v>
      </c>
      <c r="S322" t="n">
        <v>7.024504084014008</v>
      </c>
      <c r="T322" t="n">
        <v>0.2800466744457383</v>
      </c>
      <c r="U322" t="n">
        <v>0.9260808926080892</v>
      </c>
      <c r="V322" t="n">
        <v>0.7866108786610879</v>
      </c>
      <c r="W322" t="n">
        <v>0.698744769874477</v>
      </c>
      <c r="X322" t="n">
        <v>0.2377161170595182</v>
      </c>
      <c r="Y322" t="n">
        <v>6.006398560365538</v>
      </c>
      <c r="Z322" t="n">
        <v>0.3525021106694852</v>
      </c>
      <c r="AA322" t="n">
        <v>0</v>
      </c>
    </row>
    <row r="323">
      <c r="A323" t="inlineStr">
        <is>
          <t>2022-09-29</t>
        </is>
      </c>
      <c r="B323" t="inlineStr">
        <is>
          <t>CW</t>
        </is>
      </c>
      <c r="C323" t="inlineStr">
        <is>
          <t>09:17</t>
        </is>
      </c>
      <c r="D323" t="n">
        <v>-19.09803336204484</v>
      </c>
      <c r="E323" t="n">
        <v>0.2576349619396139</v>
      </c>
      <c r="F323" t="n">
        <v>8.886639755387831</v>
      </c>
      <c r="G323" t="n">
        <v>0.3166458072590738</v>
      </c>
      <c r="H323" t="n">
        <v>0.6620775969962454</v>
      </c>
      <c r="I323" t="n">
        <v>0.5964667596466759</v>
      </c>
      <c r="J323" t="n">
        <v>0.5107827136314629</v>
      </c>
      <c r="K323" t="n">
        <v>0.6677157174036119</v>
      </c>
      <c r="L323" t="b">
        <v>0</v>
      </c>
      <c r="N323" t="n">
        <v>0</v>
      </c>
      <c r="O323" t="n">
        <v>0</v>
      </c>
      <c r="P323" t="n">
        <v>1</v>
      </c>
      <c r="Q323" t="n">
        <v>19.09803336204484</v>
      </c>
      <c r="R323" t="n">
        <v>7.058034690240501</v>
      </c>
      <c r="S323" t="n">
        <v>6.594948550046784</v>
      </c>
      <c r="T323" t="n">
        <v>0.2806361085126326</v>
      </c>
      <c r="U323" t="n">
        <v>0.3207810320781032</v>
      </c>
      <c r="V323" t="n">
        <v>0.7670850767085077</v>
      </c>
      <c r="W323" t="n">
        <v>0.701534170153417</v>
      </c>
      <c r="X323" t="n">
        <v>0.2576349619396139</v>
      </c>
      <c r="Y323" t="n">
        <v>8.886639755387829</v>
      </c>
      <c r="Z323" t="n">
        <v>0.5107827136314629</v>
      </c>
      <c r="AA323" t="n">
        <v>0</v>
      </c>
    </row>
    <row r="324">
      <c r="A324" t="inlineStr">
        <is>
          <t>2022-09-30</t>
        </is>
      </c>
      <c r="B324" t="inlineStr">
        <is>
          <t>CW</t>
        </is>
      </c>
      <c r="C324" t="inlineStr">
        <is>
          <t>09:16</t>
        </is>
      </c>
      <c r="D324" t="n">
        <v>42.92791049175777</v>
      </c>
      <c r="E324" t="n">
        <v>0.2337734862230153</v>
      </c>
      <c r="F324" t="n">
        <v>8.216021474379842</v>
      </c>
      <c r="G324" t="n">
        <v>0.1914893617021277</v>
      </c>
      <c r="H324" t="n">
        <v>0.5682102628285357</v>
      </c>
      <c r="I324" t="n">
        <v>0.6294746629474663</v>
      </c>
      <c r="J324" t="n">
        <v>0.4297747824017586</v>
      </c>
      <c r="K324" t="n">
        <v>0.6677157174036119</v>
      </c>
      <c r="L324" t="b">
        <v>0</v>
      </c>
      <c r="N324" t="n">
        <v>19.09803336204459</v>
      </c>
      <c r="O324" t="n">
        <v>1</v>
      </c>
      <c r="P324" t="n">
        <v>0</v>
      </c>
      <c r="Q324" t="n">
        <v>0</v>
      </c>
      <c r="R324" t="n">
        <v>25.06496947253335</v>
      </c>
      <c r="S324" t="n">
        <v>7.582260371959935</v>
      </c>
      <c r="T324" t="n">
        <v>0.1820782936662735</v>
      </c>
      <c r="U324" t="n">
        <v>0.8591352859135286</v>
      </c>
      <c r="V324" t="n">
        <v>0.8117154811715481</v>
      </c>
      <c r="W324" t="n">
        <v>0.2175732217573222</v>
      </c>
      <c r="X324" t="n">
        <v>0.2337734862230153</v>
      </c>
      <c r="Y324" t="n">
        <v>8.216021474379842</v>
      </c>
      <c r="Z324" t="n">
        <v>0.4297747824017586</v>
      </c>
      <c r="AA324" t="n">
        <v>0</v>
      </c>
    </row>
    <row r="325">
      <c r="A325" t="inlineStr">
        <is>
          <t>2022-10-03</t>
        </is>
      </c>
      <c r="B325" t="inlineStr">
        <is>
          <t>CW</t>
        </is>
      </c>
      <c r="C325" t="inlineStr">
        <is>
          <t>09:16</t>
        </is>
      </c>
      <c r="D325" t="n">
        <v>31.62727654179957</v>
      </c>
      <c r="E325" t="n">
        <v>0.1536109801598861</v>
      </c>
      <c r="F325" t="n">
        <v>3.01322035006767</v>
      </c>
      <c r="G325" t="n">
        <v>0.02753441802252816</v>
      </c>
      <c r="H325" t="n">
        <v>0.02503128911138924</v>
      </c>
      <c r="I325" t="n">
        <v>0.8637842863784287</v>
      </c>
      <c r="J325" t="n">
        <v>0.1937831401292527</v>
      </c>
      <c r="K325" t="n">
        <v>0.6677157174036119</v>
      </c>
      <c r="L325" t="b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42.41088438564217</v>
      </c>
      <c r="S325" t="n">
        <v>30.13407455853498</v>
      </c>
      <c r="T325" t="n">
        <v>0.2616088947024236</v>
      </c>
      <c r="U325" t="n">
        <v>0.9609483960948396</v>
      </c>
      <c r="V325" t="n">
        <v>0.9888423988842399</v>
      </c>
      <c r="W325" t="n">
        <v>0.6415620641562064</v>
      </c>
      <c r="X325" t="n">
        <v>0.1536109801598861</v>
      </c>
      <c r="Y325" t="n">
        <v>3.013220350067669</v>
      </c>
      <c r="Z325" t="n">
        <v>0.1937831401292527</v>
      </c>
      <c r="AA325" t="n">
        <v>2.775557561562891e-17</v>
      </c>
    </row>
    <row r="326">
      <c r="A326" t="inlineStr">
        <is>
          <t>2022-10-06</t>
        </is>
      </c>
      <c r="B326" t="inlineStr">
        <is>
          <t>CW</t>
        </is>
      </c>
      <c r="C326" t="inlineStr">
        <is>
          <t>09:18</t>
        </is>
      </c>
      <c r="D326" t="n">
        <v>44.94165530626252</v>
      </c>
      <c r="E326" t="n">
        <v>0.3077885675326755</v>
      </c>
      <c r="F326" t="n">
        <v>7.641283968206587</v>
      </c>
      <c r="G326" t="n">
        <v>0.60450563204005</v>
      </c>
      <c r="H326" t="n">
        <v>0.5018773466833542</v>
      </c>
      <c r="I326" t="n">
        <v>0.5667131566713156</v>
      </c>
      <c r="J326" t="n">
        <v>0.5558958228236248</v>
      </c>
      <c r="K326" t="n">
        <v>0.6677157174036119</v>
      </c>
      <c r="L326" t="b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10.81006486038665</v>
      </c>
      <c r="S326" t="n">
        <v>5.614035087719303</v>
      </c>
      <c r="T326" t="n">
        <v>0.219298245614035</v>
      </c>
      <c r="U326" t="n">
        <v>0.5383542538354253</v>
      </c>
      <c r="V326" t="n">
        <v>0.7266387726638772</v>
      </c>
      <c r="W326" t="n">
        <v>0.4351464435146444</v>
      </c>
      <c r="X326" t="n">
        <v>0.3077885675326755</v>
      </c>
      <c r="Y326" t="n">
        <v>7.641283968206589</v>
      </c>
      <c r="Z326" t="n">
        <v>0.5558958228236248</v>
      </c>
      <c r="AA326" t="n">
        <v>0</v>
      </c>
    </row>
    <row r="327">
      <c r="A327" t="inlineStr">
        <is>
          <t>2022-10-10</t>
        </is>
      </c>
      <c r="B327" t="inlineStr">
        <is>
          <t>CW</t>
        </is>
      </c>
      <c r="C327" t="inlineStr">
        <is>
          <t>09:18</t>
        </is>
      </c>
      <c r="D327" t="n">
        <v>-21.60989269485659</v>
      </c>
      <c r="E327" t="n">
        <v>0.3739971298808351</v>
      </c>
      <c r="F327" t="n">
        <v>6.555009232248169</v>
      </c>
      <c r="G327" t="n">
        <v>0.8848560700876095</v>
      </c>
      <c r="H327" t="n">
        <v>0.3529411764705883</v>
      </c>
      <c r="I327" t="n">
        <v>0.300325430032543</v>
      </c>
      <c r="J327" t="n">
        <v>0.5551839846297878</v>
      </c>
      <c r="K327" t="n">
        <v>0.6677157174036119</v>
      </c>
      <c r="L327" t="b">
        <v>0</v>
      </c>
      <c r="N327" t="n">
        <v>0</v>
      </c>
      <c r="O327" t="n">
        <v>0</v>
      </c>
      <c r="P327" t="n">
        <v>1</v>
      </c>
      <c r="Q327" t="n">
        <v>21.60989269485659</v>
      </c>
      <c r="R327" t="n">
        <v>12.051223550196</v>
      </c>
      <c r="S327" t="n">
        <v>1.850813236118918</v>
      </c>
      <c r="T327" t="n">
        <v>0.1308655823518499</v>
      </c>
      <c r="U327" t="n">
        <v>0.603905160390516</v>
      </c>
      <c r="V327" t="n">
        <v>0.2315202231520223</v>
      </c>
      <c r="W327" t="n">
        <v>0.06555090655509066</v>
      </c>
      <c r="X327" t="n">
        <v>0.3739971298808351</v>
      </c>
      <c r="Y327" t="n">
        <v>6.555009232248167</v>
      </c>
      <c r="Z327" t="n">
        <v>0.5551839846297878</v>
      </c>
      <c r="AA327" t="n">
        <v>0</v>
      </c>
    </row>
    <row r="328">
      <c r="A328" t="inlineStr">
        <is>
          <t>2022-10-11</t>
        </is>
      </c>
      <c r="B328" t="inlineStr">
        <is>
          <t>CW</t>
        </is>
      </c>
      <c r="C328" t="inlineStr">
        <is>
          <t>09:20+</t>
        </is>
      </c>
      <c r="D328" t="n">
        <v>-26.99846770194163</v>
      </c>
      <c r="E328" t="n">
        <v>0.3591540274668865</v>
      </c>
      <c r="F328" t="n">
        <v>9.432565591655528</v>
      </c>
      <c r="G328" t="n">
        <v>0.8448060075093867</v>
      </c>
      <c r="H328" t="n">
        <v>0.72090112640801</v>
      </c>
      <c r="I328" t="n">
        <v>0.09809390980939099</v>
      </c>
      <c r="J328" t="n">
        <v>0.6459016355288368</v>
      </c>
      <c r="K328" t="n">
        <v>0.6677157174036119</v>
      </c>
      <c r="L328" t="b">
        <v>0</v>
      </c>
      <c r="N328" t="n">
        <v>21.60989269485617</v>
      </c>
      <c r="O328" t="n">
        <v>1</v>
      </c>
      <c r="P328" t="n">
        <v>1</v>
      </c>
      <c r="Q328" t="n">
        <v>26.99846770194163</v>
      </c>
      <c r="R328" t="n">
        <v>3.88481097327744</v>
      </c>
      <c r="S328" t="n">
        <v>1.391035548686247</v>
      </c>
      <c r="T328" t="n">
        <v>0.1545595054095802</v>
      </c>
      <c r="U328" t="n">
        <v>0.0697350069735007</v>
      </c>
      <c r="V328" t="n">
        <v>0.1059972105997211</v>
      </c>
      <c r="W328" t="n">
        <v>0.1185495118549512</v>
      </c>
      <c r="X328" t="n">
        <v>0.3591540274668865</v>
      </c>
      <c r="Y328" t="n">
        <v>9.432565591655528</v>
      </c>
      <c r="Z328" t="n">
        <v>0.6459016355288368</v>
      </c>
      <c r="AA328" t="n">
        <v>0</v>
      </c>
    </row>
    <row r="329">
      <c r="A329" t="inlineStr">
        <is>
          <t>2022-10-12</t>
        </is>
      </c>
      <c r="B329" t="inlineStr">
        <is>
          <t>CW</t>
        </is>
      </c>
      <c r="C329" t="inlineStr">
        <is>
          <t>09:17</t>
        </is>
      </c>
      <c r="D329" t="n">
        <v>26.23136531032429</v>
      </c>
      <c r="E329" t="n">
        <v>0.328747609761384</v>
      </c>
      <c r="F329" t="n">
        <v>10.85053855424366</v>
      </c>
      <c r="G329" t="n">
        <v>0.7284105131414268</v>
      </c>
      <c r="H329" t="n">
        <v>0.8685857321652065</v>
      </c>
      <c r="I329" t="n">
        <v>0.4556020455602046</v>
      </c>
      <c r="J329" t="n">
        <v>0.7299189072346942</v>
      </c>
      <c r="K329" t="n">
        <v>0.6677157174036119</v>
      </c>
      <c r="L329" t="b">
        <v>1</v>
      </c>
      <c r="M329" t="inlineStr">
        <is>
          <t>top_quartile_risk</t>
        </is>
      </c>
      <c r="N329" t="n">
        <v>48.60836039679816</v>
      </c>
      <c r="O329" t="n">
        <v>2</v>
      </c>
      <c r="P329" t="n">
        <v>0</v>
      </c>
      <c r="Q329" t="n">
        <v>0</v>
      </c>
      <c r="R329" t="n">
        <v>11.20094076142835</v>
      </c>
      <c r="S329" t="n">
        <v>2.502406159769003</v>
      </c>
      <c r="T329" t="n">
        <v>0.2165543792107809</v>
      </c>
      <c r="U329" t="n">
        <v>0.5536959553695955</v>
      </c>
      <c r="V329" t="n">
        <v>0.3891213389121339</v>
      </c>
      <c r="W329" t="n">
        <v>0.4239888423988842</v>
      </c>
      <c r="X329" t="n">
        <v>0.328747609761384</v>
      </c>
      <c r="Y329" t="n">
        <v>10.85053855424366</v>
      </c>
      <c r="Z329" t="n">
        <v>0.7299189072346942</v>
      </c>
      <c r="AA329" t="n">
        <v>0</v>
      </c>
    </row>
    <row r="330">
      <c r="A330" t="inlineStr">
        <is>
          <t>2022-10-13</t>
        </is>
      </c>
      <c r="B330" t="inlineStr">
        <is>
          <t>CW</t>
        </is>
      </c>
      <c r="C330" t="inlineStr">
        <is>
          <t>09:17</t>
        </is>
      </c>
      <c r="D330" t="n">
        <v>69.40512177503246</v>
      </c>
      <c r="E330" t="n">
        <v>0.2767666265945161</v>
      </c>
      <c r="F330" t="n">
        <v>8.731717614032759</v>
      </c>
      <c r="G330" t="n">
        <v>0.44180225281602</v>
      </c>
      <c r="H330" t="n">
        <v>0.6370463078848561</v>
      </c>
      <c r="I330" t="n">
        <v>0.5806601580660159</v>
      </c>
      <c r="J330" t="n">
        <v>0.5476714558935536</v>
      </c>
      <c r="K330" t="n">
        <v>0.6677157174036119</v>
      </c>
      <c r="L330" t="b">
        <v>0</v>
      </c>
      <c r="N330" t="n">
        <v>22.37699508647347</v>
      </c>
      <c r="O330" t="n">
        <v>0</v>
      </c>
      <c r="P330" t="n">
        <v>0</v>
      </c>
      <c r="Q330" t="n">
        <v>0</v>
      </c>
      <c r="R330" t="n">
        <v>8.71678917948188</v>
      </c>
      <c r="S330" t="n">
        <v>3.800675675675676</v>
      </c>
      <c r="T330" t="n">
        <v>0.2956081081081093</v>
      </c>
      <c r="U330" t="n">
        <v>0.4337517433751744</v>
      </c>
      <c r="V330" t="n">
        <v>0.5690376569037657</v>
      </c>
      <c r="W330" t="n">
        <v>0.7391910739191074</v>
      </c>
      <c r="X330" t="n">
        <v>0.2767666265945162</v>
      </c>
      <c r="Y330" t="n">
        <v>8.731717614032759</v>
      </c>
      <c r="Z330" t="n">
        <v>0.5476714558935536</v>
      </c>
      <c r="AA330" t="n">
        <v>0</v>
      </c>
    </row>
    <row r="331">
      <c r="A331" t="inlineStr">
        <is>
          <t>2022-10-18</t>
        </is>
      </c>
      <c r="B331" t="inlineStr">
        <is>
          <t>CW</t>
        </is>
      </c>
      <c r="C331" t="inlineStr">
        <is>
          <t>09:17</t>
        </is>
      </c>
      <c r="D331" t="n">
        <v>22.53165645005005</v>
      </c>
      <c r="E331" t="n">
        <v>0.2758025009805558</v>
      </c>
      <c r="F331" t="n">
        <v>7.464726412983716</v>
      </c>
      <c r="G331" t="n">
        <v>0.4330413016270338</v>
      </c>
      <c r="H331" t="n">
        <v>0.4780976220275344</v>
      </c>
      <c r="I331" t="n">
        <v>0.2519758251975825</v>
      </c>
      <c r="J331" t="n">
        <v>0.4148507345013439</v>
      </c>
      <c r="K331" t="n">
        <v>0.6677157174036119</v>
      </c>
      <c r="L331" t="b">
        <v>0</v>
      </c>
      <c r="N331" t="n">
        <v>0</v>
      </c>
      <c r="O331" t="n">
        <v>0</v>
      </c>
      <c r="P331" t="n">
        <v>0</v>
      </c>
      <c r="Q331" t="n">
        <v>0</v>
      </c>
      <c r="R331" t="n">
        <v>5.555714653911676</v>
      </c>
      <c r="S331" t="n">
        <v>3.851851851851858</v>
      </c>
      <c r="T331" t="n">
        <v>0.0740740740740698</v>
      </c>
      <c r="U331" t="n">
        <v>0.1743375174337518</v>
      </c>
      <c r="V331" t="n">
        <v>0.5760111576011158</v>
      </c>
      <c r="W331" t="n">
        <v>0.005578800557880056</v>
      </c>
      <c r="X331" t="n">
        <v>0.2758025009805558</v>
      </c>
      <c r="Y331" t="n">
        <v>7.464726412983719</v>
      </c>
      <c r="Z331" t="n">
        <v>0.4148507345013439</v>
      </c>
      <c r="AA331" t="n">
        <v>-5.551115123125783e-17</v>
      </c>
    </row>
    <row r="332">
      <c r="A332" t="inlineStr">
        <is>
          <t>2022-10-19</t>
        </is>
      </c>
      <c r="B332" t="inlineStr">
        <is>
          <t>NW</t>
        </is>
      </c>
      <c r="C332" t="inlineStr">
        <is>
          <t>NW</t>
        </is>
      </c>
      <c r="D332" t="n">
        <v>6.444511933745417</v>
      </c>
      <c r="E332" t="n">
        <v>0.352396199570543</v>
      </c>
      <c r="F332" t="n">
        <v>10.42787253994329</v>
      </c>
      <c r="G332" t="n">
        <v>0.8247809762202754</v>
      </c>
      <c r="H332" t="n">
        <v>0.8322903629536921</v>
      </c>
      <c r="I332" t="n">
        <v>0.5</v>
      </c>
      <c r="J332" t="n">
        <v>0.762828535669587</v>
      </c>
      <c r="K332" t="n">
        <v>0.6677157174036119</v>
      </c>
      <c r="L332" t="b">
        <v>1</v>
      </c>
      <c r="M332" t="inlineStr">
        <is>
          <t>top_quartile_risk</t>
        </is>
      </c>
      <c r="N332" t="n">
        <v>0</v>
      </c>
      <c r="O332" t="n">
        <v>0</v>
      </c>
      <c r="P332" t="n">
        <v>0</v>
      </c>
      <c r="Q332" t="n">
        <v>0</v>
      </c>
      <c r="U332" t="n">
        <v>0.5</v>
      </c>
      <c r="V332" t="n">
        <v>0.5</v>
      </c>
      <c r="W332" t="n">
        <v>0.5</v>
      </c>
      <c r="X332" t="n">
        <v>0.352396199570543</v>
      </c>
      <c r="Y332" t="n">
        <v>10.42787253994329</v>
      </c>
      <c r="Z332" t="n">
        <v>0.762828535669587</v>
      </c>
      <c r="AA332" t="n">
        <v>0</v>
      </c>
    </row>
    <row r="333">
      <c r="A333" t="inlineStr">
        <is>
          <t>2022-10-20</t>
        </is>
      </c>
      <c r="B333" t="inlineStr">
        <is>
          <t>CW</t>
        </is>
      </c>
      <c r="C333" t="inlineStr">
        <is>
          <t>09:16</t>
        </is>
      </c>
      <c r="D333" t="n">
        <v>16.35101904885953</v>
      </c>
      <c r="E333" t="n">
        <v>0.1585381016448763</v>
      </c>
      <c r="F333" t="n">
        <v>2.464527382494117</v>
      </c>
      <c r="G333" t="n">
        <v>0.03254067584480601</v>
      </c>
      <c r="H333" t="n">
        <v>0.01501877346683354</v>
      </c>
      <c r="I333" t="n">
        <v>0.8386796838679684</v>
      </c>
      <c r="J333" t="n">
        <v>0.1867597164982495</v>
      </c>
      <c r="K333" t="n">
        <v>0.6677157174036119</v>
      </c>
      <c r="L333" t="b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12.77168531715186</v>
      </c>
      <c r="S333" t="n">
        <v>32.37896928682979</v>
      </c>
      <c r="T333" t="n">
        <v>0.4164497657470052</v>
      </c>
      <c r="U333" t="n">
        <v>0.6262203626220363</v>
      </c>
      <c r="V333" t="n">
        <v>0.99581589958159</v>
      </c>
      <c r="W333" t="n">
        <v>0.8940027894002789</v>
      </c>
      <c r="X333" t="n">
        <v>0.1585381016448763</v>
      </c>
      <c r="Y333" t="n">
        <v>2.464527382494118</v>
      </c>
      <c r="Z333" t="n">
        <v>0.1867597164982495</v>
      </c>
      <c r="AA333" t="n">
        <v>2.775557561562891e-17</v>
      </c>
    </row>
    <row r="334">
      <c r="A334" t="inlineStr">
        <is>
          <t>2022-10-27</t>
        </is>
      </c>
      <c r="B334" t="inlineStr">
        <is>
          <t>CW</t>
        </is>
      </c>
      <c r="C334" t="inlineStr">
        <is>
          <t>09:16</t>
        </is>
      </c>
      <c r="D334" t="n">
        <v>46.43373099496223</v>
      </c>
      <c r="E334" t="n">
        <v>0.155461411998625</v>
      </c>
      <c r="F334" t="n">
        <v>5.34124410095931</v>
      </c>
      <c r="G334" t="n">
        <v>0.03003754693366708</v>
      </c>
      <c r="H334" t="n">
        <v>0.181476846057572</v>
      </c>
      <c r="I334" t="n">
        <v>0.9228265922826592</v>
      </c>
      <c r="J334" t="n">
        <v>0.2691710756530274</v>
      </c>
      <c r="K334" t="n">
        <v>0.6677157174036119</v>
      </c>
      <c r="L334" t="b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26.34534354496822</v>
      </c>
      <c r="S334" t="n">
        <v>15.26677231907024</v>
      </c>
      <c r="T334" t="n">
        <v>0.5282620179609161</v>
      </c>
      <c r="U334" t="n">
        <v>0.8730822873082287</v>
      </c>
      <c r="V334" t="n">
        <v>0.9316596931659693</v>
      </c>
      <c r="W334" t="n">
        <v>0.9637377963737797</v>
      </c>
      <c r="X334" t="n">
        <v>0.155461411998625</v>
      </c>
      <c r="Y334" t="n">
        <v>5.341244100959307</v>
      </c>
      <c r="Z334" t="n">
        <v>0.2691710756530274</v>
      </c>
      <c r="AA334" t="n">
        <v>5.551115123125783e-17</v>
      </c>
    </row>
    <row r="335">
      <c r="A335" t="inlineStr">
        <is>
          <t>2022-11-01</t>
        </is>
      </c>
      <c r="B335" t="inlineStr">
        <is>
          <t>CW</t>
        </is>
      </c>
      <c r="C335" t="inlineStr">
        <is>
          <t>09:20+</t>
        </is>
      </c>
      <c r="D335" t="n">
        <v>2.976329830620914</v>
      </c>
      <c r="E335" t="n">
        <v>0.3760042575259256</v>
      </c>
      <c r="F335" t="n">
        <v>10.92348757751573</v>
      </c>
      <c r="G335" t="n">
        <v>0.8886107634543179</v>
      </c>
      <c r="H335" t="n">
        <v>0.8735919899874843</v>
      </c>
      <c r="I335" t="n">
        <v>0.08414690841469084</v>
      </c>
      <c r="J335" t="n">
        <v>0.721710483059659</v>
      </c>
      <c r="K335" t="n">
        <v>0.6677157174036119</v>
      </c>
      <c r="L335" t="b">
        <v>1</v>
      </c>
      <c r="M335" t="inlineStr">
        <is>
          <t>top_quartile_risk</t>
        </is>
      </c>
      <c r="N335" t="n">
        <v>0</v>
      </c>
      <c r="O335" t="n">
        <v>0</v>
      </c>
      <c r="P335" t="n">
        <v>0</v>
      </c>
      <c r="Q335" t="n">
        <v>0</v>
      </c>
      <c r="R335" t="n">
        <v>3.034541356662688</v>
      </c>
      <c r="S335" t="n">
        <v>0.5742625946228258</v>
      </c>
      <c r="T335" t="n">
        <v>0.1827199164708997</v>
      </c>
      <c r="U335" t="n">
        <v>0.02649930264993026</v>
      </c>
      <c r="V335" t="n">
        <v>0.004184100418410041</v>
      </c>
      <c r="W335" t="n">
        <v>0.2217573221757322</v>
      </c>
      <c r="X335" t="n">
        <v>0.3760042575259256</v>
      </c>
      <c r="Y335" t="n">
        <v>10.92348757751573</v>
      </c>
      <c r="Z335" t="n">
        <v>0.721710483059659</v>
      </c>
      <c r="AA335" t="n">
        <v>0</v>
      </c>
    </row>
    <row r="336">
      <c r="A336" t="inlineStr">
        <is>
          <t>2022-11-02</t>
        </is>
      </c>
      <c r="B336" t="inlineStr">
        <is>
          <t>CW</t>
        </is>
      </c>
      <c r="C336" t="inlineStr">
        <is>
          <t>09:17</t>
        </is>
      </c>
      <c r="D336" t="n">
        <v>-5.026039777745571</v>
      </c>
      <c r="E336" t="n">
        <v>0.3281413301682783</v>
      </c>
      <c r="F336" t="n">
        <v>9.29894859820063</v>
      </c>
      <c r="G336" t="n">
        <v>0.7221526908635795</v>
      </c>
      <c r="H336" t="n">
        <v>0.7133917396745932</v>
      </c>
      <c r="I336" t="n">
        <v>0.3291492329149233</v>
      </c>
      <c r="J336" t="n">
        <v>0.6400476187982537</v>
      </c>
      <c r="K336" t="n">
        <v>0.6677157174036119</v>
      </c>
      <c r="L336" t="b">
        <v>0</v>
      </c>
      <c r="N336" t="n">
        <v>0</v>
      </c>
      <c r="O336" t="n">
        <v>0</v>
      </c>
      <c r="P336" t="n">
        <v>1</v>
      </c>
      <c r="Q336" t="n">
        <v>5.026039777745571</v>
      </c>
      <c r="R336" t="n">
        <v>6.420873073392408</v>
      </c>
      <c r="S336" t="n">
        <v>2.285714285714293</v>
      </c>
      <c r="T336" t="n">
        <v>0.2105263157894702</v>
      </c>
      <c r="U336" t="n">
        <v>0.2677824267782427</v>
      </c>
      <c r="V336" t="n">
        <v>0.3375174337517434</v>
      </c>
      <c r="W336" t="n">
        <v>0.3821478382147838</v>
      </c>
      <c r="X336" t="n">
        <v>0.3281413301682783</v>
      </c>
      <c r="Y336" t="n">
        <v>9.298948598200628</v>
      </c>
      <c r="Z336" t="n">
        <v>0.6400476187982537</v>
      </c>
      <c r="AA336" t="n">
        <v>0</v>
      </c>
    </row>
    <row r="337">
      <c r="A337" t="inlineStr">
        <is>
          <t>2022-11-03</t>
        </is>
      </c>
      <c r="B337" t="inlineStr">
        <is>
          <t>CW</t>
        </is>
      </c>
      <c r="C337" t="inlineStr">
        <is>
          <t>09:17</t>
        </is>
      </c>
      <c r="D337" t="n">
        <v>32.44367707567508</v>
      </c>
      <c r="E337" t="n">
        <v>0.2759315962364407</v>
      </c>
      <c r="F337" t="n">
        <v>9.500154610983225</v>
      </c>
      <c r="G337" t="n">
        <v>0.4342928660826033</v>
      </c>
      <c r="H337" t="n">
        <v>0.7284105131414268</v>
      </c>
      <c r="I337" t="n">
        <v>0.6587633658763367</v>
      </c>
      <c r="J337" t="n">
        <v>0.5968340248648794</v>
      </c>
      <c r="K337" t="n">
        <v>0.6677157174036119</v>
      </c>
      <c r="L337" t="b">
        <v>0</v>
      </c>
      <c r="N337" t="n">
        <v>5.026039777745609</v>
      </c>
      <c r="O337" t="n">
        <v>1</v>
      </c>
      <c r="P337" t="n">
        <v>0</v>
      </c>
      <c r="Q337" t="n">
        <v>0</v>
      </c>
      <c r="R337" t="n">
        <v>8.385814090388273</v>
      </c>
      <c r="S337" t="n">
        <v>6.794751640112466</v>
      </c>
      <c r="T337" t="n">
        <v>0.3280224929709479</v>
      </c>
      <c r="U337" t="n">
        <v>0.4072524407252441</v>
      </c>
      <c r="V337" t="n">
        <v>0.7768479776847977</v>
      </c>
      <c r="W337" t="n">
        <v>0.7921896792189679</v>
      </c>
      <c r="X337" t="n">
        <v>0.2759315962364407</v>
      </c>
      <c r="Y337" t="n">
        <v>9.500154610983223</v>
      </c>
      <c r="Z337" t="n">
        <v>0.5968340248648794</v>
      </c>
      <c r="AA337" t="n">
        <v>0</v>
      </c>
    </row>
    <row r="338">
      <c r="A338" t="inlineStr">
        <is>
          <t>2022-11-10</t>
        </is>
      </c>
      <c r="B338" t="inlineStr">
        <is>
          <t>NW</t>
        </is>
      </c>
      <c r="C338" t="inlineStr">
        <is>
          <t>NW</t>
        </is>
      </c>
      <c r="D338" t="n">
        <v>28.1862199249569</v>
      </c>
      <c r="E338" t="n">
        <v>0.3637393592643734</v>
      </c>
      <c r="F338" t="n">
        <v>11.30363998952397</v>
      </c>
      <c r="G338" t="n">
        <v>0.8548185231539425</v>
      </c>
      <c r="H338" t="n">
        <v>0.899874843554443</v>
      </c>
      <c r="I338" t="n">
        <v>0.5</v>
      </c>
      <c r="J338" t="n">
        <v>0.8018773466833542</v>
      </c>
      <c r="K338" t="n">
        <v>0.6677157174036119</v>
      </c>
      <c r="L338" t="b">
        <v>1</v>
      </c>
      <c r="M338" t="inlineStr">
        <is>
          <t>top_quartile_risk</t>
        </is>
      </c>
      <c r="N338" t="n">
        <v>0</v>
      </c>
      <c r="O338" t="n">
        <v>0</v>
      </c>
      <c r="P338" t="n">
        <v>0</v>
      </c>
      <c r="Q338" t="n">
        <v>0</v>
      </c>
      <c r="U338" t="n">
        <v>0.5</v>
      </c>
      <c r="V338" t="n">
        <v>0.5</v>
      </c>
      <c r="W338" t="n">
        <v>0.5</v>
      </c>
      <c r="X338" t="n">
        <v>0.3637393592643734</v>
      </c>
      <c r="Y338" t="n">
        <v>11.30363998952397</v>
      </c>
      <c r="Z338" t="n">
        <v>0.8018773466833542</v>
      </c>
      <c r="AA338" t="n">
        <v>0</v>
      </c>
    </row>
    <row r="339">
      <c r="A339" t="inlineStr">
        <is>
          <t>2022-11-15</t>
        </is>
      </c>
      <c r="B339" t="inlineStr">
        <is>
          <t>CW</t>
        </is>
      </c>
      <c r="C339" t="inlineStr">
        <is>
          <t>09:17</t>
        </is>
      </c>
      <c r="D339" t="n">
        <v>0.706541075170567</v>
      </c>
      <c r="E339" t="n">
        <v>0.2529691025030031</v>
      </c>
      <c r="F339" t="n">
        <v>6.254323741952834</v>
      </c>
      <c r="G339" t="n">
        <v>0.2853566958698373</v>
      </c>
      <c r="H339" t="n">
        <v>0.3041301627033792</v>
      </c>
      <c r="I339" t="n">
        <v>0.4342166434216644</v>
      </c>
      <c r="J339" t="n">
        <v>0.3226380721136195</v>
      </c>
      <c r="K339" t="n">
        <v>0.6677157174036119</v>
      </c>
      <c r="L339" t="b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13.12207339649273</v>
      </c>
      <c r="S339" t="n">
        <v>1.798107255520501</v>
      </c>
      <c r="T339" t="n">
        <v>0.2208201892744533</v>
      </c>
      <c r="U339" t="n">
        <v>0.6471408647140865</v>
      </c>
      <c r="V339" t="n">
        <v>0.2133891213389121</v>
      </c>
      <c r="W339" t="n">
        <v>0.4421199442119944</v>
      </c>
      <c r="X339" t="n">
        <v>0.2529691025030031</v>
      </c>
      <c r="Y339" t="n">
        <v>6.254323741952833</v>
      </c>
      <c r="Z339" t="n">
        <v>0.3226380721136195</v>
      </c>
      <c r="AA339" t="n">
        <v>0</v>
      </c>
    </row>
    <row r="340">
      <c r="A340" t="inlineStr">
        <is>
          <t>2022-11-16</t>
        </is>
      </c>
      <c r="B340" t="inlineStr">
        <is>
          <t>CW</t>
        </is>
      </c>
      <c r="C340" t="inlineStr">
        <is>
          <t>09:20+</t>
        </is>
      </c>
      <c r="D340" t="n">
        <v>22.07891981374598</v>
      </c>
      <c r="E340" t="n">
        <v>0.3843641785227385</v>
      </c>
      <c r="F340" t="n">
        <v>11.23707595804158</v>
      </c>
      <c r="G340" t="n">
        <v>0.9136420525657072</v>
      </c>
      <c r="H340" t="n">
        <v>0.8948685857321652</v>
      </c>
      <c r="I340" t="n">
        <v>0.3886564388656439</v>
      </c>
      <c r="J340" t="n">
        <v>0.8011355430922779</v>
      </c>
      <c r="K340" t="n">
        <v>0.6677157174036119</v>
      </c>
      <c r="L340" t="b">
        <v>1</v>
      </c>
      <c r="M340" t="inlineStr">
        <is>
          <t>top_quartile_risk</t>
        </is>
      </c>
      <c r="N340" t="n">
        <v>0</v>
      </c>
      <c r="O340" t="n">
        <v>0</v>
      </c>
      <c r="P340" t="n">
        <v>0</v>
      </c>
      <c r="Q340" t="n">
        <v>0</v>
      </c>
      <c r="R340" t="n">
        <v>5.568095086769194</v>
      </c>
      <c r="S340" t="n">
        <v>3.479236812570129</v>
      </c>
      <c r="T340" t="n">
        <v>0.224466891133561</v>
      </c>
      <c r="U340" t="n">
        <v>0.1757322175732217</v>
      </c>
      <c r="V340" t="n">
        <v>0.5230125523012552</v>
      </c>
      <c r="W340" t="n">
        <v>0.4672245467224547</v>
      </c>
      <c r="X340" t="n">
        <v>0.3843641785227385</v>
      </c>
      <c r="Y340" t="n">
        <v>11.23707595804158</v>
      </c>
      <c r="Z340" t="n">
        <v>0.8011355430922779</v>
      </c>
      <c r="AA340" t="n">
        <v>0</v>
      </c>
    </row>
    <row r="341">
      <c r="A341" t="inlineStr">
        <is>
          <t>2022-11-17</t>
        </is>
      </c>
      <c r="B341" t="inlineStr">
        <is>
          <t>NW</t>
        </is>
      </c>
      <c r="C341" t="inlineStr">
        <is>
          <t>NW</t>
        </is>
      </c>
      <c r="D341" t="n">
        <v>22.14520579737587</v>
      </c>
      <c r="E341" t="n">
        <v>0.3736944213170413</v>
      </c>
      <c r="F341" t="n">
        <v>10.90890289476564</v>
      </c>
      <c r="G341" t="n">
        <v>0.8836045056320401</v>
      </c>
      <c r="H341" t="n">
        <v>0.8710888610763454</v>
      </c>
      <c r="I341" t="n">
        <v>0.5</v>
      </c>
      <c r="J341" t="n">
        <v>0.8018773466833543</v>
      </c>
      <c r="K341" t="n">
        <v>0.6677157174036119</v>
      </c>
      <c r="L341" t="b">
        <v>1</v>
      </c>
      <c r="M341" t="inlineStr">
        <is>
          <t>top_quartile_risk</t>
        </is>
      </c>
      <c r="N341" t="n">
        <v>0</v>
      </c>
      <c r="O341" t="n">
        <v>0</v>
      </c>
      <c r="P341" t="n">
        <v>0</v>
      </c>
      <c r="Q341" t="n">
        <v>0</v>
      </c>
      <c r="U341" t="n">
        <v>0.5</v>
      </c>
      <c r="V341" t="n">
        <v>0.5</v>
      </c>
      <c r="W341" t="n">
        <v>0.5</v>
      </c>
      <c r="X341" t="n">
        <v>0.3736944213170414</v>
      </c>
      <c r="Y341" t="n">
        <v>10.90890289476564</v>
      </c>
      <c r="Z341" t="n">
        <v>0.8018773466833543</v>
      </c>
      <c r="AA341" t="n">
        <v>0</v>
      </c>
    </row>
    <row r="342">
      <c r="A342" t="inlineStr">
        <is>
          <t>2022-11-22</t>
        </is>
      </c>
      <c r="B342" t="inlineStr">
        <is>
          <t>CW</t>
        </is>
      </c>
      <c r="C342" t="inlineStr">
        <is>
          <t>09:18</t>
        </is>
      </c>
      <c r="D342" t="n">
        <v>19.29829790198558</v>
      </c>
      <c r="E342" t="n">
        <v>0.2632271861071351</v>
      </c>
      <c r="F342" t="n">
        <v>4.137571401086442</v>
      </c>
      <c r="G342" t="n">
        <v>0.3566958698372966</v>
      </c>
      <c r="H342" t="n">
        <v>0.06257822277847309</v>
      </c>
      <c r="I342" t="n">
        <v>0.1729428172942817</v>
      </c>
      <c r="J342" t="n">
        <v>0.2022982005051642</v>
      </c>
      <c r="K342" t="n">
        <v>0.6677157174036119</v>
      </c>
      <c r="L342" t="b">
        <v>0</v>
      </c>
      <c r="N342" t="n">
        <v>0</v>
      </c>
      <c r="O342" t="n">
        <v>0</v>
      </c>
      <c r="P342" t="n">
        <v>0</v>
      </c>
      <c r="Q342" t="n">
        <v>0</v>
      </c>
      <c r="R342" t="n">
        <v>6.320973539855111</v>
      </c>
      <c r="S342" t="n">
        <v>1.737704918032809</v>
      </c>
      <c r="T342" t="n">
        <v>0.1311475409836084</v>
      </c>
      <c r="U342" t="n">
        <v>0.2524407252440725</v>
      </c>
      <c r="V342" t="n">
        <v>0.199442119944212</v>
      </c>
      <c r="W342" t="n">
        <v>0.06694560669456066</v>
      </c>
      <c r="X342" t="n">
        <v>0.2632271861071351</v>
      </c>
      <c r="Y342" t="n">
        <v>4.137571401086444</v>
      </c>
      <c r="Z342" t="n">
        <v>0.2022982005051642</v>
      </c>
      <c r="AA342" t="n">
        <v>2.775557561562891e-17</v>
      </c>
    </row>
    <row r="343">
      <c r="A343" t="inlineStr">
        <is>
          <t>2022-11-25</t>
        </is>
      </c>
      <c r="B343" t="inlineStr">
        <is>
          <t>CW</t>
        </is>
      </c>
      <c r="C343" t="inlineStr">
        <is>
          <t>09:17</t>
        </is>
      </c>
      <c r="D343" t="n">
        <v>16.73945354940996</v>
      </c>
      <c r="E343" t="n">
        <v>0.2402701925455675</v>
      </c>
      <c r="F343" t="n">
        <v>6.165619243908616</v>
      </c>
      <c r="G343" t="n">
        <v>0.2240300375469337</v>
      </c>
      <c r="H343" t="n">
        <v>0.2853566958698373</v>
      </c>
      <c r="I343" t="n">
        <v>0.2715016271501627</v>
      </c>
      <c r="J343" t="n">
        <v>0.258055018796741</v>
      </c>
      <c r="K343" t="n">
        <v>0.6677157174036119</v>
      </c>
      <c r="L343" t="b">
        <v>0</v>
      </c>
      <c r="N343" t="n">
        <v>0</v>
      </c>
      <c r="O343" t="n">
        <v>0</v>
      </c>
      <c r="P343" t="n">
        <v>0</v>
      </c>
      <c r="Q343" t="n">
        <v>0</v>
      </c>
      <c r="R343" t="n">
        <v>6.618562772340352</v>
      </c>
      <c r="S343" t="n">
        <v>2.740396378761925</v>
      </c>
      <c r="T343" t="n">
        <v>0.1468069488622377</v>
      </c>
      <c r="U343" t="n">
        <v>0.2831241283124128</v>
      </c>
      <c r="V343" t="n">
        <v>0.4309623430962343</v>
      </c>
      <c r="W343" t="n">
        <v>0.100418410041841</v>
      </c>
      <c r="X343" t="n">
        <v>0.2402701925455675</v>
      </c>
      <c r="Y343" t="n">
        <v>6.165619243908615</v>
      </c>
      <c r="Z343" t="n">
        <v>0.258055018796741</v>
      </c>
      <c r="AA343" t="n">
        <v>0</v>
      </c>
    </row>
    <row r="344">
      <c r="A344" t="inlineStr">
        <is>
          <t>2022-11-28</t>
        </is>
      </c>
      <c r="B344" t="inlineStr">
        <is>
          <t>CW</t>
        </is>
      </c>
      <c r="C344" t="inlineStr">
        <is>
          <t>09:18</t>
        </is>
      </c>
      <c r="D344" t="n">
        <v>-0.7420877249032478</v>
      </c>
      <c r="E344" t="n">
        <v>0.3071407926958039</v>
      </c>
      <c r="F344" t="n">
        <v>4.827556374014819</v>
      </c>
      <c r="G344" t="n">
        <v>0.6032540675844806</v>
      </c>
      <c r="H344" t="n">
        <v>0.1151439299123905</v>
      </c>
      <c r="I344" t="n">
        <v>0.4084146908414691</v>
      </c>
      <c r="J344" t="n">
        <v>0.3690421371670423</v>
      </c>
      <c r="K344" t="n">
        <v>0.6677157174036119</v>
      </c>
      <c r="L344" t="b">
        <v>0</v>
      </c>
      <c r="N344" t="n">
        <v>0</v>
      </c>
      <c r="O344" t="n">
        <v>0</v>
      </c>
      <c r="P344" t="n">
        <v>1</v>
      </c>
      <c r="Q344" t="n">
        <v>0.7420877249032478</v>
      </c>
      <c r="R344" t="n">
        <v>6.295799917856194</v>
      </c>
      <c r="S344" t="n">
        <v>2.937754508435144</v>
      </c>
      <c r="T344" t="n">
        <v>0.2326934264107071</v>
      </c>
      <c r="U344" t="n">
        <v>0.2496513249651325</v>
      </c>
      <c r="V344" t="n">
        <v>0.4630404463040446</v>
      </c>
      <c r="W344" t="n">
        <v>0.5125523012552301</v>
      </c>
      <c r="X344" t="n">
        <v>0.3071407926958038</v>
      </c>
      <c r="Y344" t="n">
        <v>4.827556374014819</v>
      </c>
      <c r="Z344" t="n">
        <v>0.3690421371670423</v>
      </c>
      <c r="AA344" t="n">
        <v>-5.551115123125783e-17</v>
      </c>
    </row>
    <row r="345">
      <c r="A345" t="inlineStr">
        <is>
          <t>2022-11-29</t>
        </is>
      </c>
      <c r="B345" t="inlineStr">
        <is>
          <t>CW</t>
        </is>
      </c>
      <c r="C345" t="inlineStr">
        <is>
          <t>09:17</t>
        </is>
      </c>
      <c r="D345" t="n">
        <v>30.94654260888343</v>
      </c>
      <c r="E345" t="n">
        <v>0.2381109894032793</v>
      </c>
      <c r="F345" t="n">
        <v>5.188078388562802</v>
      </c>
      <c r="G345" t="n">
        <v>0.214017521902378</v>
      </c>
      <c r="H345" t="n">
        <v>0.1602002503128911</v>
      </c>
      <c r="I345" t="n">
        <v>0.3100883310088331</v>
      </c>
      <c r="J345" t="n">
        <v>0.2117047750878743</v>
      </c>
      <c r="K345" t="n">
        <v>0.6677157174036119</v>
      </c>
      <c r="L345" t="b">
        <v>0</v>
      </c>
      <c r="N345" t="n">
        <v>0.7420877249032856</v>
      </c>
      <c r="O345" t="n">
        <v>1</v>
      </c>
      <c r="P345" t="n">
        <v>0</v>
      </c>
      <c r="Q345" t="n">
        <v>0</v>
      </c>
      <c r="R345" t="n">
        <v>7.336244541485498</v>
      </c>
      <c r="S345" t="n">
        <v>3.425340871300304</v>
      </c>
      <c r="T345" t="n">
        <v>0.1330229464582659</v>
      </c>
      <c r="U345" t="n">
        <v>0.3403068340306834</v>
      </c>
      <c r="V345" t="n">
        <v>0.5202231520223152</v>
      </c>
      <c r="W345" t="n">
        <v>0.0697350069735007</v>
      </c>
      <c r="X345" t="n">
        <v>0.2381109894032793</v>
      </c>
      <c r="Y345" t="n">
        <v>5.188078388562801</v>
      </c>
      <c r="Z345" t="n">
        <v>0.2117047750878743</v>
      </c>
      <c r="AA345" t="n">
        <v>-2.775557561562891e-17</v>
      </c>
    </row>
    <row r="346">
      <c r="A346" t="inlineStr">
        <is>
          <t>2022-12-02</t>
        </is>
      </c>
      <c r="B346" t="inlineStr">
        <is>
          <t>CW</t>
        </is>
      </c>
      <c r="C346" t="inlineStr">
        <is>
          <t>09:18</t>
        </is>
      </c>
      <c r="D346" t="n">
        <v>15.57789026390641</v>
      </c>
      <c r="E346" t="n">
        <v>0.2217559180966164</v>
      </c>
      <c r="F346" t="n">
        <v>4.37086068002053</v>
      </c>
      <c r="G346" t="n">
        <v>0.1501877346683354</v>
      </c>
      <c r="H346" t="n">
        <v>0.07884856070087609</v>
      </c>
      <c r="I346" t="n">
        <v>0.4067875406787541</v>
      </c>
      <c r="J346" t="n">
        <v>0.1729720262834354</v>
      </c>
      <c r="K346" t="n">
        <v>0.6677157174036119</v>
      </c>
      <c r="L346" t="b">
        <v>0</v>
      </c>
      <c r="N346" t="n">
        <v>0</v>
      </c>
      <c r="O346" t="n">
        <v>0</v>
      </c>
      <c r="P346" t="n">
        <v>0</v>
      </c>
      <c r="Q346" t="n">
        <v>0</v>
      </c>
      <c r="R346" t="n">
        <v>7.132193069531674</v>
      </c>
      <c r="S346" t="n">
        <v>2.227722772277235</v>
      </c>
      <c r="T346" t="n">
        <v>0.2475247524752462</v>
      </c>
      <c r="U346" t="n">
        <v>0.3263598326359833</v>
      </c>
      <c r="V346" t="n">
        <v>0.3193863319386332</v>
      </c>
      <c r="W346" t="n">
        <v>0.5746164574616457</v>
      </c>
      <c r="X346" t="n">
        <v>0.2217559180966165</v>
      </c>
      <c r="Y346" t="n">
        <v>4.37086068002053</v>
      </c>
      <c r="Z346" t="n">
        <v>0.1729720262834354</v>
      </c>
      <c r="AA346" t="n">
        <v>5.551115123125783e-17</v>
      </c>
    </row>
    <row r="347">
      <c r="A347" t="inlineStr">
        <is>
          <t>2022-12-05</t>
        </is>
      </c>
      <c r="B347" t="inlineStr">
        <is>
          <t>CW</t>
        </is>
      </c>
      <c r="C347" t="inlineStr">
        <is>
          <t>09:17</t>
        </is>
      </c>
      <c r="D347" t="n">
        <v>-21.5046773701132</v>
      </c>
      <c r="E347" t="n">
        <v>0.3102936900156776</v>
      </c>
      <c r="F347" t="n">
        <v>7.698142061900057</v>
      </c>
      <c r="G347" t="n">
        <v>0.6195244055068836</v>
      </c>
      <c r="H347" t="n">
        <v>0.5143929912390488</v>
      </c>
      <c r="I347" t="n">
        <v>0.1292422129242213</v>
      </c>
      <c r="J347" t="n">
        <v>0.4794154012832172</v>
      </c>
      <c r="K347" t="n">
        <v>0.6677157174036119</v>
      </c>
      <c r="L347" t="b">
        <v>0</v>
      </c>
      <c r="N347" t="n">
        <v>0</v>
      </c>
      <c r="O347" t="n">
        <v>0</v>
      </c>
      <c r="P347" t="n">
        <v>1</v>
      </c>
      <c r="Q347" t="n">
        <v>21.5046773701132</v>
      </c>
      <c r="R347" t="n">
        <v>5.663815167268783</v>
      </c>
      <c r="S347" t="n">
        <v>1.52691511387163</v>
      </c>
      <c r="T347" t="n">
        <v>0.129399585921325</v>
      </c>
      <c r="U347" t="n">
        <v>0.1882845188284519</v>
      </c>
      <c r="V347" t="n">
        <v>0.1380753138075314</v>
      </c>
      <c r="W347" t="n">
        <v>0.06136680613668061</v>
      </c>
      <c r="X347" t="n">
        <v>0.3102936900156776</v>
      </c>
      <c r="Y347" t="n">
        <v>7.698142061900057</v>
      </c>
      <c r="Z347" t="n">
        <v>0.4794154012832172</v>
      </c>
      <c r="AA347" t="n">
        <v>0</v>
      </c>
    </row>
    <row r="348">
      <c r="A348" t="inlineStr">
        <is>
          <t>2022-12-06</t>
        </is>
      </c>
      <c r="B348" t="inlineStr">
        <is>
          <t>CW</t>
        </is>
      </c>
      <c r="C348" t="inlineStr">
        <is>
          <t>09:17</t>
        </is>
      </c>
      <c r="D348" t="n">
        <v>6.923294311671619</v>
      </c>
      <c r="E348" t="n">
        <v>0.2424307631222741</v>
      </c>
      <c r="F348" t="n">
        <v>5.053652790759677</v>
      </c>
      <c r="G348" t="n">
        <v>0.2340425531914894</v>
      </c>
      <c r="H348" t="n">
        <v>0.1414267834793492</v>
      </c>
      <c r="I348" t="n">
        <v>0.5355648535564854</v>
      </c>
      <c r="J348" t="n">
        <v>0.2573007053796325</v>
      </c>
      <c r="K348" t="n">
        <v>0.6677157174036119</v>
      </c>
      <c r="L348" t="b">
        <v>0</v>
      </c>
      <c r="N348" t="n">
        <v>21.50467737011331</v>
      </c>
      <c r="O348" t="n">
        <v>1</v>
      </c>
      <c r="P348" t="n">
        <v>0</v>
      </c>
      <c r="Q348" t="n">
        <v>0</v>
      </c>
      <c r="R348" t="n">
        <v>12.33329937207224</v>
      </c>
      <c r="S348" t="n">
        <v>2.371998842927407</v>
      </c>
      <c r="T348" t="n">
        <v>0.2603413364188537</v>
      </c>
      <c r="U348" t="n">
        <v>0.6108786610878661</v>
      </c>
      <c r="V348" t="n">
        <v>0.3598326359832636</v>
      </c>
      <c r="W348" t="n">
        <v>0.6359832635983264</v>
      </c>
      <c r="X348" t="n">
        <v>0.2424307631222742</v>
      </c>
      <c r="Y348" t="n">
        <v>5.053652790759678</v>
      </c>
      <c r="Z348" t="n">
        <v>0.2573007053796325</v>
      </c>
      <c r="AA348" t="n">
        <v>0</v>
      </c>
    </row>
    <row r="349">
      <c r="A349" t="inlineStr">
        <is>
          <t>2022-12-07</t>
        </is>
      </c>
      <c r="B349" t="inlineStr">
        <is>
          <t>CW</t>
        </is>
      </c>
      <c r="C349" t="inlineStr">
        <is>
          <t>09:18</t>
        </is>
      </c>
      <c r="D349" t="n">
        <v>37.04043763301979</v>
      </c>
      <c r="E349" t="n">
        <v>0.359812271497463</v>
      </c>
      <c r="F349" t="n">
        <v>8.910091879642897</v>
      </c>
      <c r="G349" t="n">
        <v>0.8473091364205256</v>
      </c>
      <c r="H349" t="n">
        <v>0.6658322903629537</v>
      </c>
      <c r="I349" t="n">
        <v>0.203161320316132</v>
      </c>
      <c r="J349" t="n">
        <v>0.6458888347766181</v>
      </c>
      <c r="K349" t="n">
        <v>0.6677157174036119</v>
      </c>
      <c r="L349" t="b">
        <v>0</v>
      </c>
      <c r="N349" t="n">
        <v>14.58138305844204</v>
      </c>
      <c r="O349" t="n">
        <v>0</v>
      </c>
      <c r="P349" t="n">
        <v>0</v>
      </c>
      <c r="Q349" t="n">
        <v>0</v>
      </c>
      <c r="R349" t="n">
        <v>7.32158661195669</v>
      </c>
      <c r="S349" t="n">
        <v>1.435246995994644</v>
      </c>
      <c r="T349" t="n">
        <v>0.1668891855807743</v>
      </c>
      <c r="U349" t="n">
        <v>0.3375174337517434</v>
      </c>
      <c r="V349" t="n">
        <v>0.1129707112970711</v>
      </c>
      <c r="W349" t="n">
        <v>0.1589958158995816</v>
      </c>
      <c r="X349" t="n">
        <v>0.359812271497463</v>
      </c>
      <c r="Y349" t="n">
        <v>8.910091879642897</v>
      </c>
      <c r="Z349" t="n">
        <v>0.6458888347766181</v>
      </c>
      <c r="AA349" t="n">
        <v>0</v>
      </c>
    </row>
    <row r="350">
      <c r="A350" t="inlineStr">
        <is>
          <t>2022-12-08</t>
        </is>
      </c>
      <c r="B350" t="inlineStr">
        <is>
          <t>NW</t>
        </is>
      </c>
      <c r="C350" t="inlineStr">
        <is>
          <t>NW</t>
        </is>
      </c>
      <c r="D350" t="n">
        <v>47.75614687643827</v>
      </c>
      <c r="E350" t="n">
        <v>0.3513328026302601</v>
      </c>
      <c r="F350" t="n">
        <v>10.36355628271616</v>
      </c>
      <c r="G350" t="n">
        <v>0.8197747183979975</v>
      </c>
      <c r="H350" t="n">
        <v>0.8260325406758448</v>
      </c>
      <c r="I350" t="n">
        <v>0.5</v>
      </c>
      <c r="J350" t="n">
        <v>0.7583229036295369</v>
      </c>
      <c r="K350" t="n">
        <v>0.6677157174036119</v>
      </c>
      <c r="L350" t="b">
        <v>1</v>
      </c>
      <c r="M350" t="inlineStr">
        <is>
          <t>top_quartile_risk</t>
        </is>
      </c>
      <c r="N350" t="n">
        <v>0</v>
      </c>
      <c r="O350" t="n">
        <v>0</v>
      </c>
      <c r="P350" t="n">
        <v>0</v>
      </c>
      <c r="Q350" t="n">
        <v>0</v>
      </c>
      <c r="U350" t="n">
        <v>0.5</v>
      </c>
      <c r="V350" t="n">
        <v>0.5</v>
      </c>
      <c r="W350" t="n">
        <v>0.5</v>
      </c>
      <c r="X350" t="n">
        <v>0.3513328026302601</v>
      </c>
      <c r="Y350" t="n">
        <v>10.36355628271616</v>
      </c>
      <c r="Z350" t="n">
        <v>0.7583229036295369</v>
      </c>
      <c r="AA350" t="n">
        <v>0</v>
      </c>
    </row>
    <row r="351">
      <c r="A351" t="inlineStr">
        <is>
          <t>2022-12-12</t>
        </is>
      </c>
      <c r="B351" t="inlineStr">
        <is>
          <t>CW</t>
        </is>
      </c>
      <c r="C351" t="inlineStr">
        <is>
          <t>09:18</t>
        </is>
      </c>
      <c r="D351" t="n">
        <v>-5.618724794368335</v>
      </c>
      <c r="E351" t="n">
        <v>0.3376070578931795</v>
      </c>
      <c r="F351" t="n">
        <v>6.289810972315906</v>
      </c>
      <c r="G351" t="n">
        <v>0.772215269086358</v>
      </c>
      <c r="H351" t="n">
        <v>0.3091364205256571</v>
      </c>
      <c r="I351" t="n">
        <v>0.2305904230590423</v>
      </c>
      <c r="J351" t="n">
        <v>0.4786587604566145</v>
      </c>
      <c r="K351" t="n">
        <v>0.6677157174036119</v>
      </c>
      <c r="L351" t="b">
        <v>0</v>
      </c>
      <c r="N351" t="n">
        <v>0</v>
      </c>
      <c r="O351" t="n">
        <v>0</v>
      </c>
      <c r="P351" t="n">
        <v>1</v>
      </c>
      <c r="Q351" t="n">
        <v>5.618724794368335</v>
      </c>
      <c r="R351" t="n">
        <v>6.678303927982512</v>
      </c>
      <c r="S351" t="n">
        <v>1.613336918526486</v>
      </c>
      <c r="T351" t="n">
        <v>0.1882226404947459</v>
      </c>
      <c r="U351" t="n">
        <v>0.2873082287308228</v>
      </c>
      <c r="V351" t="n">
        <v>0.1617852161785216</v>
      </c>
      <c r="W351" t="n">
        <v>0.2426778242677824</v>
      </c>
      <c r="X351" t="n">
        <v>0.3376070578931794</v>
      </c>
      <c r="Y351" t="n">
        <v>6.289810972315904</v>
      </c>
      <c r="Z351" t="n">
        <v>0.4786587604566145</v>
      </c>
      <c r="AA351" t="n">
        <v>0</v>
      </c>
    </row>
    <row r="352">
      <c r="A352" t="inlineStr">
        <is>
          <t>2022-12-16</t>
        </is>
      </c>
      <c r="B352" t="inlineStr">
        <is>
          <t>CW</t>
        </is>
      </c>
      <c r="C352" t="inlineStr">
        <is>
          <t>09:18</t>
        </is>
      </c>
      <c r="D352" t="n">
        <v>-22.85526331680662</v>
      </c>
      <c r="E352" t="n">
        <v>0.2602743138990465</v>
      </c>
      <c r="F352" t="n">
        <v>5.485999101584254</v>
      </c>
      <c r="G352" t="n">
        <v>0.3341677096370463</v>
      </c>
      <c r="H352" t="n">
        <v>0.1964956195244055</v>
      </c>
      <c r="I352" t="n">
        <v>0.4146908414690841</v>
      </c>
      <c r="J352" t="n">
        <v>0.2952034999583976</v>
      </c>
      <c r="K352" t="n">
        <v>0.6677157174036119</v>
      </c>
      <c r="L352" t="b">
        <v>0</v>
      </c>
      <c r="N352" t="n">
        <v>5.618724794368063</v>
      </c>
      <c r="O352" t="n">
        <v>1</v>
      </c>
      <c r="P352" t="n">
        <v>1</v>
      </c>
      <c r="Q352" t="n">
        <v>22.85526331680662</v>
      </c>
      <c r="R352" t="n">
        <v>12.5966218150579</v>
      </c>
      <c r="S352" t="n">
        <v>2.660406885758993</v>
      </c>
      <c r="T352" t="n">
        <v>0.1788508830762313</v>
      </c>
      <c r="U352" t="n">
        <v>0.6178521617852162</v>
      </c>
      <c r="V352" t="n">
        <v>0.4211994421199442</v>
      </c>
      <c r="W352" t="n">
        <v>0.2050209205020921</v>
      </c>
      <c r="X352" t="n">
        <v>0.2602743138990465</v>
      </c>
      <c r="Y352" t="n">
        <v>5.485999101584254</v>
      </c>
      <c r="Z352" t="n">
        <v>0.2952034999583976</v>
      </c>
      <c r="AA352" t="n">
        <v>-5.551115123125783e-17</v>
      </c>
    </row>
    <row r="353">
      <c r="A353" t="inlineStr">
        <is>
          <t>2022-12-21</t>
        </is>
      </c>
      <c r="B353" t="inlineStr">
        <is>
          <t>CW</t>
        </is>
      </c>
      <c r="C353" t="inlineStr">
        <is>
          <t>09:20+</t>
        </is>
      </c>
      <c r="D353" t="n">
        <v>-34.47661308652096</v>
      </c>
      <c r="E353" t="n">
        <v>0.3809864405819004</v>
      </c>
      <c r="F353" t="n">
        <v>12.99432823006424</v>
      </c>
      <c r="G353" t="n">
        <v>0.9023779724655819</v>
      </c>
      <c r="H353" t="n">
        <v>0.9499374217772215</v>
      </c>
      <c r="I353" t="n">
        <v>0.2733612273361227</v>
      </c>
      <c r="J353" t="n">
        <v>0.7955984031643459</v>
      </c>
      <c r="K353" t="n">
        <v>0.6677157174036119</v>
      </c>
      <c r="L353" t="b">
        <v>1</v>
      </c>
      <c r="M353" t="inlineStr">
        <is>
          <t>top_quartile_risk</t>
        </is>
      </c>
      <c r="N353" t="n">
        <v>28.47398811117455</v>
      </c>
      <c r="O353" t="n">
        <v>2</v>
      </c>
      <c r="P353" t="n">
        <v>1</v>
      </c>
      <c r="Q353" t="n">
        <v>34.47661308652096</v>
      </c>
      <c r="R353" t="n">
        <v>4.710892782259515</v>
      </c>
      <c r="S353" t="n">
        <v>2.106390574794728</v>
      </c>
      <c r="T353" t="n">
        <v>0.2142092109960708</v>
      </c>
      <c r="U353" t="n">
        <v>0.1157601115760112</v>
      </c>
      <c r="V353" t="n">
        <v>0.297071129707113</v>
      </c>
      <c r="W353" t="n">
        <v>0.4072524407252441</v>
      </c>
      <c r="X353" t="n">
        <v>0.3809864405819004</v>
      </c>
      <c r="Y353" t="n">
        <v>12.99432823006424</v>
      </c>
      <c r="Z353" t="n">
        <v>0.7955984031643459</v>
      </c>
      <c r="AA353" t="n">
        <v>0</v>
      </c>
    </row>
    <row r="354">
      <c r="A354" t="inlineStr">
        <is>
          <t>2022-12-22</t>
        </is>
      </c>
      <c r="B354" t="inlineStr">
        <is>
          <t>CW</t>
        </is>
      </c>
      <c r="C354" t="inlineStr">
        <is>
          <t>09:18</t>
        </is>
      </c>
      <c r="D354" t="n">
        <v>-46.14640941740628</v>
      </c>
      <c r="E354" t="n">
        <v>0.3526552283975933</v>
      </c>
      <c r="F354" t="n">
        <v>12.32812286981585</v>
      </c>
      <c r="G354" t="n">
        <v>0.8260325406758448</v>
      </c>
      <c r="H354" t="n">
        <v>0.9336670838548186</v>
      </c>
      <c r="I354" t="n">
        <v>0.4909344490934449</v>
      </c>
      <c r="J354" t="n">
        <v>0.8020667396309543</v>
      </c>
      <c r="K354" t="n">
        <v>0.6677157174036119</v>
      </c>
      <c r="L354" t="b">
        <v>1</v>
      </c>
      <c r="M354" t="inlineStr">
        <is>
          <t>top_quartile_risk</t>
        </is>
      </c>
      <c r="N354" t="n">
        <v>62.95060119769551</v>
      </c>
      <c r="O354" t="n">
        <v>3</v>
      </c>
      <c r="P354" t="n">
        <v>1</v>
      </c>
      <c r="Q354" t="n">
        <v>46.14640941740628</v>
      </c>
      <c r="R354" t="n">
        <v>12.83468704161872</v>
      </c>
      <c r="S354" t="n">
        <v>4.517271922054912</v>
      </c>
      <c r="T354" t="n">
        <v>0.1771479185119537</v>
      </c>
      <c r="U354" t="n">
        <v>0.6304044630404463</v>
      </c>
      <c r="V354" t="n">
        <v>0.6443514644351465</v>
      </c>
      <c r="W354" t="n">
        <v>0.198047419804742</v>
      </c>
      <c r="X354" t="n">
        <v>0.3526552283975933</v>
      </c>
      <c r="Y354" t="n">
        <v>12.32812286981585</v>
      </c>
      <c r="Z354" t="n">
        <v>0.8020667396309543</v>
      </c>
      <c r="AA354" t="n">
        <v>0</v>
      </c>
    </row>
    <row r="355">
      <c r="A355" t="inlineStr">
        <is>
          <t>2022-12-23</t>
        </is>
      </c>
      <c r="B355" t="inlineStr">
        <is>
          <t>CW</t>
        </is>
      </c>
      <c r="C355" t="inlineStr">
        <is>
          <t>09:17</t>
        </is>
      </c>
      <c r="D355" t="n">
        <v>30.35693732263272</v>
      </c>
      <c r="E355" t="n">
        <v>0.2095154789215938</v>
      </c>
      <c r="F355" t="n">
        <v>5.244676017676237</v>
      </c>
      <c r="G355" t="n">
        <v>0.1214017521902378</v>
      </c>
      <c r="H355" t="n">
        <v>0.16270337922403</v>
      </c>
      <c r="I355" t="n">
        <v>0.3333333333333333</v>
      </c>
      <c r="J355" t="n">
        <v>0.1803087192323738</v>
      </c>
      <c r="K355" t="n">
        <v>0.6677157174036119</v>
      </c>
      <c r="L355" t="b">
        <v>0</v>
      </c>
      <c r="N355" t="n">
        <v>109.0970106151017</v>
      </c>
      <c r="O355" t="n">
        <v>4</v>
      </c>
      <c r="P355" t="n">
        <v>0</v>
      </c>
      <c r="Q355" t="n">
        <v>0</v>
      </c>
      <c r="R355" t="n">
        <v>7.817463605978539</v>
      </c>
      <c r="S355" t="n">
        <v>1.834372217275148</v>
      </c>
      <c r="T355" t="n">
        <v>0.2137132680320549</v>
      </c>
      <c r="U355" t="n">
        <v>0.3709902370990237</v>
      </c>
      <c r="V355" t="n">
        <v>0.2273361227336123</v>
      </c>
      <c r="W355" t="n">
        <v>0.401673640167364</v>
      </c>
      <c r="X355" t="n">
        <v>0.2095154789215938</v>
      </c>
      <c r="Y355" t="n">
        <v>5.244676017676237</v>
      </c>
      <c r="Z355" t="n">
        <v>0.1803087192323738</v>
      </c>
      <c r="AA355" t="n">
        <v>0</v>
      </c>
    </row>
    <row r="356">
      <c r="A356" t="inlineStr">
        <is>
          <t>2022-12-26</t>
        </is>
      </c>
      <c r="B356" t="inlineStr">
        <is>
          <t>CW</t>
        </is>
      </c>
      <c r="C356" t="inlineStr">
        <is>
          <t>09:18</t>
        </is>
      </c>
      <c r="D356" t="n">
        <v>8.796712748049663</v>
      </c>
      <c r="E356" t="n">
        <v>0.3340467462822848</v>
      </c>
      <c r="F356" t="n">
        <v>8.05310823457463</v>
      </c>
      <c r="G356" t="n">
        <v>0.7559449311639549</v>
      </c>
      <c r="H356" t="n">
        <v>0.5494367959949937</v>
      </c>
      <c r="I356" t="n">
        <v>0.3347280334728033</v>
      </c>
      <c r="J356" t="n">
        <v>0.58909829755814</v>
      </c>
      <c r="K356" t="n">
        <v>0.6677157174036119</v>
      </c>
      <c r="L356" t="b">
        <v>0</v>
      </c>
      <c r="N356" t="n">
        <v>78.74007329246888</v>
      </c>
      <c r="O356" t="n">
        <v>0</v>
      </c>
      <c r="P356" t="n">
        <v>0</v>
      </c>
      <c r="Q356" t="n">
        <v>0</v>
      </c>
      <c r="R356" t="n">
        <v>14.75140936140592</v>
      </c>
      <c r="S356" t="n">
        <v>1.822100313479637</v>
      </c>
      <c r="T356" t="n">
        <v>0.1371473354231953</v>
      </c>
      <c r="U356" t="n">
        <v>0.701534170153417</v>
      </c>
      <c r="V356" t="n">
        <v>0.2231520223152022</v>
      </c>
      <c r="W356" t="n">
        <v>0.07949790794979079</v>
      </c>
      <c r="X356" t="n">
        <v>0.3340467462822848</v>
      </c>
      <c r="Y356" t="n">
        <v>8.05310823457463</v>
      </c>
      <c r="Z356" t="n">
        <v>0.58909829755814</v>
      </c>
      <c r="AA356" t="n">
        <v>0</v>
      </c>
    </row>
    <row r="357">
      <c r="A357" t="inlineStr">
        <is>
          <t>2022-12-28</t>
        </is>
      </c>
      <c r="B357" t="inlineStr">
        <is>
          <t>CW</t>
        </is>
      </c>
      <c r="C357" t="inlineStr">
        <is>
          <t>09:16</t>
        </is>
      </c>
      <c r="D357" t="n">
        <v>29.96585339976583</v>
      </c>
      <c r="E357" t="n">
        <v>0.2617122840292074</v>
      </c>
      <c r="F357" t="n">
        <v>5.691185974007929</v>
      </c>
      <c r="G357" t="n">
        <v>0.3416770963704631</v>
      </c>
      <c r="H357" t="n">
        <v>0.2252816020025031</v>
      </c>
      <c r="I357" t="n">
        <v>0.5815899581589958</v>
      </c>
      <c r="J357" t="n">
        <v>0.3431014709809856</v>
      </c>
      <c r="K357" t="n">
        <v>0.6677157174036119</v>
      </c>
      <c r="L357" t="b">
        <v>0</v>
      </c>
      <c r="N357" t="n">
        <v>69.94336054441919</v>
      </c>
      <c r="O357" t="n">
        <v>0</v>
      </c>
      <c r="P357" t="n">
        <v>0</v>
      </c>
      <c r="Q357" t="n">
        <v>0</v>
      </c>
      <c r="R357" t="n">
        <v>20.67292013288236</v>
      </c>
      <c r="S357" t="n">
        <v>10.01296176279973</v>
      </c>
      <c r="T357" t="n">
        <v>0.1296176279974094</v>
      </c>
      <c r="U357" t="n">
        <v>0.799163179916318</v>
      </c>
      <c r="V357" t="n">
        <v>0.8828451882845189</v>
      </c>
      <c r="W357" t="n">
        <v>0.06276150627615062</v>
      </c>
      <c r="X357" t="n">
        <v>0.2617122840292074</v>
      </c>
      <c r="Y357" t="n">
        <v>5.691185974007928</v>
      </c>
      <c r="Z357" t="n">
        <v>0.3431014709809856</v>
      </c>
      <c r="AA357" t="n">
        <v>5.551115123125783e-17</v>
      </c>
    </row>
    <row r="358">
      <c r="A358" t="inlineStr">
        <is>
          <t>2022-12-29</t>
        </is>
      </c>
      <c r="B358" t="inlineStr">
        <is>
          <t>CW</t>
        </is>
      </c>
      <c r="C358" t="inlineStr">
        <is>
          <t>09:16</t>
        </is>
      </c>
      <c r="D358" t="n">
        <v>2.359567197298902</v>
      </c>
      <c r="E358" t="n">
        <v>0.1898359551003585</v>
      </c>
      <c r="F358" t="n">
        <v>4.55183297217871</v>
      </c>
      <c r="G358" t="n">
        <v>0.08760951188986232</v>
      </c>
      <c r="H358" t="n">
        <v>0.08760951188986232</v>
      </c>
      <c r="I358" t="n">
        <v>0.8679683867968387</v>
      </c>
      <c r="J358" t="n">
        <v>0.2436812868712576</v>
      </c>
      <c r="K358" t="n">
        <v>0.6677157174036119</v>
      </c>
      <c r="L358" t="b">
        <v>0</v>
      </c>
      <c r="N358" t="n">
        <v>39.97750714465292</v>
      </c>
      <c r="O358" t="n">
        <v>0</v>
      </c>
      <c r="P358" t="n">
        <v>0</v>
      </c>
      <c r="Q358" t="n">
        <v>0</v>
      </c>
      <c r="R358" t="n">
        <v>17.59446287014178</v>
      </c>
      <c r="S358" t="n">
        <v>16.22924477771827</v>
      </c>
      <c r="T358" t="n">
        <v>0.4284949116229229</v>
      </c>
      <c r="U358" t="n">
        <v>0.7545327754532776</v>
      </c>
      <c r="V358" t="n">
        <v>0.9428172942817294</v>
      </c>
      <c r="W358" t="n">
        <v>0.9065550906555091</v>
      </c>
      <c r="X358" t="n">
        <v>0.1898359551003585</v>
      </c>
      <c r="Y358" t="n">
        <v>4.551832972178708</v>
      </c>
      <c r="Z358" t="n">
        <v>0.2436812868712576</v>
      </c>
      <c r="AA358" t="n">
        <v>2.775557561562891e-17</v>
      </c>
    </row>
    <row r="359">
      <c r="A359" t="inlineStr">
        <is>
          <t>2023-01-02</t>
        </is>
      </c>
      <c r="B359" t="inlineStr">
        <is>
          <t>CW</t>
        </is>
      </c>
      <c r="C359" t="inlineStr">
        <is>
          <t>09:17</t>
        </is>
      </c>
      <c r="D359" t="n">
        <v>25.63995899081727</v>
      </c>
      <c r="E359" t="n">
        <v>0.2620035407729511</v>
      </c>
      <c r="F359" t="n">
        <v>6.666054510785426</v>
      </c>
      <c r="G359" t="n">
        <v>0.3479349186483104</v>
      </c>
      <c r="H359" t="n">
        <v>0.3692115143929912</v>
      </c>
      <c r="I359" t="n">
        <v>0.4621106462110646</v>
      </c>
      <c r="J359" t="n">
        <v>0.3792807024587336</v>
      </c>
      <c r="K359" t="n">
        <v>0.6677157174036119</v>
      </c>
      <c r="L359" t="b">
        <v>0</v>
      </c>
      <c r="N359" t="n">
        <v>37.61793994735399</v>
      </c>
      <c r="O359" t="n">
        <v>0</v>
      </c>
      <c r="P359" t="n">
        <v>0</v>
      </c>
      <c r="Q359" t="n">
        <v>0</v>
      </c>
      <c r="R359" t="n">
        <v>9.810919332746847</v>
      </c>
      <c r="S359" t="n">
        <v>3.198294243070363</v>
      </c>
      <c r="T359" t="n">
        <v>0.2132196162046921</v>
      </c>
      <c r="U359" t="n">
        <v>0.497907949790795</v>
      </c>
      <c r="V359" t="n">
        <v>0.4923291492329149</v>
      </c>
      <c r="W359" t="n">
        <v>0.3960948396094839</v>
      </c>
      <c r="X359" t="n">
        <v>0.2620035407729511</v>
      </c>
      <c r="Y359" t="n">
        <v>6.666054510785427</v>
      </c>
      <c r="Z359" t="n">
        <v>0.3792807024587336</v>
      </c>
      <c r="AA359" t="n">
        <v>0</v>
      </c>
    </row>
    <row r="360">
      <c r="A360" t="inlineStr">
        <is>
          <t>2023-01-03</t>
        </is>
      </c>
      <c r="B360" t="inlineStr">
        <is>
          <t>CW</t>
        </is>
      </c>
      <c r="C360" t="inlineStr">
        <is>
          <t>09:17</t>
        </is>
      </c>
      <c r="D360" t="n">
        <v>34.80491179182602</v>
      </c>
      <c r="E360" t="n">
        <v>0.2521892758977241</v>
      </c>
      <c r="F360" t="n">
        <v>5.057255319212198</v>
      </c>
      <c r="G360" t="n">
        <v>0.2803504380475594</v>
      </c>
      <c r="H360" t="n">
        <v>0.1426783479349187</v>
      </c>
      <c r="I360" t="n">
        <v>0.1478382147838215</v>
      </c>
      <c r="J360" t="n">
        <v>0.1987791573497555</v>
      </c>
      <c r="K360" t="n">
        <v>0.6677157174036119</v>
      </c>
      <c r="L360" t="b">
        <v>0</v>
      </c>
      <c r="N360" t="n">
        <v>11.97798095653707</v>
      </c>
      <c r="O360" t="n">
        <v>0</v>
      </c>
      <c r="P360" t="n">
        <v>0</v>
      </c>
      <c r="Q360" t="n">
        <v>0</v>
      </c>
      <c r="R360" t="n">
        <v>5.968786273441125</v>
      </c>
      <c r="S360" t="n">
        <v>1.684446939921393</v>
      </c>
      <c r="T360" t="n">
        <v>0.1122964626614197</v>
      </c>
      <c r="U360" t="n">
        <v>0.2245467224546722</v>
      </c>
      <c r="V360" t="n">
        <v>0.1827057182705718</v>
      </c>
      <c r="W360" t="n">
        <v>0.03626220362622036</v>
      </c>
      <c r="X360" t="n">
        <v>0.2521892758977241</v>
      </c>
      <c r="Y360" t="n">
        <v>5.057255319212198</v>
      </c>
      <c r="Z360" t="n">
        <v>0.1987791573497555</v>
      </c>
      <c r="AA360" t="n">
        <v>5.551115123125783e-17</v>
      </c>
    </row>
    <row r="361">
      <c r="A361" t="inlineStr">
        <is>
          <t>2023-01-04</t>
        </is>
      </c>
      <c r="B361" t="inlineStr">
        <is>
          <t>CW</t>
        </is>
      </c>
      <c r="C361" t="inlineStr">
        <is>
          <t>09:17</t>
        </is>
      </c>
      <c r="D361" t="n">
        <v>-40.84408035905653</v>
      </c>
      <c r="E361" t="n">
        <v>0.2583637208387172</v>
      </c>
      <c r="F361" t="n">
        <v>6.726083652050965</v>
      </c>
      <c r="G361" t="n">
        <v>0.3204005006257822</v>
      </c>
      <c r="H361" t="n">
        <v>0.379224030037547</v>
      </c>
      <c r="I361" t="n">
        <v>0.3872617387261739</v>
      </c>
      <c r="J361" t="n">
        <v>0.3573021600105665</v>
      </c>
      <c r="K361" t="n">
        <v>0.6677157174036119</v>
      </c>
      <c r="L361" t="b">
        <v>0</v>
      </c>
      <c r="N361" t="n">
        <v>0</v>
      </c>
      <c r="O361" t="n">
        <v>0</v>
      </c>
      <c r="P361" t="n">
        <v>1</v>
      </c>
      <c r="Q361" t="n">
        <v>40.84408035905653</v>
      </c>
      <c r="R361" t="n">
        <v>6.366909633792123</v>
      </c>
      <c r="S361" t="n">
        <v>1.440922190201729</v>
      </c>
      <c r="T361" t="n">
        <v>0.3242074927953911</v>
      </c>
      <c r="U361" t="n">
        <v>0.2580195258019526</v>
      </c>
      <c r="V361" t="n">
        <v>0.1157601115760112</v>
      </c>
      <c r="W361" t="n">
        <v>0.7880055788005579</v>
      </c>
      <c r="X361" t="n">
        <v>0.2583637208387172</v>
      </c>
      <c r="Y361" t="n">
        <v>6.726083652050963</v>
      </c>
      <c r="Z361" t="n">
        <v>0.3573021600105665</v>
      </c>
      <c r="AA361" t="n">
        <v>-5.551115123125783e-17</v>
      </c>
    </row>
    <row r="362">
      <c r="A362" t="inlineStr">
        <is>
          <t>2023-01-05</t>
        </is>
      </c>
      <c r="B362" t="inlineStr">
        <is>
          <t>CW</t>
        </is>
      </c>
      <c r="C362" t="inlineStr">
        <is>
          <t>09:17</t>
        </is>
      </c>
      <c r="D362" t="n">
        <v>-1.043936594730908</v>
      </c>
      <c r="E362" t="n">
        <v>0.3116020136983677</v>
      </c>
      <c r="F362" t="n">
        <v>10.6215520520476</v>
      </c>
      <c r="G362" t="n">
        <v>0.623279098873592</v>
      </c>
      <c r="H362" t="n">
        <v>0.853566958698373</v>
      </c>
      <c r="I362" t="n">
        <v>0.3472803347280335</v>
      </c>
      <c r="J362" t="n">
        <v>0.6601944899743927</v>
      </c>
      <c r="K362" t="n">
        <v>0.6677157174036119</v>
      </c>
      <c r="L362" t="b">
        <v>0</v>
      </c>
      <c r="N362" t="n">
        <v>40.84408035905653</v>
      </c>
      <c r="O362" t="n">
        <v>1</v>
      </c>
      <c r="P362" t="n">
        <v>1</v>
      </c>
      <c r="Q362" t="n">
        <v>1.043936594730908</v>
      </c>
      <c r="R362" t="n">
        <v>5.342457031973259</v>
      </c>
      <c r="S362" t="n">
        <v>2.276029055690095</v>
      </c>
      <c r="T362" t="n">
        <v>0.2421307506053268</v>
      </c>
      <c r="U362" t="n">
        <v>0.1548117154811715</v>
      </c>
      <c r="V362" t="n">
        <v>0.3319386331938633</v>
      </c>
      <c r="W362" t="n">
        <v>0.5550906555090656</v>
      </c>
      <c r="X362" t="n">
        <v>0.3116020136983676</v>
      </c>
      <c r="Y362" t="n">
        <v>10.6215520520476</v>
      </c>
      <c r="Z362" t="n">
        <v>0.6601944899743927</v>
      </c>
      <c r="AA362" t="n">
        <v>0</v>
      </c>
    </row>
    <row r="363">
      <c r="A363" t="inlineStr">
        <is>
          <t>2023-01-11</t>
        </is>
      </c>
      <c r="B363" t="inlineStr">
        <is>
          <t>CW</t>
        </is>
      </c>
      <c r="C363" t="inlineStr">
        <is>
          <t>09:18</t>
        </is>
      </c>
      <c r="D363" t="n">
        <v>-32.36784277184886</v>
      </c>
      <c r="E363" t="n">
        <v>0.3522394170898192</v>
      </c>
      <c r="F363" t="n">
        <v>9.55493412689116</v>
      </c>
      <c r="G363" t="n">
        <v>0.8235294117647058</v>
      </c>
      <c r="H363" t="n">
        <v>0.7321652065081352</v>
      </c>
      <c r="I363" t="n">
        <v>0.403533240353324</v>
      </c>
      <c r="J363" t="n">
        <v>0.7029844953798012</v>
      </c>
      <c r="K363" t="n">
        <v>0.6677157174036119</v>
      </c>
      <c r="L363" t="b">
        <v>1</v>
      </c>
      <c r="M363" t="inlineStr">
        <is>
          <t>top_quartile_risk</t>
        </is>
      </c>
      <c r="N363" t="n">
        <v>41.88801695378788</v>
      </c>
      <c r="O363" t="n">
        <v>2</v>
      </c>
      <c r="P363" t="n">
        <v>1</v>
      </c>
      <c r="Q363" t="n">
        <v>32.36784277184886</v>
      </c>
      <c r="R363" t="n">
        <v>8.159319088057597</v>
      </c>
      <c r="S363" t="n">
        <v>2.903703703703707</v>
      </c>
      <c r="T363" t="n">
        <v>0.2074074074074124</v>
      </c>
      <c r="U363" t="n">
        <v>0.393305439330544</v>
      </c>
      <c r="V363" t="n">
        <v>0.4588563458856346</v>
      </c>
      <c r="W363" t="n">
        <v>0.3584379358437936</v>
      </c>
      <c r="X363" t="n">
        <v>0.3522394170898192</v>
      </c>
      <c r="Y363" t="n">
        <v>9.554934126891162</v>
      </c>
      <c r="Z363" t="n">
        <v>0.7029844953798012</v>
      </c>
      <c r="AA363" t="n">
        <v>0</v>
      </c>
    </row>
    <row r="364">
      <c r="A364" t="inlineStr">
        <is>
          <t>2023-01-12</t>
        </is>
      </c>
      <c r="B364" t="inlineStr">
        <is>
          <t>CW</t>
        </is>
      </c>
      <c r="C364" t="inlineStr">
        <is>
          <t>09:17</t>
        </is>
      </c>
      <c r="D364" t="n">
        <v>40.5879190978232</v>
      </c>
      <c r="E364" t="n">
        <v>0.2816343618473811</v>
      </c>
      <c r="F364" t="n">
        <v>9.714573067282283</v>
      </c>
      <c r="G364" t="n">
        <v>0.4693366708385482</v>
      </c>
      <c r="H364" t="n">
        <v>0.7509386733416771</v>
      </c>
      <c r="I364" t="n">
        <v>0.6006508600650861</v>
      </c>
      <c r="J364" t="n">
        <v>0.6082403096851073</v>
      </c>
      <c r="K364" t="n">
        <v>0.6677157174036119</v>
      </c>
      <c r="L364" t="b">
        <v>0</v>
      </c>
      <c r="N364" t="n">
        <v>74.25585972563658</v>
      </c>
      <c r="O364" t="n">
        <v>3</v>
      </c>
      <c r="P364" t="n">
        <v>0</v>
      </c>
      <c r="Q364" t="n">
        <v>0</v>
      </c>
      <c r="R364" t="n">
        <v>11.91236738075898</v>
      </c>
      <c r="S364" t="n">
        <v>2.460077686663785</v>
      </c>
      <c r="T364" t="n">
        <v>0.3452740612861447</v>
      </c>
      <c r="U364" t="n">
        <v>0.596931659693166</v>
      </c>
      <c r="V364" t="n">
        <v>0.3793584379358438</v>
      </c>
      <c r="W364" t="n">
        <v>0.8256624825662483</v>
      </c>
      <c r="X364" t="n">
        <v>0.2816343618473812</v>
      </c>
      <c r="Y364" t="n">
        <v>9.714573067282281</v>
      </c>
      <c r="Z364" t="n">
        <v>0.6082403096851073</v>
      </c>
      <c r="AA364" t="n">
        <v>0</v>
      </c>
    </row>
    <row r="365">
      <c r="A365" t="inlineStr">
        <is>
          <t>2023-01-13</t>
        </is>
      </c>
      <c r="B365" t="inlineStr">
        <is>
          <t>CW</t>
        </is>
      </c>
      <c r="C365" t="inlineStr">
        <is>
          <t>09:16</t>
        </is>
      </c>
      <c r="D365" t="n">
        <v>35.18895982823263</v>
      </c>
      <c r="E365" t="n">
        <v>0.2163462881046365</v>
      </c>
      <c r="F365" t="n">
        <v>6.106522337695999</v>
      </c>
      <c r="G365" t="n">
        <v>0.132665832290363</v>
      </c>
      <c r="H365" t="n">
        <v>0.27909887359199</v>
      </c>
      <c r="I365" t="n">
        <v>0.7006043700604371</v>
      </c>
      <c r="J365" t="n">
        <v>0.3048267563650286</v>
      </c>
      <c r="K365" t="n">
        <v>0.6677157174036119</v>
      </c>
      <c r="L365" t="b">
        <v>0</v>
      </c>
      <c r="N365" t="n">
        <v>33.66794062781355</v>
      </c>
      <c r="O365" t="n">
        <v>0</v>
      </c>
      <c r="P365" t="n">
        <v>0</v>
      </c>
      <c r="Q365" t="n">
        <v>0</v>
      </c>
      <c r="R365" t="n">
        <v>19.21234967596623</v>
      </c>
      <c r="S365" t="n">
        <v>3.568866571018648</v>
      </c>
      <c r="T365" t="n">
        <v>0.3228120516499304</v>
      </c>
      <c r="U365" t="n">
        <v>0.7796373779637378</v>
      </c>
      <c r="V365" t="n">
        <v>0.5383542538354253</v>
      </c>
      <c r="W365" t="n">
        <v>0.7838214783821479</v>
      </c>
      <c r="X365" t="n">
        <v>0.2163462881046366</v>
      </c>
      <c r="Y365" t="n">
        <v>6.106522337695998</v>
      </c>
      <c r="Z365" t="n">
        <v>0.3048267563650286</v>
      </c>
      <c r="AA365" t="n">
        <v>0</v>
      </c>
    </row>
    <row r="366">
      <c r="A366" t="inlineStr">
        <is>
          <t>2023-01-17</t>
        </is>
      </c>
      <c r="B366" t="inlineStr">
        <is>
          <t>CW</t>
        </is>
      </c>
      <c r="C366" t="inlineStr">
        <is>
          <t>09:16</t>
        </is>
      </c>
      <c r="D366" t="n">
        <v>12.36113169528518</v>
      </c>
      <c r="E366" t="n">
        <v>0.2511632911152948</v>
      </c>
      <c r="F366" t="n">
        <v>5.608716321724226</v>
      </c>
      <c r="G366" t="n">
        <v>0.2728410513141427</v>
      </c>
      <c r="H366" t="n">
        <v>0.2190237797246558</v>
      </c>
      <c r="I366" t="n">
        <v>0.5095304509530451</v>
      </c>
      <c r="J366" t="n">
        <v>0.2986520226061284</v>
      </c>
      <c r="K366" t="n">
        <v>0.6677157174036119</v>
      </c>
      <c r="L366" t="b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18.15470039158292</v>
      </c>
      <c r="S366" t="n">
        <v>5.096566523605151</v>
      </c>
      <c r="T366" t="n">
        <v>0.1341201716738197</v>
      </c>
      <c r="U366" t="n">
        <v>0.7615062761506276</v>
      </c>
      <c r="V366" t="n">
        <v>0.6931659693165969</v>
      </c>
      <c r="W366" t="n">
        <v>0.07391910739191074</v>
      </c>
      <c r="X366" t="n">
        <v>0.2511632911152948</v>
      </c>
      <c r="Y366" t="n">
        <v>5.608716321724227</v>
      </c>
      <c r="Z366" t="n">
        <v>0.2986520226061284</v>
      </c>
      <c r="AA366" t="n">
        <v>5.551115123125783e-17</v>
      </c>
    </row>
    <row r="367">
      <c r="A367" t="inlineStr">
        <is>
          <t>2023-01-18</t>
        </is>
      </c>
      <c r="B367" t="inlineStr">
        <is>
          <t>CW</t>
        </is>
      </c>
      <c r="C367" t="inlineStr">
        <is>
          <t>09:17</t>
        </is>
      </c>
      <c r="D367" t="n">
        <v>23.01648539912456</v>
      </c>
      <c r="E367" t="n">
        <v>0.2617887591024742</v>
      </c>
      <c r="F367" t="n">
        <v>7.177946880574344</v>
      </c>
      <c r="G367" t="n">
        <v>0.3429286608260325</v>
      </c>
      <c r="H367" t="n">
        <v>0.4405506883604506</v>
      </c>
      <c r="I367" t="n">
        <v>0.5197582519758251</v>
      </c>
      <c r="J367" t="n">
        <v>0.4173433900697583</v>
      </c>
      <c r="K367" t="n">
        <v>0.6677157174036119</v>
      </c>
      <c r="L367" t="b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13.56007250487748</v>
      </c>
      <c r="S367" t="n">
        <v>3.457911281872154</v>
      </c>
      <c r="T367" t="n">
        <v>0.209570380719523</v>
      </c>
      <c r="U367" t="n">
        <v>0.6638772663877266</v>
      </c>
      <c r="V367" t="n">
        <v>0.5216178521617852</v>
      </c>
      <c r="W367" t="n">
        <v>0.3737796373779637</v>
      </c>
      <c r="X367" t="n">
        <v>0.2617887591024742</v>
      </c>
      <c r="Y367" t="n">
        <v>7.177946880574344</v>
      </c>
      <c r="Z367" t="n">
        <v>0.4173433900697583</v>
      </c>
      <c r="AA367" t="n">
        <v>0</v>
      </c>
    </row>
    <row r="368">
      <c r="A368" t="inlineStr">
        <is>
          <t>2023-01-19</t>
        </is>
      </c>
      <c r="B368" t="inlineStr">
        <is>
          <t>CW</t>
        </is>
      </c>
      <c r="C368" t="inlineStr">
        <is>
          <t>09:16</t>
        </is>
      </c>
      <c r="D368" t="n">
        <v>12.52249975392271</v>
      </c>
      <c r="E368" t="n">
        <v>0.1886616100704269</v>
      </c>
      <c r="F368" t="n">
        <v>4.901505654948966</v>
      </c>
      <c r="G368" t="n">
        <v>0.0851063829787234</v>
      </c>
      <c r="H368" t="n">
        <v>0.1239048811013767</v>
      </c>
      <c r="I368" t="n">
        <v>0.8754067875406788</v>
      </c>
      <c r="J368" t="n">
        <v>0.2586858631401758</v>
      </c>
      <c r="K368" t="n">
        <v>0.6677157174036119</v>
      </c>
      <c r="L368" t="b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16.89254464655507</v>
      </c>
      <c r="S368" t="n">
        <v>15.83949313621964</v>
      </c>
      <c r="T368" t="n">
        <v>0.4751847940865847</v>
      </c>
      <c r="U368" t="n">
        <v>0.7433751743375174</v>
      </c>
      <c r="V368" t="n">
        <v>0.9400278940027894</v>
      </c>
      <c r="W368" t="n">
        <v>0.9428172942817294</v>
      </c>
      <c r="X368" t="n">
        <v>0.1886616100704269</v>
      </c>
      <c r="Y368" t="n">
        <v>4.901505654948963</v>
      </c>
      <c r="Z368" t="n">
        <v>0.2586858631401758</v>
      </c>
      <c r="AA368" t="n">
        <v>5.551115123125783e-17</v>
      </c>
    </row>
    <row r="369">
      <c r="A369" t="inlineStr">
        <is>
          <t>2023-01-20</t>
        </is>
      </c>
      <c r="B369" t="inlineStr">
        <is>
          <t>CW</t>
        </is>
      </c>
      <c r="C369" t="inlineStr">
        <is>
          <t>09:17</t>
        </is>
      </c>
      <c r="D369" t="n">
        <v>25.58808949452743</v>
      </c>
      <c r="E369" t="n">
        <v>0.2235061781467321</v>
      </c>
      <c r="F369" t="n">
        <v>6.166607498053582</v>
      </c>
      <c r="G369" t="n">
        <v>0.1539424280350438</v>
      </c>
      <c r="H369" t="n">
        <v>0.2866082603254068</v>
      </c>
      <c r="I369" t="n">
        <v>0.2157136215713621</v>
      </c>
      <c r="J369" t="n">
        <v>0.2193629996584527</v>
      </c>
      <c r="K369" t="n">
        <v>0.6677157174036119</v>
      </c>
      <c r="L369" t="b">
        <v>0</v>
      </c>
      <c r="N369" t="n">
        <v>0</v>
      </c>
      <c r="O369" t="n">
        <v>0</v>
      </c>
      <c r="P369" t="n">
        <v>0</v>
      </c>
      <c r="Q369" t="n">
        <v>0</v>
      </c>
      <c r="R369" t="n">
        <v>6.705945662525406</v>
      </c>
      <c r="S369" t="n">
        <v>1.356174161313358</v>
      </c>
      <c r="T369" t="n">
        <v>0.1903402331667815</v>
      </c>
      <c r="U369" t="n">
        <v>0.2900976290097629</v>
      </c>
      <c r="V369" t="n">
        <v>0.100418410041841</v>
      </c>
      <c r="W369" t="n">
        <v>0.2566248256624826</v>
      </c>
      <c r="X369" t="n">
        <v>0.2235061781467321</v>
      </c>
      <c r="Y369" t="n">
        <v>6.166607498053583</v>
      </c>
      <c r="Z369" t="n">
        <v>0.2193629996584527</v>
      </c>
      <c r="AA369" t="n">
        <v>-5.551115123125783e-17</v>
      </c>
    </row>
    <row r="370">
      <c r="A370" t="inlineStr">
        <is>
          <t>2023-01-27</t>
        </is>
      </c>
      <c r="B370" t="inlineStr">
        <is>
          <t>CW</t>
        </is>
      </c>
      <c r="C370" t="inlineStr">
        <is>
          <t>09:18</t>
        </is>
      </c>
      <c r="D370" t="n">
        <v>-13.24194754899105</v>
      </c>
      <c r="E370" t="n">
        <v>0.2443305242827662</v>
      </c>
      <c r="F370" t="n">
        <v>7.073183993169335</v>
      </c>
      <c r="G370" t="n">
        <v>0.2415519399249061</v>
      </c>
      <c r="H370" t="n">
        <v>0.4267834793491865</v>
      </c>
      <c r="I370" t="n">
        <v>0.7322175732217574</v>
      </c>
      <c r="J370" t="n">
        <v>0.4137776823539885</v>
      </c>
      <c r="K370" t="n">
        <v>0.6677157174036119</v>
      </c>
      <c r="L370" t="b">
        <v>0</v>
      </c>
      <c r="N370" t="n">
        <v>0</v>
      </c>
      <c r="O370" t="n">
        <v>0</v>
      </c>
      <c r="P370" t="n">
        <v>1</v>
      </c>
      <c r="Q370" t="n">
        <v>13.24194754899105</v>
      </c>
      <c r="R370" t="n">
        <v>41.60883759348807</v>
      </c>
      <c r="S370" t="n">
        <v>9.512074913750622</v>
      </c>
      <c r="T370" t="n">
        <v>0.2094627895515018</v>
      </c>
      <c r="U370" t="n">
        <v>0.9581589958158996</v>
      </c>
      <c r="V370" t="n">
        <v>0.8675034867503487</v>
      </c>
      <c r="W370" t="n">
        <v>0.3709902370990237</v>
      </c>
      <c r="X370" t="n">
        <v>0.2443305242827662</v>
      </c>
      <c r="Y370" t="n">
        <v>7.073183993169335</v>
      </c>
      <c r="Z370" t="n">
        <v>0.4137776823539885</v>
      </c>
      <c r="AA370" t="n">
        <v>0</v>
      </c>
    </row>
    <row r="371">
      <c r="A371" t="inlineStr">
        <is>
          <t>2023-01-30</t>
        </is>
      </c>
      <c r="B371" t="inlineStr">
        <is>
          <t>CW</t>
        </is>
      </c>
      <c r="C371" t="inlineStr">
        <is>
          <t>09:16</t>
        </is>
      </c>
      <c r="D371" t="n">
        <v>-39.55652335842743</v>
      </c>
      <c r="E371" t="n">
        <v>0.2451550642245026</v>
      </c>
      <c r="F371" t="n">
        <v>9.855779851318713</v>
      </c>
      <c r="G371" t="n">
        <v>0.2440550688360451</v>
      </c>
      <c r="H371" t="n">
        <v>0.7772215269086358</v>
      </c>
      <c r="I371" t="n">
        <v>0.8475127847512786</v>
      </c>
      <c r="J371" t="n">
        <v>0.578013195248128</v>
      </c>
      <c r="K371" t="n">
        <v>0.6677157174036119</v>
      </c>
      <c r="L371" t="b">
        <v>0</v>
      </c>
      <c r="N371" t="n">
        <v>13.24194754899145</v>
      </c>
      <c r="O371" t="n">
        <v>1</v>
      </c>
      <c r="P371" t="n">
        <v>1</v>
      </c>
      <c r="Q371" t="n">
        <v>39.55652335842743</v>
      </c>
      <c r="R371" t="n">
        <v>56.91405691405691</v>
      </c>
      <c r="S371" t="n">
        <v>13.65066876475215</v>
      </c>
      <c r="T371" t="n">
        <v>0.2622606871230002</v>
      </c>
      <c r="U371" t="n">
        <v>0.9846582984658299</v>
      </c>
      <c r="V371" t="n">
        <v>0.9149232914923291</v>
      </c>
      <c r="W371" t="n">
        <v>0.6429567642956764</v>
      </c>
      <c r="X371" t="n">
        <v>0.2451550642245026</v>
      </c>
      <c r="Y371" t="n">
        <v>9.855779851318712</v>
      </c>
      <c r="Z371" t="n">
        <v>0.578013195248128</v>
      </c>
      <c r="AA371" t="n">
        <v>0</v>
      </c>
    </row>
    <row r="372">
      <c r="A372" t="inlineStr">
        <is>
          <t>2023-01-31</t>
        </is>
      </c>
      <c r="B372" t="inlineStr">
        <is>
          <t>CW</t>
        </is>
      </c>
      <c r="C372" t="inlineStr">
        <is>
          <t>09:16</t>
        </is>
      </c>
      <c r="D372" t="n">
        <v>20.77616474113379</v>
      </c>
      <c r="E372" t="n">
        <v>0.2706544542987176</v>
      </c>
      <c r="F372" t="n">
        <v>8.90445330805751</v>
      </c>
      <c r="G372" t="n">
        <v>0.3942428035043805</v>
      </c>
      <c r="H372" t="n">
        <v>0.6633291614518148</v>
      </c>
      <c r="I372" t="n">
        <v>0.7484890748489074</v>
      </c>
      <c r="J372" t="n">
        <v>0.5727266009522596</v>
      </c>
      <c r="K372" t="n">
        <v>0.6677157174036119</v>
      </c>
      <c r="L372" t="b">
        <v>0</v>
      </c>
      <c r="N372" t="n">
        <v>52.79847090741896</v>
      </c>
      <c r="O372" t="n">
        <v>2</v>
      </c>
      <c r="P372" t="n">
        <v>0</v>
      </c>
      <c r="Q372" t="n">
        <v>0</v>
      </c>
      <c r="R372" t="n">
        <v>25.81155307041738</v>
      </c>
      <c r="S372" t="n">
        <v>6.468716861081661</v>
      </c>
      <c r="T372" t="n">
        <v>0.25753673685805</v>
      </c>
      <c r="U372" t="n">
        <v>0.8675034867503487</v>
      </c>
      <c r="V372" t="n">
        <v>0.7601115760111576</v>
      </c>
      <c r="W372" t="n">
        <v>0.6178521617852162</v>
      </c>
      <c r="X372" t="n">
        <v>0.2706544542987176</v>
      </c>
      <c r="Y372" t="n">
        <v>8.904453308057512</v>
      </c>
      <c r="Z372" t="n">
        <v>0.5727266009522596</v>
      </c>
      <c r="AA372" t="n">
        <v>0</v>
      </c>
    </row>
    <row r="373">
      <c r="A373" t="inlineStr">
        <is>
          <t>2023-02-01</t>
        </is>
      </c>
      <c r="B373" t="inlineStr">
        <is>
          <t>CW</t>
        </is>
      </c>
      <c r="C373" t="inlineStr">
        <is>
          <t>09:18</t>
        </is>
      </c>
      <c r="D373" t="n">
        <v>23.67793173357598</v>
      </c>
      <c r="E373" t="n">
        <v>0.4846346230629497</v>
      </c>
      <c r="F373" t="n">
        <v>13.52530741247298</v>
      </c>
      <c r="G373" t="n">
        <v>0.9887359198998749</v>
      </c>
      <c r="H373" t="n">
        <v>0.9624530663329162</v>
      </c>
      <c r="I373" t="n">
        <v>0.304509530450953</v>
      </c>
      <c r="J373" t="n">
        <v>0.8413775005833071</v>
      </c>
      <c r="K373" t="n">
        <v>0.6677157174036119</v>
      </c>
      <c r="L373" t="b">
        <v>1</v>
      </c>
      <c r="M373" t="inlineStr">
        <is>
          <t>top_quartile_risk</t>
        </is>
      </c>
      <c r="N373" t="n">
        <v>32.02230616628549</v>
      </c>
      <c r="O373" t="n">
        <v>0</v>
      </c>
      <c r="P373" t="n">
        <v>0</v>
      </c>
      <c r="Q373" t="n">
        <v>0</v>
      </c>
      <c r="R373" t="n">
        <v>9.589749935320039</v>
      </c>
      <c r="S373" t="n">
        <v>1.914453259744724</v>
      </c>
      <c r="T373" t="n">
        <v>0.1724732666436702</v>
      </c>
      <c r="U373" t="n">
        <v>0.4825662482566248</v>
      </c>
      <c r="V373" t="n">
        <v>0.2510460251046025</v>
      </c>
      <c r="W373" t="n">
        <v>0.1799163179916318</v>
      </c>
      <c r="X373" t="n">
        <v>0.4846346230629497</v>
      </c>
      <c r="Y373" t="n">
        <v>13.52530741247298</v>
      </c>
      <c r="Z373" t="n">
        <v>0.8413775005833071</v>
      </c>
      <c r="AA373" t="n">
        <v>0</v>
      </c>
    </row>
    <row r="374">
      <c r="A374" t="inlineStr">
        <is>
          <t>2023-02-02</t>
        </is>
      </c>
      <c r="B374" t="inlineStr">
        <is>
          <t>CW</t>
        </is>
      </c>
      <c r="C374" t="inlineStr">
        <is>
          <t>09:16</t>
        </is>
      </c>
      <c r="D374" t="n">
        <v>30.27922767192629</v>
      </c>
      <c r="E374" t="n">
        <v>0.1503416409212746</v>
      </c>
      <c r="F374" t="n">
        <v>4.599322584912469</v>
      </c>
      <c r="G374" t="n">
        <v>0.02252816020025031</v>
      </c>
      <c r="H374" t="n">
        <v>0.09386733416770963</v>
      </c>
      <c r="I374" t="n">
        <v>0.9739655973965596</v>
      </c>
      <c r="J374" t="n">
        <v>0.2413513172264959</v>
      </c>
      <c r="K374" t="n">
        <v>0.6677157174036119</v>
      </c>
      <c r="L374" t="b">
        <v>0</v>
      </c>
      <c r="N374" t="n">
        <v>8.344374432709628</v>
      </c>
      <c r="O374" t="n">
        <v>0</v>
      </c>
      <c r="P374" t="n">
        <v>0</v>
      </c>
      <c r="Q374" t="n">
        <v>0</v>
      </c>
      <c r="R374" t="n">
        <v>39.30647058151799</v>
      </c>
      <c r="S374" t="n">
        <v>29.82921083627799</v>
      </c>
      <c r="T374" t="n">
        <v>0.7361601884570081</v>
      </c>
      <c r="U374" t="n">
        <v>0.9483960948396095</v>
      </c>
      <c r="V374" t="n">
        <v>0.9874476987447699</v>
      </c>
      <c r="W374" t="n">
        <v>0.9860529986052998</v>
      </c>
      <c r="X374" t="n">
        <v>0.1503416409212747</v>
      </c>
      <c r="Y374" t="n">
        <v>4.599322584912469</v>
      </c>
      <c r="Z374" t="n">
        <v>0.2413513172264959</v>
      </c>
      <c r="AA374" t="n">
        <v>2.775557561562891e-17</v>
      </c>
    </row>
    <row r="375">
      <c r="A375" t="inlineStr">
        <is>
          <t>2023-02-07</t>
        </is>
      </c>
      <c r="B375" t="inlineStr">
        <is>
          <t>CW</t>
        </is>
      </c>
      <c r="C375" t="inlineStr">
        <is>
          <t>09:17</t>
        </is>
      </c>
      <c r="D375" t="n">
        <v>12.08421188526036</v>
      </c>
      <c r="E375" t="n">
        <v>0.2581016327133885</v>
      </c>
      <c r="F375" t="n">
        <v>6.40224081669</v>
      </c>
      <c r="G375" t="n">
        <v>0.3191489361702128</v>
      </c>
      <c r="H375" t="n">
        <v>0.3254067584480601</v>
      </c>
      <c r="I375" t="n">
        <v>0.3877266387726639</v>
      </c>
      <c r="J375" t="n">
        <v>0.3353676056018419</v>
      </c>
      <c r="K375" t="n">
        <v>0.6677157174036119</v>
      </c>
      <c r="L375" t="b">
        <v>0</v>
      </c>
      <c r="N375" t="n">
        <v>0</v>
      </c>
      <c r="O375" t="n">
        <v>0</v>
      </c>
      <c r="P375" t="n">
        <v>0</v>
      </c>
      <c r="Q375" t="n">
        <v>0</v>
      </c>
      <c r="R375" t="n">
        <v>7.564168897487645</v>
      </c>
      <c r="S375" t="n">
        <v>2.307692307692296</v>
      </c>
      <c r="T375" t="n">
        <v>0.2233250620347409</v>
      </c>
      <c r="U375" t="n">
        <v>0.3584379358437936</v>
      </c>
      <c r="V375" t="n">
        <v>0.3417015341701534</v>
      </c>
      <c r="W375" t="n">
        <v>0.4630404463040446</v>
      </c>
      <c r="X375" t="n">
        <v>0.2581016327133885</v>
      </c>
      <c r="Y375" t="n">
        <v>6.40224081669</v>
      </c>
      <c r="Z375" t="n">
        <v>0.3353676056018419</v>
      </c>
      <c r="AA375" t="n">
        <v>0</v>
      </c>
    </row>
    <row r="376">
      <c r="A376" t="inlineStr">
        <is>
          <t>2023-02-08</t>
        </is>
      </c>
      <c r="B376" t="inlineStr">
        <is>
          <t>CW</t>
        </is>
      </c>
      <c r="C376" t="inlineStr">
        <is>
          <t>09:17</t>
        </is>
      </c>
      <c r="D376" t="n">
        <v>26.79658557444311</v>
      </c>
      <c r="E376" t="n">
        <v>0.3231950537914914</v>
      </c>
      <c r="F376" t="n">
        <v>9.830408675462273</v>
      </c>
      <c r="G376" t="n">
        <v>0.6946182728410513</v>
      </c>
      <c r="H376" t="n">
        <v>0.7697121401752191</v>
      </c>
      <c r="I376" t="n">
        <v>0.2422129242212925</v>
      </c>
      <c r="J376" t="n">
        <v>0.6341747500507666</v>
      </c>
      <c r="K376" t="n">
        <v>0.6677157174036119</v>
      </c>
      <c r="L376" t="b">
        <v>0</v>
      </c>
      <c r="N376" t="n">
        <v>0</v>
      </c>
      <c r="O376" t="n">
        <v>0</v>
      </c>
      <c r="P376" t="n">
        <v>0</v>
      </c>
      <c r="Q376" t="n">
        <v>0</v>
      </c>
      <c r="R376" t="n">
        <v>7.912328026535455</v>
      </c>
      <c r="S376" t="n">
        <v>1.823899371069168</v>
      </c>
      <c r="T376" t="n">
        <v>0.1572327044025067</v>
      </c>
      <c r="U376" t="n">
        <v>0.3779637377963738</v>
      </c>
      <c r="V376" t="n">
        <v>0.2245467224546722</v>
      </c>
      <c r="W376" t="n">
        <v>0.1241283124128312</v>
      </c>
      <c r="X376" t="n">
        <v>0.3231950537914914</v>
      </c>
      <c r="Y376" t="n">
        <v>9.830408675462273</v>
      </c>
      <c r="Z376" t="n">
        <v>0.6341747500507666</v>
      </c>
      <c r="AA376" t="n">
        <v>0</v>
      </c>
    </row>
    <row r="377">
      <c r="A377" t="inlineStr">
        <is>
          <t>2023-02-09</t>
        </is>
      </c>
      <c r="B377" t="inlineStr">
        <is>
          <t>CW</t>
        </is>
      </c>
      <c r="C377" t="inlineStr">
        <is>
          <t>09:16</t>
        </is>
      </c>
      <c r="D377" t="n">
        <v>58.62403736916579</v>
      </c>
      <c r="E377" t="n">
        <v>0.1809768196142441</v>
      </c>
      <c r="F377" t="n">
        <v>5.792607041086466</v>
      </c>
      <c r="G377" t="n">
        <v>0.06758448060075094</v>
      </c>
      <c r="H377" t="n">
        <v>0.2390488110137672</v>
      </c>
      <c r="I377" t="n">
        <v>0.9005113900511389</v>
      </c>
      <c r="J377" t="n">
        <v>0.3027555946560351</v>
      </c>
      <c r="K377" t="n">
        <v>0.6677157174036119</v>
      </c>
      <c r="L377" t="b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20.99274082793841</v>
      </c>
      <c r="S377" t="n">
        <v>14.8675171736997</v>
      </c>
      <c r="T377" t="n">
        <v>0.5397448478900925</v>
      </c>
      <c r="U377" t="n">
        <v>0.8103207810320781</v>
      </c>
      <c r="V377" t="n">
        <v>0.9260808926080892</v>
      </c>
      <c r="W377" t="n">
        <v>0.9651324965132496</v>
      </c>
      <c r="X377" t="n">
        <v>0.1809768196142441</v>
      </c>
      <c r="Y377" t="n">
        <v>5.792607041086464</v>
      </c>
      <c r="Z377" t="n">
        <v>0.3027555946560351</v>
      </c>
      <c r="AA377" t="n">
        <v>0</v>
      </c>
    </row>
    <row r="378">
      <c r="A378" t="inlineStr">
        <is>
          <t>2023-02-10</t>
        </is>
      </c>
      <c r="B378" t="inlineStr">
        <is>
          <t>CW</t>
        </is>
      </c>
      <c r="C378" t="inlineStr">
        <is>
          <t>09:18</t>
        </is>
      </c>
      <c r="D378" t="n">
        <v>18.38930793416658</v>
      </c>
      <c r="E378" t="n">
        <v>0.2357884517664818</v>
      </c>
      <c r="F378" t="n">
        <v>3.824076811344235</v>
      </c>
      <c r="G378" t="n">
        <v>0.2040050062578223</v>
      </c>
      <c r="H378" t="n">
        <v>0.04380475594493116</v>
      </c>
      <c r="I378" t="n">
        <v>0.3584379358437936</v>
      </c>
      <c r="J378" t="n">
        <v>0.1708114920498601</v>
      </c>
      <c r="K378" t="n">
        <v>0.6677157174036119</v>
      </c>
      <c r="L378" t="b">
        <v>0</v>
      </c>
      <c r="N378" t="n">
        <v>0</v>
      </c>
      <c r="O378" t="n">
        <v>0</v>
      </c>
      <c r="P378" t="n">
        <v>0</v>
      </c>
      <c r="Q378" t="n">
        <v>0</v>
      </c>
      <c r="R378" t="n">
        <v>8.594576738093393</v>
      </c>
      <c r="S378" t="n">
        <v>1.93213949104618</v>
      </c>
      <c r="T378" t="n">
        <v>0.2120640904806799</v>
      </c>
      <c r="U378" t="n">
        <v>0.4253835425383543</v>
      </c>
      <c r="V378" t="n">
        <v>0.2566248256624826</v>
      </c>
      <c r="W378" t="n">
        <v>0.393305439330544</v>
      </c>
      <c r="X378" t="n">
        <v>0.2357884517664818</v>
      </c>
      <c r="Y378" t="n">
        <v>3.824076811344235</v>
      </c>
      <c r="Z378" t="n">
        <v>0.1708114920498601</v>
      </c>
      <c r="AA378" t="n">
        <v>2.775557561562891e-17</v>
      </c>
    </row>
    <row r="379">
      <c r="A379" t="inlineStr">
        <is>
          <t>2023-02-14</t>
        </is>
      </c>
      <c r="B379" t="inlineStr">
        <is>
          <t>CW</t>
        </is>
      </c>
      <c r="C379" t="inlineStr">
        <is>
          <t>09:18</t>
        </is>
      </c>
      <c r="D379" t="n">
        <v>-5.158010412278648</v>
      </c>
      <c r="E379" t="n">
        <v>0.2745946165511852</v>
      </c>
      <c r="F379" t="n">
        <v>5.729094439218788</v>
      </c>
      <c r="G379" t="n">
        <v>0.4205256570713392</v>
      </c>
      <c r="H379" t="n">
        <v>0.230287859824781</v>
      </c>
      <c r="I379" t="n">
        <v>0.3784286378428638</v>
      </c>
      <c r="J379" t="n">
        <v>0.3360111343270208</v>
      </c>
      <c r="K379" t="n">
        <v>0.6677157174036119</v>
      </c>
      <c r="L379" t="b">
        <v>0</v>
      </c>
      <c r="N379" t="n">
        <v>0</v>
      </c>
      <c r="O379" t="n">
        <v>0</v>
      </c>
      <c r="P379" t="n">
        <v>1</v>
      </c>
      <c r="Q379" t="n">
        <v>5.158010412278648</v>
      </c>
      <c r="R379" t="n">
        <v>9.509756617556709</v>
      </c>
      <c r="S379" t="n">
        <v>1.854140914709518</v>
      </c>
      <c r="T379" t="n">
        <v>0.2163164400494402</v>
      </c>
      <c r="U379" t="n">
        <v>0.4769874476987448</v>
      </c>
      <c r="V379" t="n">
        <v>0.2370990237099024</v>
      </c>
      <c r="W379" t="n">
        <v>0.4211994421199442</v>
      </c>
      <c r="X379" t="n">
        <v>0.2745946165511852</v>
      </c>
      <c r="Y379" t="n">
        <v>5.729094439218789</v>
      </c>
      <c r="Z379" t="n">
        <v>0.3360111343270208</v>
      </c>
      <c r="AA379" t="n">
        <v>5.551115123125783e-17</v>
      </c>
    </row>
    <row r="380">
      <c r="A380" t="inlineStr">
        <is>
          <t>2023-02-15</t>
        </is>
      </c>
      <c r="B380" t="inlineStr">
        <is>
          <t>CW</t>
        </is>
      </c>
      <c r="C380" t="inlineStr">
        <is>
          <t>09:17</t>
        </is>
      </c>
      <c r="D380" t="n">
        <v>15.62428324462212</v>
      </c>
      <c r="E380" t="n">
        <v>0.2858973314235196</v>
      </c>
      <c r="F380" t="n">
        <v>7.427887654667961</v>
      </c>
      <c r="G380" t="n">
        <v>0.4968710888610763</v>
      </c>
      <c r="H380" t="n">
        <v>0.4693366708385482</v>
      </c>
      <c r="I380" t="n">
        <v>0.3449558344955834</v>
      </c>
      <c r="J380" t="n">
        <v>0.4554742707789665</v>
      </c>
      <c r="K380" t="n">
        <v>0.6677157174036119</v>
      </c>
      <c r="L380" t="b">
        <v>0</v>
      </c>
      <c r="N380" t="n">
        <v>5.1580104122786</v>
      </c>
      <c r="O380" t="n">
        <v>1</v>
      </c>
      <c r="P380" t="n">
        <v>0</v>
      </c>
      <c r="Q380" t="n">
        <v>0</v>
      </c>
      <c r="R380" t="n">
        <v>6.594186498125358</v>
      </c>
      <c r="S380" t="n">
        <v>3.145377828922149</v>
      </c>
      <c r="T380" t="n">
        <v>0.1917913310318482</v>
      </c>
      <c r="U380" t="n">
        <v>0.2817294281729428</v>
      </c>
      <c r="V380" t="n">
        <v>0.4867503486750349</v>
      </c>
      <c r="W380" t="n">
        <v>0.2663877266387726</v>
      </c>
      <c r="X380" t="n">
        <v>0.2858973314235196</v>
      </c>
      <c r="Y380" t="n">
        <v>7.42788765466796</v>
      </c>
      <c r="Z380" t="n">
        <v>0.4554742707789665</v>
      </c>
      <c r="AA380" t="n">
        <v>0</v>
      </c>
    </row>
    <row r="381">
      <c r="A381" t="inlineStr">
        <is>
          <t>2023-02-21</t>
        </is>
      </c>
      <c r="B381" t="inlineStr">
        <is>
          <t>CW</t>
        </is>
      </c>
      <c r="C381" t="inlineStr">
        <is>
          <t>09:17</t>
        </is>
      </c>
      <c r="D381" t="n">
        <v>16.01901197457799</v>
      </c>
      <c r="E381" t="n">
        <v>0.2630867144328078</v>
      </c>
      <c r="F381" t="n">
        <v>6.338511590049391</v>
      </c>
      <c r="G381" t="n">
        <v>0.3554443053817272</v>
      </c>
      <c r="H381" t="n">
        <v>0.3191489361702128</v>
      </c>
      <c r="I381" t="n">
        <v>0.3430962343096235</v>
      </c>
      <c r="J381" t="n">
        <v>0.3384565434827007</v>
      </c>
      <c r="K381" t="n">
        <v>0.6677157174036119</v>
      </c>
      <c r="L381" t="b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4.585245017039267</v>
      </c>
      <c r="S381" t="n">
        <v>2.417648836506498</v>
      </c>
      <c r="T381" t="n">
        <v>0.2417648836506532</v>
      </c>
      <c r="U381" t="n">
        <v>0.1073919107391911</v>
      </c>
      <c r="V381" t="n">
        <v>0.3709902370990237</v>
      </c>
      <c r="W381" t="n">
        <v>0.5509065550906556</v>
      </c>
      <c r="X381" t="n">
        <v>0.2630867144328078</v>
      </c>
      <c r="Y381" t="n">
        <v>6.338511590049391</v>
      </c>
      <c r="Z381" t="n">
        <v>0.3384565434827007</v>
      </c>
      <c r="AA381" t="n">
        <v>0</v>
      </c>
    </row>
    <row r="382">
      <c r="A382" t="inlineStr">
        <is>
          <t>2023-02-22</t>
        </is>
      </c>
      <c r="B382" t="inlineStr">
        <is>
          <t>CW</t>
        </is>
      </c>
      <c r="C382" t="inlineStr">
        <is>
          <t>09:17</t>
        </is>
      </c>
      <c r="D382" t="n">
        <v>-40.02444629724398</v>
      </c>
      <c r="E382" t="n">
        <v>0.2518367498084589</v>
      </c>
      <c r="F382" t="n">
        <v>5.714900068053188</v>
      </c>
      <c r="G382" t="n">
        <v>0.2778473091364205</v>
      </c>
      <c r="H382" t="n">
        <v>0.227784730913642</v>
      </c>
      <c r="I382" t="n">
        <v>0.6345885634588564</v>
      </c>
      <c r="J382" t="n">
        <v>0.3291705287117963</v>
      </c>
      <c r="K382" t="n">
        <v>0.6677157174036119</v>
      </c>
      <c r="L382" t="b">
        <v>0</v>
      </c>
      <c r="N382" t="n">
        <v>0</v>
      </c>
      <c r="O382" t="n">
        <v>0</v>
      </c>
      <c r="P382" t="n">
        <v>1</v>
      </c>
      <c r="Q382" t="n">
        <v>40.02444629724398</v>
      </c>
      <c r="R382" t="n">
        <v>10.58096832744884</v>
      </c>
      <c r="S382" t="n">
        <v>3.627338678885071</v>
      </c>
      <c r="T382" t="n">
        <v>0.343642611683851</v>
      </c>
      <c r="U382" t="n">
        <v>0.5327754532775453</v>
      </c>
      <c r="V382" t="n">
        <v>0.5467224546722455</v>
      </c>
      <c r="W382" t="n">
        <v>0.8242677824267782</v>
      </c>
      <c r="X382" t="n">
        <v>0.2518367498084589</v>
      </c>
      <c r="Y382" t="n">
        <v>5.714900068053187</v>
      </c>
      <c r="Z382" t="n">
        <v>0.3291705287117963</v>
      </c>
      <c r="AA382" t="n">
        <v>0</v>
      </c>
    </row>
    <row r="383">
      <c r="A383" t="inlineStr">
        <is>
          <t>2023-02-23</t>
        </is>
      </c>
      <c r="B383" t="inlineStr">
        <is>
          <t>CW</t>
        </is>
      </c>
      <c r="C383" t="inlineStr">
        <is>
          <t>09:17</t>
        </is>
      </c>
      <c r="D383" t="n">
        <v>1.279199661338807</v>
      </c>
      <c r="E383" t="n">
        <v>0.2513293529642895</v>
      </c>
      <c r="F383" t="n">
        <v>8.810949327229938</v>
      </c>
      <c r="G383" t="n">
        <v>0.2753441802252816</v>
      </c>
      <c r="H383" t="n">
        <v>0.6533166458072591</v>
      </c>
      <c r="I383" t="n">
        <v>0.6829381682938168</v>
      </c>
      <c r="J383" t="n">
        <v>0.5080519640717797</v>
      </c>
      <c r="K383" t="n">
        <v>0.6677157174036119</v>
      </c>
      <c r="L383" t="b">
        <v>0</v>
      </c>
      <c r="N383" t="n">
        <v>40.02444629724414</v>
      </c>
      <c r="O383" t="n">
        <v>1</v>
      </c>
      <c r="P383" t="n">
        <v>0</v>
      </c>
      <c r="Q383" t="n">
        <v>0</v>
      </c>
      <c r="R383" t="n">
        <v>11.16901396411794</v>
      </c>
      <c r="S383" t="n">
        <v>4.19828022255944</v>
      </c>
      <c r="T383" t="n">
        <v>0.404653515427421</v>
      </c>
      <c r="U383" t="n">
        <v>0.5509065550906556</v>
      </c>
      <c r="V383" t="n">
        <v>0.6122733612273361</v>
      </c>
      <c r="W383" t="n">
        <v>0.8856345885634589</v>
      </c>
      <c r="X383" t="n">
        <v>0.2513293529642895</v>
      </c>
      <c r="Y383" t="n">
        <v>8.810949327229938</v>
      </c>
      <c r="Z383" t="n">
        <v>0.5080519640717797</v>
      </c>
      <c r="AA383" t="n">
        <v>0</v>
      </c>
    </row>
    <row r="384">
      <c r="A384" t="inlineStr">
        <is>
          <t>2023-02-28</t>
        </is>
      </c>
      <c r="B384" t="inlineStr">
        <is>
          <t>CW</t>
        </is>
      </c>
      <c r="C384" t="inlineStr">
        <is>
          <t>09:16</t>
        </is>
      </c>
      <c r="D384" t="n">
        <v>20.84898658914978</v>
      </c>
      <c r="E384" t="n">
        <v>0.2403182036469531</v>
      </c>
      <c r="F384" t="n">
        <v>4.893136630697999</v>
      </c>
      <c r="G384" t="n">
        <v>0.2252816020025031</v>
      </c>
      <c r="H384" t="n">
        <v>0.1214017521902378</v>
      </c>
      <c r="I384" t="n">
        <v>0.4463040446304045</v>
      </c>
      <c r="J384" t="n">
        <v>0.2279341506031773</v>
      </c>
      <c r="K384" t="n">
        <v>0.6677157174036119</v>
      </c>
      <c r="L384" t="b">
        <v>0</v>
      </c>
      <c r="N384" t="n">
        <v>38.74524663590546</v>
      </c>
      <c r="O384" t="n">
        <v>0</v>
      </c>
      <c r="P384" t="n">
        <v>0</v>
      </c>
      <c r="Q384" t="n">
        <v>0</v>
      </c>
      <c r="R384" t="n">
        <v>18.20620102058147</v>
      </c>
      <c r="S384" t="n">
        <v>3.560057887120119</v>
      </c>
      <c r="T384" t="n">
        <v>0.1157742402315583</v>
      </c>
      <c r="U384" t="n">
        <v>0.7642956764295676</v>
      </c>
      <c r="V384" t="n">
        <v>0.5355648535564853</v>
      </c>
      <c r="W384" t="n">
        <v>0.03905160390516039</v>
      </c>
      <c r="X384" t="n">
        <v>0.2403182036469531</v>
      </c>
      <c r="Y384" t="n">
        <v>4.893136630698</v>
      </c>
      <c r="Z384" t="n">
        <v>0.2279341506031773</v>
      </c>
      <c r="AA384" t="n">
        <v>0</v>
      </c>
    </row>
    <row r="385">
      <c r="A385" t="inlineStr">
        <is>
          <t>2023-03-01</t>
        </is>
      </c>
      <c r="B385" t="inlineStr">
        <is>
          <t>CW</t>
        </is>
      </c>
      <c r="C385" t="inlineStr">
        <is>
          <t>09:17</t>
        </is>
      </c>
      <c r="D385" t="n">
        <v>41.51687376444122</v>
      </c>
      <c r="E385" t="n">
        <v>0.2814701053015017</v>
      </c>
      <c r="F385" t="n">
        <v>8.984549048845318</v>
      </c>
      <c r="G385" t="n">
        <v>0.4668335419274093</v>
      </c>
      <c r="H385" t="n">
        <v>0.6821026282853567</v>
      </c>
      <c r="I385" t="n">
        <v>0.4858205485820548</v>
      </c>
      <c r="J385" t="n">
        <v>0.5567385778015174</v>
      </c>
      <c r="K385" t="n">
        <v>0.6677157174036119</v>
      </c>
      <c r="L385" t="b">
        <v>0</v>
      </c>
      <c r="N385" t="n">
        <v>17.89626004675574</v>
      </c>
      <c r="O385" t="n">
        <v>0</v>
      </c>
      <c r="P385" t="n">
        <v>0</v>
      </c>
      <c r="Q385" t="n">
        <v>0</v>
      </c>
      <c r="R385" t="n">
        <v>9.348859151524216</v>
      </c>
      <c r="S385" t="n">
        <v>2.377414561664203</v>
      </c>
      <c r="T385" t="n">
        <v>0.2600297176820271</v>
      </c>
      <c r="U385" t="n">
        <v>0.4644351464435146</v>
      </c>
      <c r="V385" t="n">
        <v>0.3612273361227336</v>
      </c>
      <c r="W385" t="n">
        <v>0.6317991631799164</v>
      </c>
      <c r="X385" t="n">
        <v>0.2814701053015017</v>
      </c>
      <c r="Y385" t="n">
        <v>8.984549048845318</v>
      </c>
      <c r="Z385" t="n">
        <v>0.5567385778015174</v>
      </c>
      <c r="AA385" t="n">
        <v>0</v>
      </c>
    </row>
    <row r="386">
      <c r="A386" t="inlineStr">
        <is>
          <t>2023-03-02</t>
        </is>
      </c>
      <c r="B386" t="inlineStr">
        <is>
          <t>NW</t>
        </is>
      </c>
      <c r="C386" t="inlineStr">
        <is>
          <t>NW</t>
        </is>
      </c>
      <c r="D386" t="n">
        <v>10.9410332111952</v>
      </c>
      <c r="E386" t="n">
        <v>0.3327037122104785</v>
      </c>
      <c r="F386" t="n">
        <v>9.198260324942327</v>
      </c>
      <c r="G386" t="n">
        <v>0.7484355444305382</v>
      </c>
      <c r="H386" t="n">
        <v>0.7033792240300375</v>
      </c>
      <c r="I386" t="n">
        <v>0.5</v>
      </c>
      <c r="J386" t="n">
        <v>0.6807259073842303</v>
      </c>
      <c r="K386" t="n">
        <v>0.6677157174036119</v>
      </c>
      <c r="L386" t="b">
        <v>1</v>
      </c>
      <c r="M386" t="inlineStr">
        <is>
          <t>top_quartile_risk</t>
        </is>
      </c>
      <c r="N386" t="n">
        <v>0</v>
      </c>
      <c r="O386" t="n">
        <v>0</v>
      </c>
      <c r="P386" t="n">
        <v>0</v>
      </c>
      <c r="Q386" t="n">
        <v>0</v>
      </c>
      <c r="U386" t="n">
        <v>0.5</v>
      </c>
      <c r="V386" t="n">
        <v>0.5</v>
      </c>
      <c r="W386" t="n">
        <v>0.5</v>
      </c>
      <c r="X386" t="n">
        <v>0.3327037122104785</v>
      </c>
      <c r="Y386" t="n">
        <v>9.198260324942327</v>
      </c>
      <c r="Z386" t="n">
        <v>0.6807259073842303</v>
      </c>
      <c r="AA386" t="n">
        <v>0</v>
      </c>
    </row>
    <row r="387">
      <c r="A387" t="inlineStr">
        <is>
          <t>2023-03-08</t>
        </is>
      </c>
      <c r="B387" t="inlineStr">
        <is>
          <t>CW</t>
        </is>
      </c>
      <c r="C387" t="inlineStr">
        <is>
          <t>09:18</t>
        </is>
      </c>
      <c r="D387" t="n">
        <v>3.743553013459183</v>
      </c>
      <c r="E387" t="n">
        <v>0.3371687487435076</v>
      </c>
      <c r="F387" t="n">
        <v>6.364829127554295</v>
      </c>
      <c r="G387" t="n">
        <v>0.7684605757196495</v>
      </c>
      <c r="H387" t="n">
        <v>0.3229036295369211</v>
      </c>
      <c r="I387" t="n">
        <v>0.2445374244537425</v>
      </c>
      <c r="J387" t="n">
        <v>0.4854531669933768</v>
      </c>
      <c r="K387" t="n">
        <v>0.6677157174036119</v>
      </c>
      <c r="L387" t="b">
        <v>0</v>
      </c>
      <c r="N387" t="n">
        <v>0</v>
      </c>
      <c r="O387" t="n">
        <v>0</v>
      </c>
      <c r="P387" t="n">
        <v>0</v>
      </c>
      <c r="Q387" t="n">
        <v>0</v>
      </c>
      <c r="R387" t="n">
        <v>5.987650116914841</v>
      </c>
      <c r="S387" t="n">
        <v>1.851851851851834</v>
      </c>
      <c r="T387" t="n">
        <v>0.1929012345678902</v>
      </c>
      <c r="U387" t="n">
        <v>0.2259414225941423</v>
      </c>
      <c r="V387" t="n">
        <v>0.2343096234309623</v>
      </c>
      <c r="W387" t="n">
        <v>0.2733612273361227</v>
      </c>
      <c r="X387" t="n">
        <v>0.3371687487435076</v>
      </c>
      <c r="Y387" t="n">
        <v>6.364829127554293</v>
      </c>
      <c r="Z387" t="n">
        <v>0.4854531669933768</v>
      </c>
      <c r="AA387" t="n">
        <v>-5.551115123125783e-17</v>
      </c>
    </row>
    <row r="388">
      <c r="A388" t="inlineStr">
        <is>
          <t>2023-03-09</t>
        </is>
      </c>
      <c r="B388" t="inlineStr">
        <is>
          <t>NW</t>
        </is>
      </c>
      <c r="C388" t="inlineStr">
        <is>
          <t>NW</t>
        </is>
      </c>
      <c r="D388" t="n">
        <v>-11.05262911288076</v>
      </c>
      <c r="E388" t="n">
        <v>0.3305069285209152</v>
      </c>
      <c r="F388" t="n">
        <v>8.983756163855517</v>
      </c>
      <c r="G388" t="n">
        <v>0.737171464330413</v>
      </c>
      <c r="H388" t="n">
        <v>0.6808510638297872</v>
      </c>
      <c r="I388" t="n">
        <v>0.5</v>
      </c>
      <c r="J388" t="n">
        <v>0.6672090112640802</v>
      </c>
      <c r="K388" t="n">
        <v>0.6677157174036119</v>
      </c>
      <c r="L388" t="b">
        <v>0</v>
      </c>
      <c r="N388" t="n">
        <v>0</v>
      </c>
      <c r="O388" t="n">
        <v>0</v>
      </c>
      <c r="P388" t="n">
        <v>1</v>
      </c>
      <c r="Q388" t="n">
        <v>11.05262911288076</v>
      </c>
      <c r="U388" t="n">
        <v>0.5</v>
      </c>
      <c r="V388" t="n">
        <v>0.5</v>
      </c>
      <c r="W388" t="n">
        <v>0.5</v>
      </c>
      <c r="X388" t="n">
        <v>0.3305069285209152</v>
      </c>
      <c r="Y388" t="n">
        <v>8.983756163855519</v>
      </c>
      <c r="Z388" t="n">
        <v>0.6672090112640802</v>
      </c>
      <c r="AA388" t="n">
        <v>0</v>
      </c>
    </row>
    <row r="389">
      <c r="A389" t="inlineStr">
        <is>
          <t>2023-03-10</t>
        </is>
      </c>
      <c r="B389" t="inlineStr">
        <is>
          <t>CW</t>
        </is>
      </c>
      <c r="C389" t="inlineStr">
        <is>
          <t>09:16</t>
        </is>
      </c>
      <c r="D389" t="n">
        <v>27.20578343703714</v>
      </c>
      <c r="E389" t="n">
        <v>0.151639433514653</v>
      </c>
      <c r="F389" t="n">
        <v>2.071918720379914</v>
      </c>
      <c r="G389" t="n">
        <v>0.02503128911138924</v>
      </c>
      <c r="H389" t="n">
        <v>0.01001251564455569</v>
      </c>
      <c r="I389" t="n">
        <v>0.8437935843793585</v>
      </c>
      <c r="J389" t="n">
        <v>0.1827762387782497</v>
      </c>
      <c r="K389" t="n">
        <v>0.6677157174036119</v>
      </c>
      <c r="L389" t="b">
        <v>0</v>
      </c>
      <c r="N389" t="n">
        <v>11.05262911288082</v>
      </c>
      <c r="O389" t="n">
        <v>1</v>
      </c>
      <c r="P389" t="n">
        <v>0</v>
      </c>
      <c r="Q389" t="n">
        <v>0</v>
      </c>
      <c r="R389" t="n">
        <v>60.05712891326005</v>
      </c>
      <c r="S389" t="n">
        <v>6.608769328532101</v>
      </c>
      <c r="T389" t="n">
        <v>0.3177292946409659</v>
      </c>
      <c r="U389" t="n">
        <v>0.9916317991631799</v>
      </c>
      <c r="V389" t="n">
        <v>0.7684797768479776</v>
      </c>
      <c r="W389" t="n">
        <v>0.7712691771269177</v>
      </c>
      <c r="X389" t="n">
        <v>0.151639433514653</v>
      </c>
      <c r="Y389" t="n">
        <v>2.071918720379913</v>
      </c>
      <c r="Z389" t="n">
        <v>0.1827762387782497</v>
      </c>
      <c r="AA389" t="n">
        <v>0</v>
      </c>
    </row>
    <row r="390">
      <c r="A390" t="inlineStr">
        <is>
          <t>2023-03-16</t>
        </is>
      </c>
      <c r="B390" t="inlineStr">
        <is>
          <t>CW</t>
        </is>
      </c>
      <c r="C390" t="inlineStr">
        <is>
          <t>09:17</t>
        </is>
      </c>
      <c r="D390" t="n">
        <v>-44.83090016243944</v>
      </c>
      <c r="E390" t="n">
        <v>0.3060985832699072</v>
      </c>
      <c r="F390" t="n">
        <v>9.575122704310886</v>
      </c>
      <c r="G390" t="n">
        <v>0.6007509386733417</v>
      </c>
      <c r="H390" t="n">
        <v>0.7359198998748435</v>
      </c>
      <c r="I390" t="n">
        <v>0.4356113435611343</v>
      </c>
      <c r="J390" t="n">
        <v>0.6217906041315009</v>
      </c>
      <c r="K390" t="n">
        <v>0.6677157174036119</v>
      </c>
      <c r="L390" t="b">
        <v>0</v>
      </c>
      <c r="N390" t="n">
        <v>0</v>
      </c>
      <c r="O390" t="n">
        <v>0</v>
      </c>
      <c r="P390" t="n">
        <v>1</v>
      </c>
      <c r="Q390" t="n">
        <v>44.83090016243944</v>
      </c>
      <c r="R390" t="n">
        <v>9.947311716869724</v>
      </c>
      <c r="S390" t="n">
        <v>5.730786317192361</v>
      </c>
      <c r="T390" t="n">
        <v>0.133274100399821</v>
      </c>
      <c r="U390" t="n">
        <v>0.504881450488145</v>
      </c>
      <c r="V390" t="n">
        <v>0.7308228730822873</v>
      </c>
      <c r="W390" t="n">
        <v>0.07112970711297072</v>
      </c>
      <c r="X390" t="n">
        <v>0.3060985832699072</v>
      </c>
      <c r="Y390" t="n">
        <v>9.575122704310886</v>
      </c>
      <c r="Z390" t="n">
        <v>0.6217906041315009</v>
      </c>
      <c r="AA390" t="n">
        <v>0</v>
      </c>
    </row>
    <row r="391">
      <c r="A391" t="inlineStr">
        <is>
          <t>2023-03-22</t>
        </is>
      </c>
      <c r="B391" t="inlineStr">
        <is>
          <t>CW</t>
        </is>
      </c>
      <c r="C391" t="inlineStr">
        <is>
          <t>09:20+</t>
        </is>
      </c>
      <c r="D391" t="n">
        <v>1.812793036162191</v>
      </c>
      <c r="E391" t="n">
        <v>0.3651184504089671</v>
      </c>
      <c r="F391" t="n">
        <v>11.82325023538811</v>
      </c>
      <c r="G391" t="n">
        <v>0.8610763454317898</v>
      </c>
      <c r="H391" t="n">
        <v>0.9136420525657072</v>
      </c>
      <c r="I391" t="n">
        <v>0.2738261273826127</v>
      </c>
      <c r="J391" t="n">
        <v>0.7646525846755214</v>
      </c>
      <c r="K391" t="n">
        <v>0.6677157174036119</v>
      </c>
      <c r="L391" t="b">
        <v>1</v>
      </c>
      <c r="M391" t="inlineStr">
        <is>
          <t>top_quartile_risk</t>
        </is>
      </c>
      <c r="N391" t="n">
        <v>44.83090016243932</v>
      </c>
      <c r="O391" t="n">
        <v>1</v>
      </c>
      <c r="P391" t="n">
        <v>0</v>
      </c>
      <c r="Q391" t="n">
        <v>0</v>
      </c>
      <c r="R391" t="n">
        <v>7.005029027089029</v>
      </c>
      <c r="S391" t="n">
        <v>1.821138211382121</v>
      </c>
      <c r="T391" t="n">
        <v>0.1951219512195011</v>
      </c>
      <c r="U391" t="n">
        <v>0.3138075313807531</v>
      </c>
      <c r="V391" t="n">
        <v>0.2217573221757322</v>
      </c>
      <c r="W391" t="n">
        <v>0.2859135285913529</v>
      </c>
      <c r="X391" t="n">
        <v>0.3651184504089671</v>
      </c>
      <c r="Y391" t="n">
        <v>11.82325023538811</v>
      </c>
      <c r="Z391" t="n">
        <v>0.7646525846755214</v>
      </c>
      <c r="AA391" t="n">
        <v>0</v>
      </c>
    </row>
    <row r="392">
      <c r="A392" t="inlineStr">
        <is>
          <t>2023-03-23</t>
        </is>
      </c>
      <c r="B392" t="inlineStr">
        <is>
          <t>CW</t>
        </is>
      </c>
      <c r="C392" t="inlineStr">
        <is>
          <t>09:17</t>
        </is>
      </c>
      <c r="D392" t="n">
        <v>50.18260079980297</v>
      </c>
      <c r="E392" t="n">
        <v>0.2862919356399171</v>
      </c>
      <c r="F392" t="n">
        <v>8.800174159263488</v>
      </c>
      <c r="G392" t="n">
        <v>0.5018773466833542</v>
      </c>
      <c r="H392" t="n">
        <v>0.6495619524405507</v>
      </c>
      <c r="I392" t="n">
        <v>0.4783821478382147</v>
      </c>
      <c r="J392" t="n">
        <v>0.556252149217205</v>
      </c>
      <c r="K392" t="n">
        <v>0.6677157174036119</v>
      </c>
      <c r="L392" t="b">
        <v>0</v>
      </c>
      <c r="N392" t="n">
        <v>43.01810712627685</v>
      </c>
      <c r="O392" t="n">
        <v>0</v>
      </c>
      <c r="P392" t="n">
        <v>0</v>
      </c>
      <c r="Q392" t="n">
        <v>0</v>
      </c>
      <c r="R392" t="n">
        <v>5.327666101699024</v>
      </c>
      <c r="S392" t="n">
        <v>3.999999999999994</v>
      </c>
      <c r="T392" t="n">
        <v>0.2758620689655277</v>
      </c>
      <c r="U392" t="n">
        <v>0.1534170153417015</v>
      </c>
      <c r="V392" t="n">
        <v>0.599721059972106</v>
      </c>
      <c r="W392" t="n">
        <v>0.6820083682008368</v>
      </c>
      <c r="X392" t="n">
        <v>0.2862919356399172</v>
      </c>
      <c r="Y392" t="n">
        <v>8.800174159263488</v>
      </c>
      <c r="Z392" t="n">
        <v>0.556252149217205</v>
      </c>
      <c r="AA392" t="n">
        <v>0</v>
      </c>
    </row>
    <row r="393">
      <c r="A393" t="inlineStr">
        <is>
          <t>2023-03-27</t>
        </is>
      </c>
      <c r="B393" t="inlineStr">
        <is>
          <t>CW</t>
        </is>
      </c>
      <c r="C393" t="inlineStr">
        <is>
          <t>09:17</t>
        </is>
      </c>
      <c r="D393" t="n">
        <v>12.81888136856402</v>
      </c>
      <c r="E393" t="n">
        <v>0.3008261523003793</v>
      </c>
      <c r="F393" t="n">
        <v>8.932672108312083</v>
      </c>
      <c r="G393" t="n">
        <v>0.571964956195244</v>
      </c>
      <c r="H393" t="n">
        <v>0.6695869837296621</v>
      </c>
      <c r="I393" t="n">
        <v>0.2426778242677824</v>
      </c>
      <c r="J393" t="n">
        <v>0.5451563408235189</v>
      </c>
      <c r="K393" t="n">
        <v>0.6677157174036119</v>
      </c>
      <c r="L393" t="b">
        <v>0</v>
      </c>
      <c r="N393" t="n">
        <v>0</v>
      </c>
      <c r="O393" t="n">
        <v>0</v>
      </c>
      <c r="P393" t="n">
        <v>0</v>
      </c>
      <c r="Q393" t="n">
        <v>0</v>
      </c>
      <c r="R393" t="n">
        <v>6.883709436860046</v>
      </c>
      <c r="S393" t="n">
        <v>2.464875523786049</v>
      </c>
      <c r="T393" t="n">
        <v>0.1232437761893024</v>
      </c>
      <c r="U393" t="n">
        <v>0.301255230125523</v>
      </c>
      <c r="V393" t="n">
        <v>0.3821478382147838</v>
      </c>
      <c r="W393" t="n">
        <v>0.04463040446304044</v>
      </c>
      <c r="X393" t="n">
        <v>0.3008261523003793</v>
      </c>
      <c r="Y393" t="n">
        <v>8.932672108312083</v>
      </c>
      <c r="Z393" t="n">
        <v>0.5451563408235189</v>
      </c>
      <c r="AA393" t="n">
        <v>0</v>
      </c>
    </row>
    <row r="394">
      <c r="A394" t="inlineStr">
        <is>
          <t>2023-03-28</t>
        </is>
      </c>
      <c r="B394" t="inlineStr">
        <is>
          <t>NW</t>
        </is>
      </c>
      <c r="C394" t="inlineStr">
        <is>
          <t>NW</t>
        </is>
      </c>
      <c r="D394" t="n">
        <v>4.560728664298786</v>
      </c>
      <c r="E394" t="n">
        <v>0.3558221102876637</v>
      </c>
      <c r="F394" t="n">
        <v>10.22340690076442</v>
      </c>
      <c r="G394" t="n">
        <v>0.8310387984981227</v>
      </c>
      <c r="H394" t="n">
        <v>0.8160200250312891</v>
      </c>
      <c r="I394" t="n">
        <v>0.5</v>
      </c>
      <c r="J394" t="n">
        <v>0.7588235294117648</v>
      </c>
      <c r="K394" t="n">
        <v>0.6677157174036119</v>
      </c>
      <c r="L394" t="b">
        <v>1</v>
      </c>
      <c r="M394" t="inlineStr">
        <is>
          <t>top_quartile_risk</t>
        </is>
      </c>
      <c r="N394" t="n">
        <v>0</v>
      </c>
      <c r="O394" t="n">
        <v>0</v>
      </c>
      <c r="P394" t="n">
        <v>0</v>
      </c>
      <c r="Q394" t="n">
        <v>0</v>
      </c>
      <c r="U394" t="n">
        <v>0.5</v>
      </c>
      <c r="V394" t="n">
        <v>0.5</v>
      </c>
      <c r="W394" t="n">
        <v>0.5</v>
      </c>
      <c r="X394" t="n">
        <v>0.3558221102876637</v>
      </c>
      <c r="Y394" t="n">
        <v>10.22340690076442</v>
      </c>
      <c r="Z394" t="n">
        <v>0.7588235294117648</v>
      </c>
      <c r="AA394" t="n">
        <v>0</v>
      </c>
    </row>
    <row r="395">
      <c r="A395" t="inlineStr">
        <is>
          <t>2023-03-29</t>
        </is>
      </c>
      <c r="B395" t="inlineStr">
        <is>
          <t>CW</t>
        </is>
      </c>
      <c r="C395" t="inlineStr">
        <is>
          <t>09:16</t>
        </is>
      </c>
      <c r="D395" t="n">
        <v>19.22196107135675</v>
      </c>
      <c r="E395" t="n">
        <v>0.1685711694069694</v>
      </c>
      <c r="F395" t="n">
        <v>4.166969663515686</v>
      </c>
      <c r="G395" t="n">
        <v>0.03879849812265332</v>
      </c>
      <c r="H395" t="n">
        <v>0.06382978723404255</v>
      </c>
      <c r="I395" t="n">
        <v>0.7973035797303579</v>
      </c>
      <c r="J395" t="n">
        <v>0.2005120300887499</v>
      </c>
      <c r="K395" t="n">
        <v>0.6677157174036119</v>
      </c>
      <c r="L395" t="b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12.99843254195732</v>
      </c>
      <c r="S395" t="n">
        <v>18.97211591033351</v>
      </c>
      <c r="T395" t="n">
        <v>0.3280481137233507</v>
      </c>
      <c r="U395" t="n">
        <v>0.6429567642956764</v>
      </c>
      <c r="V395" t="n">
        <v>0.9553695955369595</v>
      </c>
      <c r="W395" t="n">
        <v>0.793584379358438</v>
      </c>
      <c r="X395" t="n">
        <v>0.1685711694069694</v>
      </c>
      <c r="Y395" t="n">
        <v>4.166969663515685</v>
      </c>
      <c r="Z395" t="n">
        <v>0.2005120300887499</v>
      </c>
      <c r="AA395" t="n">
        <v>2.775557561562891e-17</v>
      </c>
    </row>
    <row r="396">
      <c r="A396" t="inlineStr">
        <is>
          <t>2023-04-05</t>
        </is>
      </c>
      <c r="B396" t="inlineStr">
        <is>
          <t>CW</t>
        </is>
      </c>
      <c r="C396" t="inlineStr">
        <is>
          <t>09:17</t>
        </is>
      </c>
      <c r="D396" t="n">
        <v>17.46620011368557</v>
      </c>
      <c r="E396" t="n">
        <v>0.2590194898519456</v>
      </c>
      <c r="F396" t="n">
        <v>7.049232881450338</v>
      </c>
      <c r="G396" t="n">
        <v>0.3241551939924906</v>
      </c>
      <c r="H396" t="n">
        <v>0.4205256570713392</v>
      </c>
      <c r="I396" t="n">
        <v>0.4779172477917248</v>
      </c>
      <c r="J396" t="n">
        <v>0.3934557899838769</v>
      </c>
      <c r="K396" t="n">
        <v>0.6677157174036119</v>
      </c>
      <c r="L396" t="b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11.58502663982653</v>
      </c>
      <c r="S396" t="n">
        <v>1.623762376237621</v>
      </c>
      <c r="T396" t="n">
        <v>0.2772277227722727</v>
      </c>
      <c r="U396" t="n">
        <v>0.5774058577405857</v>
      </c>
      <c r="V396" t="n">
        <v>0.1687587168758717</v>
      </c>
      <c r="W396" t="n">
        <v>0.6875871687587168</v>
      </c>
      <c r="X396" t="n">
        <v>0.2590194898519456</v>
      </c>
      <c r="Y396" t="n">
        <v>7.049232881450337</v>
      </c>
      <c r="Z396" t="n">
        <v>0.3934557899838769</v>
      </c>
      <c r="AA396" t="n">
        <v>-5.551115123125783e-17</v>
      </c>
    </row>
    <row r="397">
      <c r="A397" t="inlineStr">
        <is>
          <t>2023-04-17</t>
        </is>
      </c>
      <c r="B397" t="inlineStr">
        <is>
          <t>CW</t>
        </is>
      </c>
      <c r="C397" t="inlineStr">
        <is>
          <t>09:17</t>
        </is>
      </c>
      <c r="D397" t="n">
        <v>31.94128240210041</v>
      </c>
      <c r="E397" t="n">
        <v>0.2296076892302069</v>
      </c>
      <c r="F397" t="n">
        <v>3.786915173613965</v>
      </c>
      <c r="G397" t="n">
        <v>0.1714643304130163</v>
      </c>
      <c r="H397" t="n">
        <v>0.0425531914893617</v>
      </c>
      <c r="I397" t="n">
        <v>0.6931659693165969</v>
      </c>
      <c r="J397" t="n">
        <v>0.2242402026242706</v>
      </c>
      <c r="K397" t="n">
        <v>0.6677157174036119</v>
      </c>
      <c r="L397" t="b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18.70039318775297</v>
      </c>
      <c r="S397" t="n">
        <v>6.023770934629933</v>
      </c>
      <c r="T397" t="n">
        <v>0.243111831442465</v>
      </c>
      <c r="U397" t="n">
        <v>0.7726638772663877</v>
      </c>
      <c r="V397" t="n">
        <v>0.7461645746164575</v>
      </c>
      <c r="W397" t="n">
        <v>0.5606694560669456</v>
      </c>
      <c r="X397" t="n">
        <v>0.2296076892302069</v>
      </c>
      <c r="Y397" t="n">
        <v>3.786915173613965</v>
      </c>
      <c r="Z397" t="n">
        <v>0.2242402026242706</v>
      </c>
      <c r="AA397" t="n">
        <v>-2.775557561562891e-17</v>
      </c>
    </row>
    <row r="398">
      <c r="A398" t="inlineStr">
        <is>
          <t>2023-05-10</t>
        </is>
      </c>
      <c r="B398" t="inlineStr">
        <is>
          <t>CW</t>
        </is>
      </c>
      <c r="C398" t="inlineStr">
        <is>
          <t>09:20+</t>
        </is>
      </c>
      <c r="D398" t="n">
        <v>4.302725064561884</v>
      </c>
      <c r="E398" t="n">
        <v>0.4354041973384947</v>
      </c>
      <c r="F398" t="n">
        <v>13.85324390801686</v>
      </c>
      <c r="G398" t="n">
        <v>0.9749687108886108</v>
      </c>
      <c r="H398" t="n">
        <v>0.9687108886107635</v>
      </c>
      <c r="I398" t="n">
        <v>0.1771269177126918</v>
      </c>
      <c r="J398" t="n">
        <v>0.8128972233422881</v>
      </c>
      <c r="K398" t="n">
        <v>0.6677157174036119</v>
      </c>
      <c r="L398" t="b">
        <v>1</v>
      </c>
      <c r="M398" t="inlineStr">
        <is>
          <t>top_quartile_risk</t>
        </is>
      </c>
      <c r="N398" t="n">
        <v>0</v>
      </c>
      <c r="O398" t="n">
        <v>0</v>
      </c>
      <c r="P398" t="n">
        <v>0</v>
      </c>
      <c r="Q398" t="n">
        <v>0</v>
      </c>
      <c r="R398" t="n">
        <v>3.093720568586316</v>
      </c>
      <c r="S398" t="n">
        <v>2.655677655677661</v>
      </c>
      <c r="T398" t="n">
        <v>0.1373626373626425</v>
      </c>
      <c r="U398" t="n">
        <v>0.03068340306834031</v>
      </c>
      <c r="V398" t="n">
        <v>0.4184100418410042</v>
      </c>
      <c r="W398" t="n">
        <v>0.08228730822873083</v>
      </c>
      <c r="X398" t="n">
        <v>0.4354041973384947</v>
      </c>
      <c r="Y398" t="n">
        <v>13.85324390801686</v>
      </c>
      <c r="Z398" t="n">
        <v>0.8128972233422881</v>
      </c>
      <c r="AA398" t="n">
        <v>0</v>
      </c>
    </row>
    <row r="399">
      <c r="A399" t="inlineStr">
        <is>
          <t>2023-05-15</t>
        </is>
      </c>
      <c r="B399" t="inlineStr">
        <is>
          <t>CW</t>
        </is>
      </c>
      <c r="C399" t="inlineStr">
        <is>
          <t>09:18</t>
        </is>
      </c>
      <c r="D399" t="n">
        <v>4.328798808883943</v>
      </c>
      <c r="E399" t="n">
        <v>0.3190908746949179</v>
      </c>
      <c r="F399" t="n">
        <v>4.216061065829201</v>
      </c>
      <c r="G399" t="n">
        <v>0.6620775969962454</v>
      </c>
      <c r="H399" t="n">
        <v>0.06758448060075094</v>
      </c>
      <c r="I399" t="n">
        <v>0.304974430497443</v>
      </c>
      <c r="J399" t="n">
        <v>0.3528597171382872</v>
      </c>
      <c r="K399" t="n">
        <v>0.6677157174036119</v>
      </c>
      <c r="L399" t="b">
        <v>0</v>
      </c>
      <c r="N399" t="n">
        <v>0</v>
      </c>
      <c r="O399" t="n">
        <v>0</v>
      </c>
      <c r="P399" t="n">
        <v>0</v>
      </c>
      <c r="Q399" t="n">
        <v>0</v>
      </c>
      <c r="R399" t="n">
        <v>6.37767269456711</v>
      </c>
      <c r="S399" t="n">
        <v>2.175830638047626</v>
      </c>
      <c r="T399" t="n">
        <v>0.2058218171126106</v>
      </c>
      <c r="U399" t="n">
        <v>0.2622036262203626</v>
      </c>
      <c r="V399" t="n">
        <v>0.3082287308228731</v>
      </c>
      <c r="W399" t="n">
        <v>0.3444909344490935</v>
      </c>
      <c r="X399" t="n">
        <v>0.3190908746949178</v>
      </c>
      <c r="Y399" t="n">
        <v>4.216061065829201</v>
      </c>
      <c r="Z399" t="n">
        <v>0.3528597171382872</v>
      </c>
      <c r="AA399" t="n">
        <v>0</v>
      </c>
    </row>
    <row r="400">
      <c r="A400" t="inlineStr">
        <is>
          <t>2023-05-16</t>
        </is>
      </c>
      <c r="B400" t="inlineStr">
        <is>
          <t>CW</t>
        </is>
      </c>
      <c r="C400" t="inlineStr">
        <is>
          <t>09:17</t>
        </is>
      </c>
      <c r="D400" t="n">
        <v>-2.325651405616308</v>
      </c>
      <c r="E400" t="n">
        <v>0.2064009461218387</v>
      </c>
      <c r="F400" t="n">
        <v>4.273585364799615</v>
      </c>
      <c r="G400" t="n">
        <v>0.1151439299123905</v>
      </c>
      <c r="H400" t="n">
        <v>0.07259073842302878</v>
      </c>
      <c r="I400" t="n">
        <v>0.5527661552766155</v>
      </c>
      <c r="J400" t="n">
        <v>0.1856470983894908</v>
      </c>
      <c r="K400" t="n">
        <v>0.6677157174036119</v>
      </c>
      <c r="L400" t="b">
        <v>0</v>
      </c>
      <c r="N400" t="n">
        <v>0</v>
      </c>
      <c r="O400" t="n">
        <v>0</v>
      </c>
      <c r="P400" t="n">
        <v>1</v>
      </c>
      <c r="Q400" t="n">
        <v>2.325651405616308</v>
      </c>
      <c r="R400" t="n">
        <v>8.526167731985472</v>
      </c>
      <c r="S400" t="n">
        <v>2.947443181818186</v>
      </c>
      <c r="T400" t="n">
        <v>0.3196022727272696</v>
      </c>
      <c r="U400" t="n">
        <v>0.4198047419804742</v>
      </c>
      <c r="V400" t="n">
        <v>0.4644351464435146</v>
      </c>
      <c r="W400" t="n">
        <v>0.7740585774058577</v>
      </c>
      <c r="X400" t="n">
        <v>0.2064009461218387</v>
      </c>
      <c r="Y400" t="n">
        <v>4.273585364799615</v>
      </c>
      <c r="Z400" t="n">
        <v>0.1856470983894908</v>
      </c>
      <c r="AA400" t="n">
        <v>0</v>
      </c>
    </row>
    <row r="401">
      <c r="A401" t="inlineStr">
        <is>
          <t>2023-05-23</t>
        </is>
      </c>
      <c r="B401" t="inlineStr">
        <is>
          <t>CW</t>
        </is>
      </c>
      <c r="C401" t="inlineStr">
        <is>
          <t>09:18</t>
        </is>
      </c>
      <c r="D401" t="n">
        <v>12.61730693806922</v>
      </c>
      <c r="E401" t="n">
        <v>0.2532072228856296</v>
      </c>
      <c r="F401" t="n">
        <v>4.914417467890443</v>
      </c>
      <c r="G401" t="n">
        <v>0.2878598247809762</v>
      </c>
      <c r="H401" t="n">
        <v>0.1289111389236546</v>
      </c>
      <c r="I401" t="n">
        <v>0.402603440260344</v>
      </c>
      <c r="J401" t="n">
        <v>0.2472290735339211</v>
      </c>
      <c r="K401" t="n">
        <v>0.6677157174036119</v>
      </c>
      <c r="L401" t="b">
        <v>0</v>
      </c>
      <c r="N401" t="n">
        <v>2.325651405616554</v>
      </c>
      <c r="O401" t="n">
        <v>1</v>
      </c>
      <c r="P401" t="n">
        <v>0</v>
      </c>
      <c r="Q401" t="n">
        <v>0</v>
      </c>
      <c r="R401" t="n">
        <v>4.625925865456306</v>
      </c>
      <c r="S401" t="n">
        <v>2.021357742181545</v>
      </c>
      <c r="T401" t="n">
        <v>0.3432494279176222</v>
      </c>
      <c r="U401" t="n">
        <v>0.1101813110181311</v>
      </c>
      <c r="V401" t="n">
        <v>0.2761506276150628</v>
      </c>
      <c r="W401" t="n">
        <v>0.8214783821478382</v>
      </c>
      <c r="X401" t="n">
        <v>0.2532072228856296</v>
      </c>
      <c r="Y401" t="n">
        <v>4.914417467890443</v>
      </c>
      <c r="Z401" t="n">
        <v>0.2472290735339211</v>
      </c>
      <c r="AA401" t="n">
        <v>2.775557561562891e-17</v>
      </c>
    </row>
    <row r="402">
      <c r="A402" t="inlineStr">
        <is>
          <t>2023-05-29</t>
        </is>
      </c>
      <c r="B402" t="inlineStr">
        <is>
          <t>CW</t>
        </is>
      </c>
      <c r="C402" t="inlineStr">
        <is>
          <t>09:18</t>
        </is>
      </c>
      <c r="D402" t="n">
        <v>18.5982633094172</v>
      </c>
      <c r="E402" t="n">
        <v>0.3225710068068675</v>
      </c>
      <c r="F402" t="n">
        <v>8.744635786878773</v>
      </c>
      <c r="G402" t="n">
        <v>0.6846057571964956</v>
      </c>
      <c r="H402" t="n">
        <v>0.6433041301627034</v>
      </c>
      <c r="I402" t="n">
        <v>0.3305439330543933</v>
      </c>
      <c r="J402" t="n">
        <v>0.5972727415545582</v>
      </c>
      <c r="K402" t="n">
        <v>0.6677157174036119</v>
      </c>
      <c r="L402" t="b">
        <v>0</v>
      </c>
      <c r="N402" t="n">
        <v>0</v>
      </c>
      <c r="O402" t="n">
        <v>0</v>
      </c>
      <c r="P402" t="n">
        <v>0</v>
      </c>
      <c r="Q402" t="n">
        <v>0</v>
      </c>
      <c r="R402" t="n">
        <v>5.745706829336787</v>
      </c>
      <c r="S402" t="n">
        <v>1.852414211964781</v>
      </c>
      <c r="T402" t="n">
        <v>0.2429395687822602</v>
      </c>
      <c r="U402" t="n">
        <v>0.196652719665272</v>
      </c>
      <c r="V402" t="n">
        <v>0.2357043235704324</v>
      </c>
      <c r="W402" t="n">
        <v>0.5592747559274756</v>
      </c>
      <c r="X402" t="n">
        <v>0.3225710068068675</v>
      </c>
      <c r="Y402" t="n">
        <v>8.744635786878771</v>
      </c>
      <c r="Z402" t="n">
        <v>0.5972727415545582</v>
      </c>
      <c r="AA402" t="n">
        <v>0</v>
      </c>
    </row>
    <row r="403">
      <c r="A403" t="inlineStr">
        <is>
          <t>2023-05-31</t>
        </is>
      </c>
      <c r="B403" t="inlineStr">
        <is>
          <t>CW</t>
        </is>
      </c>
      <c r="C403" t="inlineStr">
        <is>
          <t>09:20+</t>
        </is>
      </c>
      <c r="D403" t="n">
        <v>26.43281494844313</v>
      </c>
      <c r="E403" t="n">
        <v>0.3839513758966864</v>
      </c>
      <c r="F403" t="n">
        <v>10.92058991006218</v>
      </c>
      <c r="G403" t="n">
        <v>0.9111389236545682</v>
      </c>
      <c r="H403" t="n">
        <v>0.8723404255319149</v>
      </c>
      <c r="I403" t="n">
        <v>0.3640167364016736</v>
      </c>
      <c r="J403" t="n">
        <v>0.7861950869549279</v>
      </c>
      <c r="K403" t="n">
        <v>0.6677157174036119</v>
      </c>
      <c r="L403" t="b">
        <v>1</v>
      </c>
      <c r="M403" t="inlineStr">
        <is>
          <t>top_quartile_risk</t>
        </is>
      </c>
      <c r="N403" t="n">
        <v>0</v>
      </c>
      <c r="O403" t="n">
        <v>0</v>
      </c>
      <c r="P403" t="n">
        <v>0</v>
      </c>
      <c r="Q403" t="n">
        <v>0</v>
      </c>
      <c r="R403" t="n">
        <v>3.675010200857094</v>
      </c>
      <c r="S403" t="n">
        <v>4.608879492600413</v>
      </c>
      <c r="T403" t="n">
        <v>0.2114164904862639</v>
      </c>
      <c r="U403" t="n">
        <v>0.05160390516039052</v>
      </c>
      <c r="V403" t="n">
        <v>0.6527196652719666</v>
      </c>
      <c r="W403" t="n">
        <v>0.3877266387726639</v>
      </c>
      <c r="X403" t="n">
        <v>0.3839513758966864</v>
      </c>
      <c r="Y403" t="n">
        <v>10.92058991006217</v>
      </c>
      <c r="Z403" t="n">
        <v>0.7861950869549279</v>
      </c>
      <c r="AA403" t="n">
        <v>0</v>
      </c>
    </row>
    <row r="404">
      <c r="A404" t="inlineStr">
        <is>
          <t>2023-06-06</t>
        </is>
      </c>
      <c r="B404" t="inlineStr">
        <is>
          <t>CW</t>
        </is>
      </c>
      <c r="C404" t="inlineStr">
        <is>
          <t>09:18</t>
        </is>
      </c>
      <c r="D404" t="n">
        <v>23.57858976824836</v>
      </c>
      <c r="E404" t="n">
        <v>0.2854597112743478</v>
      </c>
      <c r="F404" t="n">
        <v>4.763847683353382</v>
      </c>
      <c r="G404" t="n">
        <v>0.4956195244055069</v>
      </c>
      <c r="H404" t="n">
        <v>0.1063829787234043</v>
      </c>
      <c r="I404" t="n">
        <v>0.1250581125058113</v>
      </c>
      <c r="J404" t="n">
        <v>0.2658126237527267</v>
      </c>
      <c r="K404" t="n">
        <v>0.6677157174036119</v>
      </c>
      <c r="L404" t="b">
        <v>0</v>
      </c>
      <c r="N404" t="n">
        <v>0</v>
      </c>
      <c r="O404" t="n">
        <v>0</v>
      </c>
      <c r="P404" t="n">
        <v>0</v>
      </c>
      <c r="Q404" t="n">
        <v>0</v>
      </c>
      <c r="R404" t="n">
        <v>3.601192155849432</v>
      </c>
      <c r="S404" t="n">
        <v>1.127089001165967</v>
      </c>
      <c r="T404" t="n">
        <v>0.1943256898562045</v>
      </c>
      <c r="U404" t="n">
        <v>0.04741980474198047</v>
      </c>
      <c r="V404" t="n">
        <v>0.04881450488145049</v>
      </c>
      <c r="W404" t="n">
        <v>0.2789400278940028</v>
      </c>
      <c r="X404" t="n">
        <v>0.2854597112743478</v>
      </c>
      <c r="Y404" t="n">
        <v>4.763847683353381</v>
      </c>
      <c r="Z404" t="n">
        <v>0.2658126237527267</v>
      </c>
      <c r="AA404" t="n">
        <v>5.551115123125783e-17</v>
      </c>
    </row>
    <row r="405">
      <c r="A405" t="inlineStr">
        <is>
          <t>2023-06-12</t>
        </is>
      </c>
      <c r="B405" t="inlineStr">
        <is>
          <t>CW</t>
        </is>
      </c>
      <c r="C405" t="inlineStr">
        <is>
          <t>09:18</t>
        </is>
      </c>
      <c r="D405" t="n">
        <v>5.939149809786519</v>
      </c>
      <c r="E405" t="n">
        <v>0.336440249831362</v>
      </c>
      <c r="F405" t="n">
        <v>7.501923057133444</v>
      </c>
      <c r="G405" t="n">
        <v>0.7647058823529411</v>
      </c>
      <c r="H405" t="n">
        <v>0.4818523153942428</v>
      </c>
      <c r="I405" t="n">
        <v>0.202231520223152</v>
      </c>
      <c r="J405" t="n">
        <v>0.5390695831435041</v>
      </c>
      <c r="K405" t="n">
        <v>0.6677157174036119</v>
      </c>
      <c r="L405" t="b">
        <v>0</v>
      </c>
      <c r="N405" t="n">
        <v>0</v>
      </c>
      <c r="O405" t="n">
        <v>0</v>
      </c>
      <c r="P405" t="n">
        <v>0</v>
      </c>
      <c r="Q405" t="n">
        <v>0</v>
      </c>
      <c r="R405" t="n">
        <v>3.868690206570374</v>
      </c>
      <c r="S405" t="n">
        <v>1.328693451439414</v>
      </c>
      <c r="T405" t="n">
        <v>0.2214489085732416</v>
      </c>
      <c r="U405" t="n">
        <v>0.06694560669456066</v>
      </c>
      <c r="V405" t="n">
        <v>0.09065550906555091</v>
      </c>
      <c r="W405" t="n">
        <v>0.4490934449093445</v>
      </c>
      <c r="X405" t="n">
        <v>0.336440249831362</v>
      </c>
      <c r="Y405" t="n">
        <v>7.501923057133446</v>
      </c>
      <c r="Z405" t="n">
        <v>0.5390695831435041</v>
      </c>
      <c r="AA405" t="n">
        <v>0</v>
      </c>
    </row>
    <row r="406">
      <c r="A406" t="inlineStr">
        <is>
          <t>2023-06-13</t>
        </is>
      </c>
      <c r="B406" t="inlineStr">
        <is>
          <t>CW</t>
        </is>
      </c>
      <c r="C406" t="inlineStr">
        <is>
          <t>09:18</t>
        </is>
      </c>
      <c r="D406" t="n">
        <v>13.33370279156273</v>
      </c>
      <c r="E406" t="n">
        <v>0.2915657462561518</v>
      </c>
      <c r="F406" t="n">
        <v>5.990267500962903</v>
      </c>
      <c r="G406" t="n">
        <v>0.5319148936170213</v>
      </c>
      <c r="H406" t="n">
        <v>0.2653316645807259</v>
      </c>
      <c r="I406" t="n">
        <v>0.1362157136215714</v>
      </c>
      <c r="J406" t="n">
        <v>0.3461417660034132</v>
      </c>
      <c r="K406" t="n">
        <v>0.6677157174036119</v>
      </c>
      <c r="L406" t="b">
        <v>0</v>
      </c>
      <c r="N406" t="n">
        <v>0</v>
      </c>
      <c r="O406" t="n">
        <v>0</v>
      </c>
      <c r="P406" t="n">
        <v>0</v>
      </c>
      <c r="Q406" t="n">
        <v>0</v>
      </c>
      <c r="R406" t="n">
        <v>3.076527964303521</v>
      </c>
      <c r="S406" t="n">
        <v>1.196172248803828</v>
      </c>
      <c r="T406" t="n">
        <v>0.1993620414673046</v>
      </c>
      <c r="U406" t="n">
        <v>0.02928870292887029</v>
      </c>
      <c r="V406" t="n">
        <v>0.06834030683403068</v>
      </c>
      <c r="W406" t="n">
        <v>0.3110181311018131</v>
      </c>
      <c r="X406" t="n">
        <v>0.2915657462561518</v>
      </c>
      <c r="Y406" t="n">
        <v>5.990267500962903</v>
      </c>
      <c r="Z406" t="n">
        <v>0.3461417660034132</v>
      </c>
      <c r="AA406" t="n">
        <v>0</v>
      </c>
    </row>
    <row r="407">
      <c r="A407" t="inlineStr">
        <is>
          <t>2023-06-20</t>
        </is>
      </c>
      <c r="B407" t="inlineStr">
        <is>
          <t>CW</t>
        </is>
      </c>
      <c r="C407" t="inlineStr">
        <is>
          <t>09:18</t>
        </is>
      </c>
      <c r="D407" t="n">
        <v>-9.897144469873924</v>
      </c>
      <c r="E407" t="n">
        <v>0.2927026666639703</v>
      </c>
      <c r="F407" t="n">
        <v>4.306879617603617</v>
      </c>
      <c r="G407" t="n">
        <v>0.5406758448060075</v>
      </c>
      <c r="H407" t="n">
        <v>0.07384230287859825</v>
      </c>
      <c r="I407" t="n">
        <v>0.1306369130636913</v>
      </c>
      <c r="J407" t="n">
        <v>0.2719346416865806</v>
      </c>
      <c r="K407" t="n">
        <v>0.6677157174036119</v>
      </c>
      <c r="L407" t="b">
        <v>0</v>
      </c>
      <c r="N407" t="n">
        <v>0</v>
      </c>
      <c r="O407" t="n">
        <v>0</v>
      </c>
      <c r="P407" t="n">
        <v>1</v>
      </c>
      <c r="Q407" t="n">
        <v>9.897144469873924</v>
      </c>
      <c r="R407" t="n">
        <v>5.709422414550537</v>
      </c>
      <c r="S407" t="n">
        <v>1.608473911337766</v>
      </c>
      <c r="T407" t="n">
        <v>0.1176932130247089</v>
      </c>
      <c r="U407" t="n">
        <v>0.1910739191073919</v>
      </c>
      <c r="V407" t="n">
        <v>0.1603905160390516</v>
      </c>
      <c r="W407" t="n">
        <v>0.04044630404463041</v>
      </c>
      <c r="X407" t="n">
        <v>0.2927026666639703</v>
      </c>
      <c r="Y407" t="n">
        <v>4.306879617603615</v>
      </c>
      <c r="Z407" t="n">
        <v>0.2719346416865806</v>
      </c>
      <c r="AA407" t="n">
        <v>0</v>
      </c>
    </row>
    <row r="408">
      <c r="A408" t="inlineStr">
        <is>
          <t>2023-06-27</t>
        </is>
      </c>
      <c r="B408" t="inlineStr">
        <is>
          <t>CW</t>
        </is>
      </c>
      <c r="C408" t="inlineStr">
        <is>
          <t>09:18</t>
        </is>
      </c>
      <c r="D408" t="n">
        <v>34.42892800016912</v>
      </c>
      <c r="E408" t="n">
        <v>0.2615373272041848</v>
      </c>
      <c r="F408" t="n">
        <v>4.880635874138911</v>
      </c>
      <c r="G408" t="n">
        <v>0.3404255319148936</v>
      </c>
      <c r="H408" t="n">
        <v>0.1201501877346683</v>
      </c>
      <c r="I408" t="n">
        <v>0.1952580195258019</v>
      </c>
      <c r="J408" t="n">
        <v>0.2232818917649852</v>
      </c>
      <c r="K408" t="n">
        <v>0.6677157174036119</v>
      </c>
      <c r="L408" t="b">
        <v>0</v>
      </c>
      <c r="N408" t="n">
        <v>9.897144469873638</v>
      </c>
      <c r="O408" t="n">
        <v>1</v>
      </c>
      <c r="P408" t="n">
        <v>0</v>
      </c>
      <c r="Q408" t="n">
        <v>0</v>
      </c>
      <c r="R408" t="n">
        <v>2.559071909920281</v>
      </c>
      <c r="S408" t="n">
        <v>1.594827586206892</v>
      </c>
      <c r="T408" t="n">
        <v>0.2155172413793103</v>
      </c>
      <c r="U408" t="n">
        <v>0.01534170153417015</v>
      </c>
      <c r="V408" t="n">
        <v>0.1562064156206416</v>
      </c>
      <c r="W408" t="n">
        <v>0.4142259414225942</v>
      </c>
      <c r="X408" t="n">
        <v>0.2615373272041847</v>
      </c>
      <c r="Y408" t="n">
        <v>4.880635874138911</v>
      </c>
      <c r="Z408" t="n">
        <v>0.2232818917649852</v>
      </c>
      <c r="AA408" t="n">
        <v>-2.775557561562891e-17</v>
      </c>
    </row>
    <row r="409">
      <c r="A409" t="inlineStr">
        <is>
          <t>2023-06-30</t>
        </is>
      </c>
      <c r="B409" t="inlineStr">
        <is>
          <t>CW</t>
        </is>
      </c>
      <c r="C409" t="inlineStr">
        <is>
          <t>09:17</t>
        </is>
      </c>
      <c r="D409" t="n">
        <v>3.778407321468327</v>
      </c>
      <c r="E409" t="n">
        <v>0.2573544583008653</v>
      </c>
      <c r="F409" t="n">
        <v>9.35660660673863</v>
      </c>
      <c r="G409" t="n">
        <v>0.3153942428035044</v>
      </c>
      <c r="H409" t="n">
        <v>0.7183979974968711</v>
      </c>
      <c r="I409" t="n">
        <v>0.2566248256624826</v>
      </c>
      <c r="J409" t="n">
        <v>0.4648418612526467</v>
      </c>
      <c r="K409" t="n">
        <v>0.6677157174036119</v>
      </c>
      <c r="L409" t="b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11.68616106988601</v>
      </c>
      <c r="S409" t="n">
        <v>1.601708489054992</v>
      </c>
      <c r="T409" t="n">
        <v>0.1067805659370009</v>
      </c>
      <c r="U409" t="n">
        <v>0.5871687587168759</v>
      </c>
      <c r="V409" t="n">
        <v>0.1589958158995816</v>
      </c>
      <c r="W409" t="n">
        <v>0.02370990237099024</v>
      </c>
      <c r="X409" t="n">
        <v>0.2573544583008653</v>
      </c>
      <c r="Y409" t="n">
        <v>9.356606606738628</v>
      </c>
      <c r="Z409" t="n">
        <v>0.4648418612526467</v>
      </c>
      <c r="AA409" t="n">
        <v>0</v>
      </c>
    </row>
    <row r="410">
      <c r="A410" t="inlineStr">
        <is>
          <t>2023-07-04</t>
        </is>
      </c>
      <c r="B410" t="inlineStr">
        <is>
          <t>CW</t>
        </is>
      </c>
      <c r="C410" t="inlineStr">
        <is>
          <t>09:17</t>
        </is>
      </c>
      <c r="D410" t="n">
        <v>12.75048310388646</v>
      </c>
      <c r="E410" t="n">
        <v>0.2080802559352507</v>
      </c>
      <c r="F410" t="n">
        <v>5.551105953135409</v>
      </c>
      <c r="G410" t="n">
        <v>0.11639549436796</v>
      </c>
      <c r="H410" t="n">
        <v>0.2077596996245307</v>
      </c>
      <c r="I410" t="n">
        <v>0.5220827522082753</v>
      </c>
      <c r="J410" t="n">
        <v>0.2340786280386513</v>
      </c>
      <c r="K410" t="n">
        <v>0.6677157174036119</v>
      </c>
      <c r="L410" t="b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10.13095483604754</v>
      </c>
      <c r="S410" t="n">
        <v>4.849965108164681</v>
      </c>
      <c r="T410" t="n">
        <v>0.2093510118632319</v>
      </c>
      <c r="U410" t="n">
        <v>0.5146443514644351</v>
      </c>
      <c r="V410" t="n">
        <v>0.6820083682008368</v>
      </c>
      <c r="W410" t="n">
        <v>0.3695955369595537</v>
      </c>
      <c r="X410" t="n">
        <v>0.2080802559352507</v>
      </c>
      <c r="Y410" t="n">
        <v>5.551105953135409</v>
      </c>
      <c r="Z410" t="n">
        <v>0.2340786280386513</v>
      </c>
      <c r="AA410" t="n">
        <v>2.775557561562891e-17</v>
      </c>
    </row>
    <row r="411">
      <c r="A411" t="inlineStr">
        <is>
          <t>2023-07-07</t>
        </is>
      </c>
      <c r="B411" t="inlineStr">
        <is>
          <t>CW</t>
        </is>
      </c>
      <c r="C411" t="inlineStr">
        <is>
          <t>09:17</t>
        </is>
      </c>
      <c r="D411" t="n">
        <v>24.30088731129125</v>
      </c>
      <c r="E411" t="n">
        <v>0.2379573426647537</v>
      </c>
      <c r="F411" t="n">
        <v>6.561381058674228</v>
      </c>
      <c r="G411" t="n">
        <v>0.2127659574468085</v>
      </c>
      <c r="H411" t="n">
        <v>0.3554443053817272</v>
      </c>
      <c r="I411" t="n">
        <v>0.2463970246397025</v>
      </c>
      <c r="J411" t="n">
        <v>0.2765635100593548</v>
      </c>
      <c r="K411" t="n">
        <v>0.6677157174036119</v>
      </c>
      <c r="L411" t="b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5.732780449930296</v>
      </c>
      <c r="S411" t="n">
        <v>2.508875739644962</v>
      </c>
      <c r="T411" t="n">
        <v>0.1656804733727784</v>
      </c>
      <c r="U411" t="n">
        <v>0.195258019525802</v>
      </c>
      <c r="V411" t="n">
        <v>0.3905160390516039</v>
      </c>
      <c r="W411" t="n">
        <v>0.1534170153417015</v>
      </c>
      <c r="X411" t="n">
        <v>0.2379573426647537</v>
      </c>
      <c r="Y411" t="n">
        <v>6.561381058674227</v>
      </c>
      <c r="Z411" t="n">
        <v>0.2765635100593548</v>
      </c>
      <c r="AA411" t="n">
        <v>-5.551115123125783e-17</v>
      </c>
    </row>
    <row r="412">
      <c r="A412" t="inlineStr">
        <is>
          <t>2023-07-18</t>
        </is>
      </c>
      <c r="B412" t="inlineStr">
        <is>
          <t>CW</t>
        </is>
      </c>
      <c r="C412" t="inlineStr">
        <is>
          <t>09:17</t>
        </is>
      </c>
      <c r="D412" t="n">
        <v>26.68971372063338</v>
      </c>
      <c r="E412" t="n">
        <v>0.28446374372824</v>
      </c>
      <c r="F412" t="n">
        <v>8.734560280104185</v>
      </c>
      <c r="G412" t="n">
        <v>0.4843554443053817</v>
      </c>
      <c r="H412" t="n">
        <v>0.6382978723404256</v>
      </c>
      <c r="I412" t="n">
        <v>0.2942817294281729</v>
      </c>
      <c r="J412" t="n">
        <v>0.5079176725439576</v>
      </c>
      <c r="K412" t="n">
        <v>0.6677157174036119</v>
      </c>
      <c r="L412" t="b">
        <v>0</v>
      </c>
      <c r="N412" t="n">
        <v>0</v>
      </c>
      <c r="O412" t="n">
        <v>0</v>
      </c>
      <c r="P412" t="n">
        <v>0</v>
      </c>
      <c r="Q412" t="n">
        <v>0</v>
      </c>
      <c r="R412" t="n">
        <v>5.309989607591769</v>
      </c>
      <c r="S412" t="n">
        <v>4.263683096462056</v>
      </c>
      <c r="T412" t="n">
        <v>0.1511944360447621</v>
      </c>
      <c r="U412" t="n">
        <v>0.1492329149232915</v>
      </c>
      <c r="V412" t="n">
        <v>0.6220362622036262</v>
      </c>
      <c r="W412" t="n">
        <v>0.1115760111576011</v>
      </c>
      <c r="X412" t="n">
        <v>0.28446374372824</v>
      </c>
      <c r="Y412" t="n">
        <v>8.734560280104185</v>
      </c>
      <c r="Z412" t="n">
        <v>0.5079176725439576</v>
      </c>
      <c r="AA412" t="n">
        <v>0</v>
      </c>
    </row>
    <row r="413">
      <c r="A413" t="inlineStr">
        <is>
          <t>2023-07-25</t>
        </is>
      </c>
      <c r="B413" t="inlineStr">
        <is>
          <t>CW</t>
        </is>
      </c>
      <c r="C413" t="inlineStr">
        <is>
          <t>09:18</t>
        </is>
      </c>
      <c r="D413" t="n">
        <v>16.68399818617221</v>
      </c>
      <c r="E413" t="n">
        <v>0.2908874781070587</v>
      </c>
      <c r="F413" t="n">
        <v>5.758443525541293</v>
      </c>
      <c r="G413" t="n">
        <v>0.5281602002503129</v>
      </c>
      <c r="H413" t="n">
        <v>0.2340425531914894</v>
      </c>
      <c r="I413" t="n">
        <v>0.2859135285913528</v>
      </c>
      <c r="J413" t="n">
        <v>0.3620638070949915</v>
      </c>
      <c r="K413" t="n">
        <v>0.6677157174036119</v>
      </c>
      <c r="L413" t="b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3.475701800006873</v>
      </c>
      <c r="S413" t="n">
        <v>2.032884902840064</v>
      </c>
      <c r="T413" t="n">
        <v>0.2391629297458843</v>
      </c>
      <c r="U413" t="n">
        <v>0.04184100418410042</v>
      </c>
      <c r="V413" t="n">
        <v>0.2789400278940028</v>
      </c>
      <c r="W413" t="n">
        <v>0.5369595536959554</v>
      </c>
      <c r="X413" t="n">
        <v>0.2908874781070587</v>
      </c>
      <c r="Y413" t="n">
        <v>5.758443525541294</v>
      </c>
      <c r="Z413" t="n">
        <v>0.3620638070949915</v>
      </c>
      <c r="AA413" t="n">
        <v>0</v>
      </c>
    </row>
    <row r="414">
      <c r="A414" t="inlineStr">
        <is>
          <t>2023-07-28</t>
        </is>
      </c>
      <c r="B414" t="inlineStr">
        <is>
          <t>CW</t>
        </is>
      </c>
      <c r="C414" t="inlineStr">
        <is>
          <t>09:18</t>
        </is>
      </c>
      <c r="D414" t="n">
        <v>26.01863409393171</v>
      </c>
      <c r="E414" t="n">
        <v>0.2407076193618031</v>
      </c>
      <c r="F414" t="n">
        <v>4.651241799158123</v>
      </c>
      <c r="G414" t="n">
        <v>0.230287859824781</v>
      </c>
      <c r="H414" t="n">
        <v>0.09762202753441802</v>
      </c>
      <c r="I414" t="n">
        <v>0.2807996280799628</v>
      </c>
      <c r="J414" t="n">
        <v>0.1873238805596722</v>
      </c>
      <c r="K414" t="n">
        <v>0.6677157174036119</v>
      </c>
      <c r="L414" t="b">
        <v>0</v>
      </c>
      <c r="N414" t="n">
        <v>0</v>
      </c>
      <c r="O414" t="n">
        <v>0</v>
      </c>
      <c r="P414" t="n">
        <v>0</v>
      </c>
      <c r="Q414" t="n">
        <v>0</v>
      </c>
      <c r="R414" t="n">
        <v>5.517669255139337</v>
      </c>
      <c r="S414" t="n">
        <v>1.294277929155324</v>
      </c>
      <c r="T414" t="n">
        <v>0.2497729336966381</v>
      </c>
      <c r="U414" t="n">
        <v>0.1701534170153417</v>
      </c>
      <c r="V414" t="n">
        <v>0.08647140864714087</v>
      </c>
      <c r="W414" t="n">
        <v>0.5857740585774058</v>
      </c>
      <c r="X414" t="n">
        <v>0.2407076193618032</v>
      </c>
      <c r="Y414" t="n">
        <v>4.651241799158123</v>
      </c>
      <c r="Z414" t="n">
        <v>0.1873238805596722</v>
      </c>
      <c r="AA414" t="n">
        <v>-2.775557561562891e-17</v>
      </c>
    </row>
    <row r="415">
      <c r="A415" t="inlineStr">
        <is>
          <t>2023-08-01</t>
        </is>
      </c>
      <c r="B415" t="inlineStr">
        <is>
          <t>CW</t>
        </is>
      </c>
      <c r="C415" t="inlineStr">
        <is>
          <t>09:19</t>
        </is>
      </c>
      <c r="D415" t="n">
        <v>20.30550568683415</v>
      </c>
      <c r="E415" t="n">
        <v>0.2727996589071274</v>
      </c>
      <c r="F415" t="n">
        <v>6.265906556335319</v>
      </c>
      <c r="G415" t="n">
        <v>0.4080100125156446</v>
      </c>
      <c r="H415" t="n">
        <v>0.3066332916145181</v>
      </c>
      <c r="I415" t="n">
        <v>0.1655044165504417</v>
      </c>
      <c r="J415" t="n">
        <v>0.3189582049621534</v>
      </c>
      <c r="K415" t="n">
        <v>0.6677157174036119</v>
      </c>
      <c r="L415" t="b">
        <v>0</v>
      </c>
      <c r="N415" t="n">
        <v>0</v>
      </c>
      <c r="O415" t="n">
        <v>0</v>
      </c>
      <c r="P415" t="n">
        <v>0</v>
      </c>
      <c r="Q415" t="n">
        <v>0</v>
      </c>
      <c r="R415" t="n">
        <v>4.578314472028224</v>
      </c>
      <c r="S415" t="n">
        <v>1.038781163434903</v>
      </c>
      <c r="T415" t="n">
        <v>0.2077562326869835</v>
      </c>
      <c r="U415" t="n">
        <v>0.104602510460251</v>
      </c>
      <c r="V415" t="n">
        <v>0.03068340306834031</v>
      </c>
      <c r="W415" t="n">
        <v>0.3612273361227336</v>
      </c>
      <c r="X415" t="n">
        <v>0.2727996589071274</v>
      </c>
      <c r="Y415" t="n">
        <v>6.26590655633532</v>
      </c>
      <c r="Z415" t="n">
        <v>0.3189582049621534</v>
      </c>
      <c r="AA415" t="n">
        <v>5.551115123125783e-17</v>
      </c>
    </row>
    <row r="416">
      <c r="A416" t="inlineStr">
        <is>
          <t>2023-08-02</t>
        </is>
      </c>
      <c r="B416" t="inlineStr">
        <is>
          <t>CW</t>
        </is>
      </c>
      <c r="C416" t="inlineStr">
        <is>
          <t>09:20+</t>
        </is>
      </c>
      <c r="D416" t="n">
        <v>4.4025439655117</v>
      </c>
      <c r="E416" t="n">
        <v>0.3806539130865745</v>
      </c>
      <c r="F416" t="n">
        <v>11.02409131354148</v>
      </c>
      <c r="G416" t="n">
        <v>0.899874843554443</v>
      </c>
      <c r="H416" t="n">
        <v>0.8811013767209012</v>
      </c>
      <c r="I416" t="n">
        <v>0.401673640167364</v>
      </c>
      <c r="J416" t="n">
        <v>0.7927252161436105</v>
      </c>
      <c r="K416" t="n">
        <v>0.6677157174036119</v>
      </c>
      <c r="L416" t="b">
        <v>1</v>
      </c>
      <c r="M416" t="inlineStr">
        <is>
          <t>top_quartile_risk</t>
        </is>
      </c>
      <c r="N416" t="n">
        <v>0</v>
      </c>
      <c r="O416" t="n">
        <v>0</v>
      </c>
      <c r="P416" t="n">
        <v>0</v>
      </c>
      <c r="Q416" t="n">
        <v>0</v>
      </c>
      <c r="R416" t="n">
        <v>5.31985636387892</v>
      </c>
      <c r="S416" t="n">
        <v>3.702290076335895</v>
      </c>
      <c r="T416" t="n">
        <v>0.2290076335877949</v>
      </c>
      <c r="U416" t="n">
        <v>0.1520223152022315</v>
      </c>
      <c r="V416" t="n">
        <v>0.5578800557880056</v>
      </c>
      <c r="W416" t="n">
        <v>0.495118549511855</v>
      </c>
      <c r="X416" t="n">
        <v>0.3806539130865746</v>
      </c>
      <c r="Y416" t="n">
        <v>11.02409131354147</v>
      </c>
      <c r="Z416" t="n">
        <v>0.7927252161436105</v>
      </c>
      <c r="AA416" t="n">
        <v>0</v>
      </c>
    </row>
    <row r="417">
      <c r="A417" t="inlineStr">
        <is>
          <t>2023-08-03</t>
        </is>
      </c>
      <c r="B417" t="inlineStr">
        <is>
          <t>NW</t>
        </is>
      </c>
      <c r="C417" t="inlineStr">
        <is>
          <t>NW</t>
        </is>
      </c>
      <c r="D417" t="n">
        <v>9.964276128117328</v>
      </c>
      <c r="E417" t="n">
        <v>0.3427546768642374</v>
      </c>
      <c r="F417" t="n">
        <v>9.75827320290238</v>
      </c>
      <c r="G417" t="n">
        <v>0.7934918648310388</v>
      </c>
      <c r="H417" t="n">
        <v>0.7609511889862328</v>
      </c>
      <c r="I417" t="n">
        <v>0.5</v>
      </c>
      <c r="J417" t="n">
        <v>0.7217772215269087</v>
      </c>
      <c r="K417" t="n">
        <v>0.6677157174036119</v>
      </c>
      <c r="L417" t="b">
        <v>1</v>
      </c>
      <c r="M417" t="inlineStr">
        <is>
          <t>top_quartile_risk</t>
        </is>
      </c>
      <c r="N417" t="n">
        <v>0</v>
      </c>
      <c r="O417" t="n">
        <v>0</v>
      </c>
      <c r="P417" t="n">
        <v>0</v>
      </c>
      <c r="Q417" t="n">
        <v>0</v>
      </c>
      <c r="U417" t="n">
        <v>0.5</v>
      </c>
      <c r="V417" t="n">
        <v>0.5</v>
      </c>
      <c r="W417" t="n">
        <v>0.5</v>
      </c>
      <c r="X417" t="n">
        <v>0.3427546768642374</v>
      </c>
      <c r="Y417" t="n">
        <v>9.75827320290238</v>
      </c>
      <c r="Z417" t="n">
        <v>0.7217772215269087</v>
      </c>
      <c r="AA417" t="n">
        <v>0</v>
      </c>
    </row>
    <row r="418">
      <c r="A418" t="inlineStr">
        <is>
          <t>2023-08-08</t>
        </is>
      </c>
      <c r="B418" t="inlineStr">
        <is>
          <t>CW</t>
        </is>
      </c>
      <c r="C418" t="inlineStr">
        <is>
          <t>09:17</t>
        </is>
      </c>
      <c r="D418" t="n">
        <v>13.54429558123556</v>
      </c>
      <c r="E418" t="n">
        <v>0.266602232383416</v>
      </c>
      <c r="F418" t="n">
        <v>5.502249834350202</v>
      </c>
      <c r="G418" t="n">
        <v>0.3754693366708385</v>
      </c>
      <c r="H418" t="n">
        <v>0.2002503128911139</v>
      </c>
      <c r="I418" t="n">
        <v>0.08600650860065086</v>
      </c>
      <c r="J418" t="n">
        <v>0.2474891615449112</v>
      </c>
      <c r="K418" t="n">
        <v>0.6677157174036119</v>
      </c>
      <c r="L418" t="b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2.9061763896097</v>
      </c>
      <c r="S418" t="n">
        <v>1.118881118881115</v>
      </c>
      <c r="T418" t="n">
        <v>0.1748251748251748</v>
      </c>
      <c r="U418" t="n">
        <v>0.02231520223152022</v>
      </c>
      <c r="V418" t="n">
        <v>0.04741980474198047</v>
      </c>
      <c r="W418" t="n">
        <v>0.1882845188284519</v>
      </c>
      <c r="X418" t="n">
        <v>0.266602232383416</v>
      </c>
      <c r="Y418" t="n">
        <v>5.502249834350202</v>
      </c>
      <c r="Z418" t="n">
        <v>0.2474891615449112</v>
      </c>
      <c r="AA418" t="n">
        <v>-2.775557561562891e-17</v>
      </c>
    </row>
    <row r="419">
      <c r="A419" t="inlineStr">
        <is>
          <t>2023-08-10</t>
        </is>
      </c>
      <c r="B419" t="inlineStr">
        <is>
          <t>CW</t>
        </is>
      </c>
      <c r="C419" t="inlineStr">
        <is>
          <t>09:16</t>
        </is>
      </c>
      <c r="D419" t="n">
        <v>10.61181786030588</v>
      </c>
      <c r="E419" t="n">
        <v>0.2393952213478633</v>
      </c>
      <c r="F419" t="n">
        <v>7.596996690895424</v>
      </c>
      <c r="G419" t="n">
        <v>0.2215269086357947</v>
      </c>
      <c r="H419" t="n">
        <v>0.4981226533166458</v>
      </c>
      <c r="I419" t="n">
        <v>0.8358902835890284</v>
      </c>
      <c r="J419" t="n">
        <v>0.4550378814987819</v>
      </c>
      <c r="K419" t="n">
        <v>0.6677157174036119</v>
      </c>
      <c r="L419" t="b">
        <v>0</v>
      </c>
      <c r="N419" t="n">
        <v>0</v>
      </c>
      <c r="O419" t="n">
        <v>0</v>
      </c>
      <c r="P419" t="n">
        <v>0</v>
      </c>
      <c r="Q419" t="n">
        <v>0</v>
      </c>
      <c r="R419" t="n">
        <v>22.68615277044152</v>
      </c>
      <c r="S419" t="n">
        <v>15.16825715720744</v>
      </c>
      <c r="T419" t="n">
        <v>0.301356102461072</v>
      </c>
      <c r="U419" t="n">
        <v>0.8298465829846583</v>
      </c>
      <c r="V419" t="n">
        <v>0.9302649930264993</v>
      </c>
      <c r="W419" t="n">
        <v>0.7475592747559274</v>
      </c>
      <c r="X419" t="n">
        <v>0.2393952213478633</v>
      </c>
      <c r="Y419" t="n">
        <v>7.596996690895424</v>
      </c>
      <c r="Z419" t="n">
        <v>0.4550378814987819</v>
      </c>
      <c r="AA419" t="n">
        <v>0</v>
      </c>
    </row>
    <row r="420">
      <c r="A420" t="inlineStr">
        <is>
          <t>2023-09-11</t>
        </is>
      </c>
      <c r="B420" t="inlineStr">
        <is>
          <t>CW</t>
        </is>
      </c>
      <c r="C420" t="inlineStr">
        <is>
          <t>09:18</t>
        </is>
      </c>
      <c r="D420" t="n">
        <v>-8.184657141034121</v>
      </c>
      <c r="E420" t="n">
        <v>0.3774360188641518</v>
      </c>
      <c r="F420" t="n">
        <v>10.53614919385708</v>
      </c>
      <c r="G420" t="n">
        <v>0.8936170212765957</v>
      </c>
      <c r="H420" t="n">
        <v>0.8448060075093867</v>
      </c>
      <c r="I420" t="n">
        <v>0.2157136215713621</v>
      </c>
      <c r="J420" t="n">
        <v>0.7385119358286655</v>
      </c>
      <c r="K420" t="n">
        <v>0.6677157174036119</v>
      </c>
      <c r="L420" t="b">
        <v>1</v>
      </c>
      <c r="M420" t="inlineStr">
        <is>
          <t>top_quartile_risk</t>
        </is>
      </c>
      <c r="N420" t="n">
        <v>0</v>
      </c>
      <c r="O420" t="n">
        <v>0</v>
      </c>
      <c r="P420" t="n">
        <v>1</v>
      </c>
      <c r="Q420" t="n">
        <v>8.184657141034121</v>
      </c>
      <c r="R420" t="n">
        <v>3.620328142522446</v>
      </c>
      <c r="S420" t="n">
        <v>1.089588377723978</v>
      </c>
      <c r="T420" t="n">
        <v>0.2421307506053303</v>
      </c>
      <c r="U420" t="n">
        <v>0.04881450488145049</v>
      </c>
      <c r="V420" t="n">
        <v>0.04184100418410042</v>
      </c>
      <c r="W420" t="n">
        <v>0.5564853556485355</v>
      </c>
      <c r="X420" t="n">
        <v>0.3774360188641518</v>
      </c>
      <c r="Y420" t="n">
        <v>10.53614919385708</v>
      </c>
      <c r="Z420" t="n">
        <v>0.7385119358286655</v>
      </c>
      <c r="AA420" t="n">
        <v>0</v>
      </c>
    </row>
    <row r="421">
      <c r="A421" t="inlineStr">
        <is>
          <t>2023-09-12</t>
        </is>
      </c>
      <c r="B421" t="inlineStr">
        <is>
          <t>CW</t>
        </is>
      </c>
      <c r="C421" t="inlineStr">
        <is>
          <t>09:17</t>
        </is>
      </c>
      <c r="D421" t="n">
        <v>-36.65327987977494</v>
      </c>
      <c r="E421" t="n">
        <v>0.3170812428081479</v>
      </c>
      <c r="F421" t="n">
        <v>10.46012497193368</v>
      </c>
      <c r="G421" t="n">
        <v>0.6533166458072591</v>
      </c>
      <c r="H421" t="n">
        <v>0.8347934918648311</v>
      </c>
      <c r="I421" t="n">
        <v>0.2222222222222222</v>
      </c>
      <c r="J421" t="n">
        <v>0.6396884995132804</v>
      </c>
      <c r="K421" t="n">
        <v>0.6677157174036119</v>
      </c>
      <c r="L421" t="b">
        <v>0</v>
      </c>
      <c r="N421" t="n">
        <v>8.184657141034222</v>
      </c>
      <c r="O421" t="n">
        <v>1</v>
      </c>
      <c r="P421" t="n">
        <v>1</v>
      </c>
      <c r="Q421" t="n">
        <v>36.65327987977494</v>
      </c>
      <c r="R421" t="n">
        <v>4.45872565137104</v>
      </c>
      <c r="S421" t="n">
        <v>3.404791929382079</v>
      </c>
      <c r="T421" t="n">
        <v>0.1261034047919222</v>
      </c>
      <c r="U421" t="n">
        <v>0.09483960948396095</v>
      </c>
      <c r="V421" t="n">
        <v>0.5174337517433751</v>
      </c>
      <c r="W421" t="n">
        <v>0.05439330543933055</v>
      </c>
      <c r="X421" t="n">
        <v>0.3170812428081479</v>
      </c>
      <c r="Y421" t="n">
        <v>10.46012497193368</v>
      </c>
      <c r="Z421" t="n">
        <v>0.6396884995132804</v>
      </c>
      <c r="AA421" t="n">
        <v>0</v>
      </c>
    </row>
    <row r="422">
      <c r="A422" t="inlineStr">
        <is>
          <t>2023-09-18</t>
        </is>
      </c>
      <c r="B422" t="inlineStr">
        <is>
          <t>CW</t>
        </is>
      </c>
      <c r="C422" t="inlineStr">
        <is>
          <t>09:18</t>
        </is>
      </c>
      <c r="D422" t="n">
        <v>19.01538684445127</v>
      </c>
      <c r="E422" t="n">
        <v>0.3583947674863882</v>
      </c>
      <c r="F422" t="n">
        <v>7.968649194114931</v>
      </c>
      <c r="G422" t="n">
        <v>0.8435544430538173</v>
      </c>
      <c r="H422" t="n">
        <v>0.5394242803504381</v>
      </c>
      <c r="I422" t="n">
        <v>0.2603440260344026</v>
      </c>
      <c r="J422" t="n">
        <v>0.6052602945685828</v>
      </c>
      <c r="K422" t="n">
        <v>0.6677157174036119</v>
      </c>
      <c r="L422" t="b">
        <v>0</v>
      </c>
      <c r="N422" t="n">
        <v>44.83793702080948</v>
      </c>
      <c r="O422" t="n">
        <v>2</v>
      </c>
      <c r="P422" t="n">
        <v>0</v>
      </c>
      <c r="Q422" t="n">
        <v>0</v>
      </c>
      <c r="R422" t="n">
        <v>4.092190859779896</v>
      </c>
      <c r="S422" t="n">
        <v>0.8633980881899511</v>
      </c>
      <c r="T422" t="n">
        <v>0.2775208140610563</v>
      </c>
      <c r="U422" t="n">
        <v>0.07810320781032078</v>
      </c>
      <c r="V422" t="n">
        <v>0.01394700139470014</v>
      </c>
      <c r="W422" t="n">
        <v>0.6889818688981869</v>
      </c>
      <c r="X422" t="n">
        <v>0.3583947674863883</v>
      </c>
      <c r="Y422" t="n">
        <v>7.96864919411493</v>
      </c>
      <c r="Z422" t="n">
        <v>0.6052602945685828</v>
      </c>
      <c r="AA422" t="n">
        <v>0</v>
      </c>
    </row>
    <row r="423">
      <c r="A423" t="inlineStr">
        <is>
          <t>2023-09-25</t>
        </is>
      </c>
      <c r="B423" t="inlineStr">
        <is>
          <t>CW</t>
        </is>
      </c>
      <c r="C423" t="inlineStr">
        <is>
          <t>09:17</t>
        </is>
      </c>
      <c r="D423" t="n">
        <v>1.231871611930523</v>
      </c>
      <c r="E423" t="n">
        <v>0.2880160327537022</v>
      </c>
      <c r="F423" t="n">
        <v>6.16972761723288</v>
      </c>
      <c r="G423" t="n">
        <v>0.509386733416771</v>
      </c>
      <c r="H423" t="n">
        <v>0.2878598247809762</v>
      </c>
      <c r="I423" t="n">
        <v>0.2264063226406323</v>
      </c>
      <c r="J423" t="n">
        <v>0.3641798878072254</v>
      </c>
      <c r="K423" t="n">
        <v>0.6677157174036119</v>
      </c>
      <c r="L423" t="b">
        <v>0</v>
      </c>
      <c r="N423" t="n">
        <v>25.82255017635816</v>
      </c>
      <c r="O423" t="n">
        <v>0</v>
      </c>
      <c r="P423" t="n">
        <v>0</v>
      </c>
      <c r="Q423" t="n">
        <v>0</v>
      </c>
      <c r="R423" t="n">
        <v>8.436802756700999</v>
      </c>
      <c r="S423" t="n">
        <v>1.850828729281765</v>
      </c>
      <c r="T423" t="n">
        <v>0.1104972375690545</v>
      </c>
      <c r="U423" t="n">
        <v>0.4142259414225942</v>
      </c>
      <c r="V423" t="n">
        <v>0.2329149232914923</v>
      </c>
      <c r="W423" t="n">
        <v>0.03207810320781032</v>
      </c>
      <c r="X423" t="n">
        <v>0.2880160327537021</v>
      </c>
      <c r="Y423" t="n">
        <v>6.169727617232879</v>
      </c>
      <c r="Z423" t="n">
        <v>0.3641798878072254</v>
      </c>
      <c r="AA423" t="n">
        <v>0</v>
      </c>
    </row>
    <row r="424">
      <c r="A424" t="inlineStr">
        <is>
          <t>2023-09-26</t>
        </is>
      </c>
      <c r="B424" t="inlineStr">
        <is>
          <t>CW</t>
        </is>
      </c>
      <c r="C424" t="inlineStr">
        <is>
          <t>09:17</t>
        </is>
      </c>
      <c r="D424" t="n">
        <v>23.14041347495627</v>
      </c>
      <c r="E424" t="n">
        <v>0.2271042245022247</v>
      </c>
      <c r="F424" t="n">
        <v>3.964600501169284</v>
      </c>
      <c r="G424" t="n">
        <v>0.1639549436795995</v>
      </c>
      <c r="H424" t="n">
        <v>0.05006257822277847</v>
      </c>
      <c r="I424" t="n">
        <v>0.2222222222222222</v>
      </c>
      <c r="J424" t="n">
        <v>0.1300514532053956</v>
      </c>
      <c r="K424" t="n">
        <v>0.6677157174036119</v>
      </c>
      <c r="L424" t="b">
        <v>0</v>
      </c>
      <c r="N424" t="n">
        <v>24.59067856442744</v>
      </c>
      <c r="O424" t="n">
        <v>0</v>
      </c>
      <c r="P424" t="n">
        <v>0</v>
      </c>
      <c r="Q424" t="n">
        <v>0</v>
      </c>
      <c r="R424" t="n">
        <v>6.909270106739171</v>
      </c>
      <c r="S424" t="n">
        <v>1.732336956521728</v>
      </c>
      <c r="T424" t="n">
        <v>0.1698369565217391</v>
      </c>
      <c r="U424" t="n">
        <v>0.3054393305439331</v>
      </c>
      <c r="V424" t="n">
        <v>0.198047419804742</v>
      </c>
      <c r="W424" t="n">
        <v>0.1631799163179916</v>
      </c>
      <c r="X424" t="n">
        <v>0.2271042245022248</v>
      </c>
      <c r="Y424" t="n">
        <v>3.964600501169285</v>
      </c>
      <c r="Z424" t="n">
        <v>0.1300514532053956</v>
      </c>
      <c r="AA424" t="n">
        <v>2.775557561562891e-17</v>
      </c>
    </row>
    <row r="425">
      <c r="A425" t="inlineStr">
        <is>
          <t>2023-10-17</t>
        </is>
      </c>
      <c r="B425" t="inlineStr">
        <is>
          <t>CW</t>
        </is>
      </c>
      <c r="C425" t="inlineStr">
        <is>
          <t>09:18</t>
        </is>
      </c>
      <c r="D425" t="n">
        <v>-2.287748326724479</v>
      </c>
      <c r="E425" t="n">
        <v>0.2655635521569512</v>
      </c>
      <c r="F425" t="n">
        <v>5.251730907717929</v>
      </c>
      <c r="G425" t="n">
        <v>0.3729662077596996</v>
      </c>
      <c r="H425" t="n">
        <v>0.1664580725907384</v>
      </c>
      <c r="I425" t="n">
        <v>0.195722919572292</v>
      </c>
      <c r="J425" t="n">
        <v>0.2549142960546336</v>
      </c>
      <c r="K425" t="n">
        <v>0.6677157174036119</v>
      </c>
      <c r="L425" t="b">
        <v>0</v>
      </c>
      <c r="N425" t="n">
        <v>1.450265089471031</v>
      </c>
      <c r="O425" t="n">
        <v>0</v>
      </c>
      <c r="P425" t="n">
        <v>1</v>
      </c>
      <c r="Q425" t="n">
        <v>2.287748326724479</v>
      </c>
      <c r="R425" t="n">
        <v>2.673655164063689</v>
      </c>
      <c r="S425" t="n">
        <v>0.8318890814558176</v>
      </c>
      <c r="T425" t="n">
        <v>0.242634315424611</v>
      </c>
      <c r="U425" t="n">
        <v>0.01813110181311018</v>
      </c>
      <c r="V425" t="n">
        <v>0.01115760111576011</v>
      </c>
      <c r="W425" t="n">
        <v>0.5578800557880056</v>
      </c>
      <c r="X425" t="n">
        <v>0.2655635521569512</v>
      </c>
      <c r="Y425" t="n">
        <v>5.251730907717931</v>
      </c>
      <c r="Z425" t="n">
        <v>0.2549142960546336</v>
      </c>
      <c r="AA425" t="n">
        <v>0</v>
      </c>
    </row>
    <row r="426">
      <c r="A426" t="inlineStr">
        <is>
          <t>2023-10-18</t>
        </is>
      </c>
      <c r="B426" t="inlineStr">
        <is>
          <t>CW</t>
        </is>
      </c>
      <c r="C426" t="inlineStr">
        <is>
          <t>09:20+</t>
        </is>
      </c>
      <c r="D426" t="n">
        <v>24.66603388536391</v>
      </c>
      <c r="E426" t="n">
        <v>0.3641557198348229</v>
      </c>
      <c r="F426" t="n">
        <v>10.94259365392162</v>
      </c>
      <c r="G426" t="n">
        <v>0.8573216520650814</v>
      </c>
      <c r="H426" t="n">
        <v>0.8760951188986232</v>
      </c>
      <c r="I426" t="n">
        <v>0.3430962343096235</v>
      </c>
      <c r="J426" t="n">
        <v>0.7619859552474065</v>
      </c>
      <c r="K426" t="n">
        <v>0.6677157174036119</v>
      </c>
      <c r="L426" t="b">
        <v>1</v>
      </c>
      <c r="M426" t="inlineStr">
        <is>
          <t>top_quartile_risk</t>
        </is>
      </c>
      <c r="N426" t="n">
        <v>3.738013416195827</v>
      </c>
      <c r="O426" t="n">
        <v>1</v>
      </c>
      <c r="P426" t="n">
        <v>0</v>
      </c>
      <c r="Q426" t="n">
        <v>0</v>
      </c>
      <c r="R426" t="n">
        <v>4.919886994760944</v>
      </c>
      <c r="S426" t="n">
        <v>2.363782051282054</v>
      </c>
      <c r="T426" t="n">
        <v>0.2403846153846188</v>
      </c>
      <c r="U426" t="n">
        <v>0.1269177126917713</v>
      </c>
      <c r="V426" t="n">
        <v>0.3570432357043236</v>
      </c>
      <c r="W426" t="n">
        <v>0.5453277545327755</v>
      </c>
      <c r="X426" t="n">
        <v>0.3641557198348229</v>
      </c>
      <c r="Y426" t="n">
        <v>10.94259365392162</v>
      </c>
      <c r="Z426" t="n">
        <v>0.7619859552474065</v>
      </c>
      <c r="AA426" t="n">
        <v>0</v>
      </c>
    </row>
    <row r="427">
      <c r="A427" t="inlineStr">
        <is>
          <t>2023-10-25</t>
        </is>
      </c>
      <c r="B427" t="inlineStr">
        <is>
          <t>CW</t>
        </is>
      </c>
      <c r="C427" t="inlineStr">
        <is>
          <t>09:20+</t>
        </is>
      </c>
      <c r="D427" t="n">
        <v>35.91809822575617</v>
      </c>
      <c r="E427" t="n">
        <v>0.4253473950198347</v>
      </c>
      <c r="F427" t="n">
        <v>16.58821760027083</v>
      </c>
      <c r="G427" t="n">
        <v>0.9687108886107635</v>
      </c>
      <c r="H427" t="n">
        <v>0.9912390488110138</v>
      </c>
      <c r="I427" t="n">
        <v>0.500697350069735</v>
      </c>
      <c r="J427" t="n">
        <v>0.8841194449826579</v>
      </c>
      <c r="K427" t="n">
        <v>0.6677157174036119</v>
      </c>
      <c r="L427" t="b">
        <v>1</v>
      </c>
      <c r="M427" t="inlineStr">
        <is>
          <t>top_quartile_risk</t>
        </is>
      </c>
      <c r="N427" t="n">
        <v>0</v>
      </c>
      <c r="O427" t="n">
        <v>0</v>
      </c>
      <c r="P427" t="n">
        <v>0</v>
      </c>
      <c r="Q427" t="n">
        <v>0</v>
      </c>
      <c r="R427" t="n">
        <v>9.672624898752376</v>
      </c>
      <c r="S427" t="n">
        <v>2.641509433962275</v>
      </c>
      <c r="T427" t="n">
        <v>0.2515723270440287</v>
      </c>
      <c r="U427" t="n">
        <v>0.4881450488145049</v>
      </c>
      <c r="V427" t="n">
        <v>0.4156206415620641</v>
      </c>
      <c r="W427" t="n">
        <v>0.5983263598326359</v>
      </c>
      <c r="X427" t="n">
        <v>0.4253473950198347</v>
      </c>
      <c r="Y427" t="n">
        <v>16.58821760027083</v>
      </c>
      <c r="Z427" t="n">
        <v>0.8841194449826579</v>
      </c>
      <c r="AA427" t="n">
        <v>0</v>
      </c>
    </row>
    <row r="428">
      <c r="A428" t="inlineStr">
        <is>
          <t>2023-10-26</t>
        </is>
      </c>
      <c r="B428" t="inlineStr">
        <is>
          <t>CW</t>
        </is>
      </c>
      <c r="C428" t="inlineStr">
        <is>
          <t>09:17</t>
        </is>
      </c>
      <c r="D428" t="n">
        <v>-4.351627320590604</v>
      </c>
      <c r="E428" t="n">
        <v>0.2769522551309542</v>
      </c>
      <c r="F428" t="n">
        <v>7.664371545945978</v>
      </c>
      <c r="G428" t="n">
        <v>0.4443053817271589</v>
      </c>
      <c r="H428" t="n">
        <v>0.5081351689612015</v>
      </c>
      <c r="I428" t="n">
        <v>0.5541608554160855</v>
      </c>
      <c r="J428" t="n">
        <v>0.4918083913585612</v>
      </c>
      <c r="K428" t="n">
        <v>0.6677157174036119</v>
      </c>
      <c r="L428" t="b">
        <v>0</v>
      </c>
      <c r="N428" t="n">
        <v>0</v>
      </c>
      <c r="O428" t="n">
        <v>0</v>
      </c>
      <c r="P428" t="n">
        <v>1</v>
      </c>
      <c r="Q428" t="n">
        <v>4.351627320590604</v>
      </c>
      <c r="R428" t="n">
        <v>12.52255902176677</v>
      </c>
      <c r="S428" t="n">
        <v>6.298828124999989</v>
      </c>
      <c r="T428" t="n">
        <v>0.1953125000000027</v>
      </c>
      <c r="U428" t="n">
        <v>0.6164574616457462</v>
      </c>
      <c r="V428" t="n">
        <v>0.7559274755927475</v>
      </c>
      <c r="W428" t="n">
        <v>0.2900976290097629</v>
      </c>
      <c r="X428" t="n">
        <v>0.2769522551309543</v>
      </c>
      <c r="Y428" t="n">
        <v>7.664371545945976</v>
      </c>
      <c r="Z428" t="n">
        <v>0.4918083913585612</v>
      </c>
      <c r="AA428" t="n">
        <v>5.551115123125783e-17</v>
      </c>
    </row>
    <row r="429">
      <c r="A429" t="inlineStr">
        <is>
          <t>2023-11-13</t>
        </is>
      </c>
      <c r="B429" t="inlineStr">
        <is>
          <t>CW</t>
        </is>
      </c>
      <c r="C429" t="inlineStr">
        <is>
          <t>09:17</t>
        </is>
      </c>
      <c r="D429" t="n">
        <v>9.135426391833992</v>
      </c>
      <c r="E429" t="n">
        <v>0.2643014774764355</v>
      </c>
      <c r="F429" t="n">
        <v>4.927359023259105</v>
      </c>
      <c r="G429" t="n">
        <v>0.3617021276595745</v>
      </c>
      <c r="H429" t="n">
        <v>0.132665832290363</v>
      </c>
      <c r="I429" t="n">
        <v>0.3156671315667132</v>
      </c>
      <c r="J429" t="n">
        <v>0.2608806102933176</v>
      </c>
      <c r="K429" t="n">
        <v>0.6677157174036119</v>
      </c>
      <c r="L429" t="b">
        <v>0</v>
      </c>
      <c r="N429" t="n">
        <v>4.351627320590524</v>
      </c>
      <c r="O429" t="n">
        <v>1</v>
      </c>
      <c r="P429" t="n">
        <v>0</v>
      </c>
      <c r="Q429" t="n">
        <v>0</v>
      </c>
      <c r="R429" t="n">
        <v>1.925822454576268</v>
      </c>
      <c r="S429" t="n">
        <v>2.360515021459235</v>
      </c>
      <c r="T429" t="n">
        <v>0.2503576537911312</v>
      </c>
      <c r="U429" t="n">
        <v>0.004184100418410041</v>
      </c>
      <c r="V429" t="n">
        <v>0.3542538354253835</v>
      </c>
      <c r="W429" t="n">
        <v>0.5885634588563459</v>
      </c>
      <c r="X429" t="n">
        <v>0.2643014774764355</v>
      </c>
      <c r="Y429" t="n">
        <v>4.927359023259104</v>
      </c>
      <c r="Z429" t="n">
        <v>0.2608806102933176</v>
      </c>
      <c r="AA429" t="n">
        <v>0</v>
      </c>
    </row>
    <row r="430">
      <c r="A430" t="inlineStr">
        <is>
          <t>2023-11-20</t>
        </is>
      </c>
      <c r="B430" t="inlineStr">
        <is>
          <t>CW</t>
        </is>
      </c>
      <c r="C430" t="inlineStr">
        <is>
          <t>09:18</t>
        </is>
      </c>
      <c r="D430" t="n">
        <v>11.41246687312679</v>
      </c>
      <c r="E430" t="n">
        <v>0.3256907209368861</v>
      </c>
      <c r="F430" t="n">
        <v>6.235987354153329</v>
      </c>
      <c r="G430" t="n">
        <v>0.7083854818523154</v>
      </c>
      <c r="H430" t="n">
        <v>0.2991239048811014</v>
      </c>
      <c r="I430" t="n">
        <v>0.1822408182240818</v>
      </c>
      <c r="J430" t="n">
        <v>0.439451918338183</v>
      </c>
      <c r="K430" t="n">
        <v>0.6677157174036119</v>
      </c>
      <c r="L430" t="b">
        <v>0</v>
      </c>
      <c r="N430" t="n">
        <v>0</v>
      </c>
      <c r="O430" t="n">
        <v>0</v>
      </c>
      <c r="P430" t="n">
        <v>0</v>
      </c>
      <c r="Q430" t="n">
        <v>0</v>
      </c>
      <c r="R430" t="n">
        <v>4.326944974417519</v>
      </c>
      <c r="S430" t="n">
        <v>1.618303571428559</v>
      </c>
      <c r="T430" t="n">
        <v>0.1953125000000047</v>
      </c>
      <c r="U430" t="n">
        <v>0.09065550906555091</v>
      </c>
      <c r="V430" t="n">
        <v>0.1645746164574617</v>
      </c>
      <c r="W430" t="n">
        <v>0.2914923291492329</v>
      </c>
      <c r="X430" t="n">
        <v>0.3256907209368861</v>
      </c>
      <c r="Y430" t="n">
        <v>6.235987354153329</v>
      </c>
      <c r="Z430" t="n">
        <v>0.439451918338183</v>
      </c>
      <c r="AA430" t="n">
        <v>5.551115123125783e-17</v>
      </c>
    </row>
    <row r="431">
      <c r="A431" t="inlineStr">
        <is>
          <t>2023-11-21</t>
        </is>
      </c>
      <c r="B431" t="inlineStr">
        <is>
          <t>CW</t>
        </is>
      </c>
      <c r="C431" t="inlineStr">
        <is>
          <t>09:17</t>
        </is>
      </c>
      <c r="D431" t="n">
        <v>7.478630086596625</v>
      </c>
      <c r="E431" t="n">
        <v>0.252400404514882</v>
      </c>
      <c r="F431" t="n">
        <v>5.511682933781428</v>
      </c>
      <c r="G431" t="n">
        <v>0.2828535669586984</v>
      </c>
      <c r="H431" t="n">
        <v>0.2040050062578223</v>
      </c>
      <c r="I431" t="n">
        <v>0.2408182240818224</v>
      </c>
      <c r="J431" t="n">
        <v>0.2429070741029728</v>
      </c>
      <c r="K431" t="n">
        <v>0.6677157174036119</v>
      </c>
      <c r="L431" t="b">
        <v>0</v>
      </c>
      <c r="N431" t="n">
        <v>0</v>
      </c>
      <c r="O431" t="n">
        <v>0</v>
      </c>
      <c r="P431" t="n">
        <v>0</v>
      </c>
      <c r="Q431" t="n">
        <v>0</v>
      </c>
      <c r="R431" t="n">
        <v>5.409627620446738</v>
      </c>
      <c r="S431" t="n">
        <v>2.555366269165247</v>
      </c>
      <c r="T431" t="n">
        <v>0.1703577512776831</v>
      </c>
      <c r="U431" t="n">
        <v>0.1603905160390516</v>
      </c>
      <c r="V431" t="n">
        <v>0.3960948396094839</v>
      </c>
      <c r="W431" t="n">
        <v>0.1659693165969316</v>
      </c>
      <c r="X431" t="n">
        <v>0.2524004045148821</v>
      </c>
      <c r="Y431" t="n">
        <v>5.511682933781429</v>
      </c>
      <c r="Z431" t="n">
        <v>0.2429070741029728</v>
      </c>
      <c r="AA431" t="n">
        <v>-2.775557561562891e-17</v>
      </c>
    </row>
    <row r="432">
      <c r="A432" t="inlineStr">
        <is>
          <t>2023-12-05</t>
        </is>
      </c>
      <c r="B432" t="inlineStr">
        <is>
          <t>CW</t>
        </is>
      </c>
      <c r="C432" t="inlineStr">
        <is>
          <t>09:20+</t>
        </is>
      </c>
      <c r="D432" t="n">
        <v>38.79758999986596</v>
      </c>
      <c r="E432" t="n">
        <v>0.3342797201772393</v>
      </c>
      <c r="F432" t="n">
        <v>9.552112329677485</v>
      </c>
      <c r="G432" t="n">
        <v>0.7584480600750939</v>
      </c>
      <c r="H432" t="n">
        <v>0.7296620775969962</v>
      </c>
      <c r="I432" t="n">
        <v>0.2454672245467224</v>
      </c>
      <c r="J432" t="n">
        <v>0.6443374999781806</v>
      </c>
      <c r="K432" t="n">
        <v>0.6677157174036119</v>
      </c>
      <c r="L432" t="b">
        <v>0</v>
      </c>
      <c r="N432" t="n">
        <v>0</v>
      </c>
      <c r="O432" t="n">
        <v>0</v>
      </c>
      <c r="P432" t="n">
        <v>0</v>
      </c>
      <c r="Q432" t="n">
        <v>0</v>
      </c>
      <c r="R432" t="n">
        <v>4.534102931333879</v>
      </c>
      <c r="S432" t="n">
        <v>2.571230020847816</v>
      </c>
      <c r="T432" t="n">
        <v>0.1853138753764214</v>
      </c>
      <c r="U432" t="n">
        <v>0.100418410041841</v>
      </c>
      <c r="V432" t="n">
        <v>0.401673640167364</v>
      </c>
      <c r="W432" t="n">
        <v>0.2343096234309623</v>
      </c>
      <c r="X432" t="n">
        <v>0.3342797201772393</v>
      </c>
      <c r="Y432" t="n">
        <v>9.552112329677488</v>
      </c>
      <c r="Z432" t="n">
        <v>0.6443374999781806</v>
      </c>
      <c r="AA432" t="n">
        <v>0</v>
      </c>
    </row>
    <row r="433">
      <c r="A433" t="inlineStr">
        <is>
          <t>2023-12-06</t>
        </is>
      </c>
      <c r="B433" t="inlineStr">
        <is>
          <t>CW</t>
        </is>
      </c>
      <c r="C433" t="inlineStr">
        <is>
          <t>09:17</t>
        </is>
      </c>
      <c r="D433" t="n">
        <v>24.93431050027472</v>
      </c>
      <c r="E433" t="n">
        <v>0.265914187106908</v>
      </c>
      <c r="F433" t="n">
        <v>8.848448971593887</v>
      </c>
      <c r="G433" t="n">
        <v>0.3742177722152691</v>
      </c>
      <c r="H433" t="n">
        <v>0.6595744680851063</v>
      </c>
      <c r="I433" t="n">
        <v>0.5513714551371455</v>
      </c>
      <c r="J433" t="n">
        <v>0.5237911871475793</v>
      </c>
      <c r="K433" t="n">
        <v>0.6677157174036119</v>
      </c>
      <c r="L433" t="b">
        <v>0</v>
      </c>
      <c r="N433" t="n">
        <v>0</v>
      </c>
      <c r="O433" t="n">
        <v>0</v>
      </c>
      <c r="P433" t="n">
        <v>0</v>
      </c>
      <c r="Q433" t="n">
        <v>0</v>
      </c>
      <c r="R433" t="n">
        <v>6.3718284045143</v>
      </c>
      <c r="S433" t="n">
        <v>6.658047834518431</v>
      </c>
      <c r="T433" t="n">
        <v>0.2585649644473211</v>
      </c>
      <c r="U433" t="n">
        <v>0.2594142259414226</v>
      </c>
      <c r="V433" t="n">
        <v>0.7726638772663877</v>
      </c>
      <c r="W433" t="n">
        <v>0.6220362622036262</v>
      </c>
      <c r="X433" t="n">
        <v>0.265914187106908</v>
      </c>
      <c r="Y433" t="n">
        <v>8.848448971593887</v>
      </c>
      <c r="Z433" t="n">
        <v>0.5237911871475793</v>
      </c>
      <c r="AA433" t="n">
        <v>0</v>
      </c>
    </row>
    <row r="434">
      <c r="A434" t="inlineStr">
        <is>
          <t>2023-12-07</t>
        </is>
      </c>
      <c r="B434" t="inlineStr">
        <is>
          <t>NW</t>
        </is>
      </c>
      <c r="C434" t="inlineStr">
        <is>
          <t>NW</t>
        </is>
      </c>
      <c r="D434" t="n">
        <v>31.50177055787631</v>
      </c>
      <c r="E434" t="n">
        <v>0.3538037195524265</v>
      </c>
      <c r="F434" t="n">
        <v>10.1369181358093</v>
      </c>
      <c r="G434" t="n">
        <v>0.8285356695869838</v>
      </c>
      <c r="H434" t="n">
        <v>0.8035043804755945</v>
      </c>
      <c r="I434" t="n">
        <v>0.5</v>
      </c>
      <c r="J434" t="n">
        <v>0.7528160200250313</v>
      </c>
      <c r="K434" t="n">
        <v>0.6677157174036119</v>
      </c>
      <c r="L434" t="b">
        <v>1</v>
      </c>
      <c r="M434" t="inlineStr">
        <is>
          <t>top_quartile_risk</t>
        </is>
      </c>
      <c r="N434" t="n">
        <v>0</v>
      </c>
      <c r="O434" t="n">
        <v>0</v>
      </c>
      <c r="P434" t="n">
        <v>0</v>
      </c>
      <c r="Q434" t="n">
        <v>0</v>
      </c>
      <c r="U434" t="n">
        <v>0.5</v>
      </c>
      <c r="V434" t="n">
        <v>0.5</v>
      </c>
      <c r="W434" t="n">
        <v>0.5</v>
      </c>
      <c r="X434" t="n">
        <v>0.3538037195524265</v>
      </c>
      <c r="Y434" t="n">
        <v>10.1369181358093</v>
      </c>
      <c r="Z434" t="n">
        <v>0.7528160200250313</v>
      </c>
      <c r="AA434" t="n">
        <v>0</v>
      </c>
    </row>
    <row r="435">
      <c r="A435" t="inlineStr">
        <is>
          <t>2023-12-12</t>
        </is>
      </c>
      <c r="B435" t="inlineStr">
        <is>
          <t>CW</t>
        </is>
      </c>
      <c r="C435" t="inlineStr">
        <is>
          <t>09:17</t>
        </is>
      </c>
      <c r="D435" t="n">
        <v>-6.366300852132221</v>
      </c>
      <c r="E435" t="n">
        <v>0.2488365966762488</v>
      </c>
      <c r="F435" t="n">
        <v>5.997374627988154</v>
      </c>
      <c r="G435" t="n">
        <v>0.2578222778473092</v>
      </c>
      <c r="H435" t="n">
        <v>0.2665832290362954</v>
      </c>
      <c r="I435" t="n">
        <v>0.1469084146908415</v>
      </c>
      <c r="J435" t="n">
        <v>0.2391438856916101</v>
      </c>
      <c r="K435" t="n">
        <v>0.6677157174036119</v>
      </c>
      <c r="L435" t="b">
        <v>0</v>
      </c>
      <c r="N435" t="n">
        <v>0</v>
      </c>
      <c r="O435" t="n">
        <v>0</v>
      </c>
      <c r="P435" t="n">
        <v>1</v>
      </c>
      <c r="Q435" t="n">
        <v>6.366300852132221</v>
      </c>
      <c r="R435" t="n">
        <v>5.084222280296069</v>
      </c>
      <c r="S435" t="n">
        <v>1.716992303137955</v>
      </c>
      <c r="T435" t="n">
        <v>0.1480165778567283</v>
      </c>
      <c r="U435" t="n">
        <v>0.1380753138075314</v>
      </c>
      <c r="V435" t="n">
        <v>0.196652719665272</v>
      </c>
      <c r="W435" t="n">
        <v>0.1059972105997211</v>
      </c>
      <c r="X435" t="n">
        <v>0.2488365966762488</v>
      </c>
      <c r="Y435" t="n">
        <v>5.997374627988153</v>
      </c>
      <c r="Z435" t="n">
        <v>0.2391438856916101</v>
      </c>
      <c r="AA435" t="n">
        <v>0</v>
      </c>
    </row>
    <row r="436">
      <c r="A436" t="inlineStr">
        <is>
          <t>2023-12-18</t>
        </is>
      </c>
      <c r="B436" t="inlineStr">
        <is>
          <t>CW</t>
        </is>
      </c>
      <c r="C436" t="inlineStr">
        <is>
          <t>09:18</t>
        </is>
      </c>
      <c r="D436" t="n">
        <v>23.97636789762173</v>
      </c>
      <c r="E436" t="n">
        <v>0.3181497339983508</v>
      </c>
      <c r="F436" t="n">
        <v>6.2290223529227</v>
      </c>
      <c r="G436" t="n">
        <v>0.6595744680851063</v>
      </c>
      <c r="H436" t="n">
        <v>0.2978723404255319</v>
      </c>
      <c r="I436" t="n">
        <v>0.3128777312877731</v>
      </c>
      <c r="J436" t="n">
        <v>0.4455542696618099</v>
      </c>
      <c r="K436" t="n">
        <v>0.6677157174036119</v>
      </c>
      <c r="L436" t="b">
        <v>0</v>
      </c>
      <c r="N436" t="n">
        <v>6.366300852132554</v>
      </c>
      <c r="O436" t="n">
        <v>1</v>
      </c>
      <c r="P436" t="n">
        <v>0</v>
      </c>
      <c r="Q436" t="n">
        <v>0</v>
      </c>
      <c r="R436" t="n">
        <v>12.10314961731694</v>
      </c>
      <c r="S436" t="n">
        <v>1.381851681252892</v>
      </c>
      <c r="T436" t="n">
        <v>0.1842468908337132</v>
      </c>
      <c r="U436" t="n">
        <v>0.6052998605299861</v>
      </c>
      <c r="V436" t="n">
        <v>0.103207810320781</v>
      </c>
      <c r="W436" t="n">
        <v>0.2301255230125523</v>
      </c>
      <c r="X436" t="n">
        <v>0.3181497339983508</v>
      </c>
      <c r="Y436" t="n">
        <v>6.2290223529227</v>
      </c>
      <c r="Z436" t="n">
        <v>0.4455542696618099</v>
      </c>
      <c r="AA436" t="n">
        <v>5.551115123125783e-17</v>
      </c>
    </row>
    <row r="437">
      <c r="A437" t="inlineStr">
        <is>
          <t>2023-12-19</t>
        </is>
      </c>
      <c r="B437" t="inlineStr">
        <is>
          <t>CW</t>
        </is>
      </c>
      <c r="C437" t="inlineStr">
        <is>
          <t>09:18</t>
        </is>
      </c>
      <c r="D437" t="n">
        <v>27.99161139823465</v>
      </c>
      <c r="E437" t="n">
        <v>0.2845957331774782</v>
      </c>
      <c r="F437" t="n">
        <v>5.041119580268115</v>
      </c>
      <c r="G437" t="n">
        <v>0.4881101376720901</v>
      </c>
      <c r="H437" t="n">
        <v>0.1389236545682103</v>
      </c>
      <c r="I437" t="n">
        <v>0.3054393305439331</v>
      </c>
      <c r="J437" t="n">
        <v>0.3119013830049068</v>
      </c>
      <c r="K437" t="n">
        <v>0.6677157174036119</v>
      </c>
      <c r="L437" t="b">
        <v>0</v>
      </c>
      <c r="N437" t="n">
        <v>0</v>
      </c>
      <c r="O437" t="n">
        <v>0</v>
      </c>
      <c r="P437" t="n">
        <v>0</v>
      </c>
      <c r="Q437" t="n">
        <v>0</v>
      </c>
      <c r="R437" t="n">
        <v>5.461356236799145</v>
      </c>
      <c r="S437" t="n">
        <v>2.327447833065808</v>
      </c>
      <c r="T437" t="n">
        <v>0.2140181915462844</v>
      </c>
      <c r="U437" t="n">
        <v>0.1645746164574617</v>
      </c>
      <c r="V437" t="n">
        <v>0.3472803347280335</v>
      </c>
      <c r="W437" t="n">
        <v>0.404463040446304</v>
      </c>
      <c r="X437" t="n">
        <v>0.2845957331774782</v>
      </c>
      <c r="Y437" t="n">
        <v>5.041119580268115</v>
      </c>
      <c r="Z437" t="n">
        <v>0.3119013830049068</v>
      </c>
      <c r="AA437" t="n">
        <v>0</v>
      </c>
    </row>
    <row r="438">
      <c r="A438" t="inlineStr">
        <is>
          <t>2023-12-21</t>
        </is>
      </c>
      <c r="B438" t="inlineStr">
        <is>
          <t>NW</t>
        </is>
      </c>
      <c r="C438" t="inlineStr">
        <is>
          <t>NW</t>
        </is>
      </c>
      <c r="D438" t="n">
        <v>-14.01326346130782</v>
      </c>
      <c r="E438" t="n">
        <v>0.3694650567657363</v>
      </c>
      <c r="F438" t="n">
        <v>10.4795660824024</v>
      </c>
      <c r="G438" t="n">
        <v>0.8723404255319149</v>
      </c>
      <c r="H438" t="n">
        <v>0.8385481852315394</v>
      </c>
      <c r="I438" t="n">
        <v>0.5</v>
      </c>
      <c r="J438" t="n">
        <v>0.7843554443053818</v>
      </c>
      <c r="K438" t="n">
        <v>0.6677157174036119</v>
      </c>
      <c r="L438" t="b">
        <v>1</v>
      </c>
      <c r="M438" t="inlineStr">
        <is>
          <t>top_quartile_risk</t>
        </is>
      </c>
      <c r="N438" t="n">
        <v>0</v>
      </c>
      <c r="O438" t="n">
        <v>0</v>
      </c>
      <c r="P438" t="n">
        <v>1</v>
      </c>
      <c r="Q438" t="n">
        <v>14.01326346130782</v>
      </c>
      <c r="U438" t="n">
        <v>0.5</v>
      </c>
      <c r="V438" t="n">
        <v>0.5</v>
      </c>
      <c r="W438" t="n">
        <v>0.5</v>
      </c>
      <c r="X438" t="n">
        <v>0.3694650567657363</v>
      </c>
      <c r="Y438" t="n">
        <v>10.4795660824024</v>
      </c>
      <c r="Z438" t="n">
        <v>0.7843554443053818</v>
      </c>
      <c r="AA438" t="n">
        <v>0</v>
      </c>
    </row>
    <row r="439">
      <c r="A439" t="inlineStr">
        <is>
          <t>2023-12-28</t>
        </is>
      </c>
      <c r="B439" t="inlineStr">
        <is>
          <t>CW</t>
        </is>
      </c>
      <c r="C439" t="inlineStr">
        <is>
          <t>09:16</t>
        </is>
      </c>
      <c r="D439" t="n">
        <v>52.95890119733269</v>
      </c>
      <c r="E439" t="n">
        <v>0.2713949135480129</v>
      </c>
      <c r="F439" t="n">
        <v>9.012974918430537</v>
      </c>
      <c r="G439" t="n">
        <v>0.3979974968710889</v>
      </c>
      <c r="H439" t="n">
        <v>0.685857321652065</v>
      </c>
      <c r="I439" t="n">
        <v>0.8079962807996282</v>
      </c>
      <c r="J439" t="n">
        <v>0.5951411835691873</v>
      </c>
      <c r="K439" t="n">
        <v>0.6677157174036119</v>
      </c>
      <c r="L439" t="b">
        <v>0</v>
      </c>
      <c r="N439" t="n">
        <v>14.01326346130827</v>
      </c>
      <c r="O439" t="n">
        <v>1</v>
      </c>
      <c r="P439" t="n">
        <v>0</v>
      </c>
      <c r="Q439" t="n">
        <v>0</v>
      </c>
      <c r="R439" t="n">
        <v>17.21392210470182</v>
      </c>
      <c r="S439" t="n">
        <v>13.12949640287771</v>
      </c>
      <c r="T439" t="n">
        <v>0.3147482014388566</v>
      </c>
      <c r="U439" t="n">
        <v>0.7503486750348675</v>
      </c>
      <c r="V439" t="n">
        <v>0.9107391910739191</v>
      </c>
      <c r="W439" t="n">
        <v>0.7629009762900977</v>
      </c>
      <c r="X439" t="n">
        <v>0.2713949135480129</v>
      </c>
      <c r="Y439" t="n">
        <v>9.012974918430537</v>
      </c>
      <c r="Z439" t="n">
        <v>0.5951411835691873</v>
      </c>
      <c r="AA439" t="n">
        <v>0</v>
      </c>
    </row>
    <row r="440">
      <c r="A440" t="inlineStr">
        <is>
          <t>2023-12-29</t>
        </is>
      </c>
      <c r="B440" t="inlineStr">
        <is>
          <t>CW</t>
        </is>
      </c>
      <c r="C440" t="inlineStr">
        <is>
          <t>09:17</t>
        </is>
      </c>
      <c r="D440" t="n">
        <v>30.03622265890826</v>
      </c>
      <c r="E440" t="n">
        <v>0.2141038695790185</v>
      </c>
      <c r="F440" t="n">
        <v>5.762124632353475</v>
      </c>
      <c r="G440" t="n">
        <v>0.1289111389236546</v>
      </c>
      <c r="H440" t="n">
        <v>0.2352941176470588</v>
      </c>
      <c r="I440" t="n">
        <v>0.3440260344026034</v>
      </c>
      <c r="J440" t="n">
        <v>0.214487309508806</v>
      </c>
      <c r="K440" t="n">
        <v>0.6677157174036119</v>
      </c>
      <c r="L440" t="b">
        <v>0</v>
      </c>
      <c r="N440" t="n">
        <v>0</v>
      </c>
      <c r="O440" t="n">
        <v>0</v>
      </c>
      <c r="P440" t="n">
        <v>0</v>
      </c>
      <c r="Q440" t="n">
        <v>0</v>
      </c>
      <c r="R440" t="n">
        <v>7.904103010682362</v>
      </c>
      <c r="S440" t="n">
        <v>2.051610835069733</v>
      </c>
      <c r="T440" t="n">
        <v>0.2083667254367704</v>
      </c>
      <c r="U440" t="n">
        <v>0.3765690376569037</v>
      </c>
      <c r="V440" t="n">
        <v>0.2887029288702929</v>
      </c>
      <c r="W440" t="n">
        <v>0.3668061366806137</v>
      </c>
      <c r="X440" t="n">
        <v>0.2141038695790185</v>
      </c>
      <c r="Y440" t="n">
        <v>5.762124632353474</v>
      </c>
      <c r="Z440" t="n">
        <v>0.214487309508806</v>
      </c>
      <c r="AA440" t="n">
        <v>2.775557561562891e-17</v>
      </c>
    </row>
    <row r="441">
      <c r="A441" t="inlineStr">
        <is>
          <t>2024-01-02</t>
        </is>
      </c>
      <c r="B441" t="inlineStr">
        <is>
          <t>CW</t>
        </is>
      </c>
      <c r="C441" t="inlineStr">
        <is>
          <t>09:20+</t>
        </is>
      </c>
      <c r="D441" t="n">
        <v>34.2927786208829</v>
      </c>
      <c r="E441" t="n">
        <v>0.2753756935117146</v>
      </c>
      <c r="F441" t="n">
        <v>6.40341802536688</v>
      </c>
      <c r="G441" t="n">
        <v>0.4280350438047559</v>
      </c>
      <c r="H441" t="n">
        <v>0.3266583229036296</v>
      </c>
      <c r="I441" t="n">
        <v>0.5311483031148302</v>
      </c>
      <c r="J441" t="n">
        <v>0.4081070073063202</v>
      </c>
      <c r="K441" t="n">
        <v>0.6677157174036119</v>
      </c>
      <c r="L441" t="b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14.16096294547962</v>
      </c>
      <c r="S441" t="n">
        <v>4.747283892300431</v>
      </c>
      <c r="T441" t="n">
        <v>0.1889466225791241</v>
      </c>
      <c r="U441" t="n">
        <v>0.6806136680613668</v>
      </c>
      <c r="V441" t="n">
        <v>0.6666666666666666</v>
      </c>
      <c r="W441" t="n">
        <v>0.2461645746164575</v>
      </c>
      <c r="X441" t="n">
        <v>0.2753756935117146</v>
      </c>
      <c r="Y441" t="n">
        <v>6.403418025366879</v>
      </c>
      <c r="Z441" t="n">
        <v>0.4081070073063202</v>
      </c>
      <c r="AA441" t="n">
        <v>0</v>
      </c>
    </row>
    <row r="442">
      <c r="A442" t="inlineStr">
        <is>
          <t>2024-01-03</t>
        </is>
      </c>
      <c r="B442" t="inlineStr">
        <is>
          <t>CW</t>
        </is>
      </c>
      <c r="C442" t="inlineStr">
        <is>
          <t>09:17</t>
        </is>
      </c>
      <c r="D442" t="n">
        <v>23.56618306580929</v>
      </c>
      <c r="E442" t="n">
        <v>0.3010297496184456</v>
      </c>
      <c r="F442" t="n">
        <v>7.828437680536103</v>
      </c>
      <c r="G442" t="n">
        <v>0.5732165206508135</v>
      </c>
      <c r="H442" t="n">
        <v>0.5219023779724656</v>
      </c>
      <c r="I442" t="n">
        <v>0.2198977219897722</v>
      </c>
      <c r="J442" t="n">
        <v>0.4820271038472662</v>
      </c>
      <c r="K442" t="n">
        <v>0.6677157174036119</v>
      </c>
      <c r="L442" t="b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2.105117053761114</v>
      </c>
      <c r="S442" t="n">
        <v>2.692778457772324</v>
      </c>
      <c r="T442" t="n">
        <v>0.1835985312117485</v>
      </c>
      <c r="U442" t="n">
        <v>0.00697350069735007</v>
      </c>
      <c r="V442" t="n">
        <v>0.4239888423988842</v>
      </c>
      <c r="W442" t="n">
        <v>0.2287308228730823</v>
      </c>
      <c r="X442" t="n">
        <v>0.3010297496184456</v>
      </c>
      <c r="Y442" t="n">
        <v>7.828437680536103</v>
      </c>
      <c r="Z442" t="n">
        <v>0.4820271038472662</v>
      </c>
      <c r="AA442" t="n">
        <v>-5.551115123125783e-17</v>
      </c>
    </row>
    <row r="443">
      <c r="A443" t="inlineStr">
        <is>
          <t>2024-01-04</t>
        </is>
      </c>
      <c r="B443" t="inlineStr">
        <is>
          <t>NW</t>
        </is>
      </c>
      <c r="C443" t="inlineStr">
        <is>
          <t>NW</t>
        </is>
      </c>
      <c r="D443" t="n">
        <v>40.60307349951891</v>
      </c>
      <c r="E443" t="n">
        <v>0.3282282952928454</v>
      </c>
      <c r="F443" t="n">
        <v>9.445040064283925</v>
      </c>
      <c r="G443" t="n">
        <v>0.7259073842302879</v>
      </c>
      <c r="H443" t="n">
        <v>0.7221526908635795</v>
      </c>
      <c r="I443" t="n">
        <v>0.5</v>
      </c>
      <c r="J443" t="n">
        <v>0.6792240300375469</v>
      </c>
      <c r="K443" t="n">
        <v>0.6677157174036119</v>
      </c>
      <c r="L443" t="b">
        <v>1</v>
      </c>
      <c r="M443" t="inlineStr">
        <is>
          <t>top_quartile_risk</t>
        </is>
      </c>
      <c r="N443" t="n">
        <v>0</v>
      </c>
      <c r="O443" t="n">
        <v>0</v>
      </c>
      <c r="P443" t="n">
        <v>0</v>
      </c>
      <c r="Q443" t="n">
        <v>0</v>
      </c>
      <c r="U443" t="n">
        <v>0.5</v>
      </c>
      <c r="V443" t="n">
        <v>0.5</v>
      </c>
      <c r="W443" t="n">
        <v>0.5</v>
      </c>
      <c r="X443" t="n">
        <v>0.3282282952928453</v>
      </c>
      <c r="Y443" t="n">
        <v>9.445040064283925</v>
      </c>
      <c r="Z443" t="n">
        <v>0.6792240300375469</v>
      </c>
      <c r="AA443" t="n">
        <v>0</v>
      </c>
    </row>
    <row r="444">
      <c r="A444" t="inlineStr">
        <is>
          <t>2024-01-08</t>
        </is>
      </c>
      <c r="B444" t="inlineStr">
        <is>
          <t>CW</t>
        </is>
      </c>
      <c r="C444" t="inlineStr">
        <is>
          <t>09:18</t>
        </is>
      </c>
      <c r="D444" t="n">
        <v>-37.27554297647863</v>
      </c>
      <c r="E444" t="n">
        <v>0.3244446439147908</v>
      </c>
      <c r="F444" t="n">
        <v>5.716677057042579</v>
      </c>
      <c r="G444" t="n">
        <v>0.7021276595744681</v>
      </c>
      <c r="H444" t="n">
        <v>0.2290362953692115</v>
      </c>
      <c r="I444" t="n">
        <v>0.1752673175267317</v>
      </c>
      <c r="J444" t="n">
        <v>0.4075190454828182</v>
      </c>
      <c r="K444" t="n">
        <v>0.6677157174036119</v>
      </c>
      <c r="L444" t="b">
        <v>0</v>
      </c>
      <c r="N444" t="n">
        <v>0</v>
      </c>
      <c r="O444" t="n">
        <v>0</v>
      </c>
      <c r="P444" t="n">
        <v>1</v>
      </c>
      <c r="Q444" t="n">
        <v>37.27554297647863</v>
      </c>
      <c r="R444" t="n">
        <v>3.336585545451199</v>
      </c>
      <c r="S444" t="n">
        <v>1.013847675568736</v>
      </c>
      <c r="T444" t="n">
        <v>0.2225519287833842</v>
      </c>
      <c r="U444" t="n">
        <v>0.03765690376569038</v>
      </c>
      <c r="V444" t="n">
        <v>0.02928870292887029</v>
      </c>
      <c r="W444" t="n">
        <v>0.4588563458856346</v>
      </c>
      <c r="X444" t="n">
        <v>0.3244446439147907</v>
      </c>
      <c r="Y444" t="n">
        <v>5.716677057042579</v>
      </c>
      <c r="Z444" t="n">
        <v>0.4075190454828182</v>
      </c>
      <c r="AA444" t="n">
        <v>0</v>
      </c>
    </row>
    <row r="445">
      <c r="A445" t="inlineStr">
        <is>
          <t>2024-01-10</t>
        </is>
      </c>
      <c r="B445" t="inlineStr">
        <is>
          <t>CW</t>
        </is>
      </c>
      <c r="C445" t="inlineStr">
        <is>
          <t>09:18</t>
        </is>
      </c>
      <c r="D445" t="n">
        <v>-0.6238973040402833</v>
      </c>
      <c r="E445" t="n">
        <v>0.3143752394063031</v>
      </c>
      <c r="F445" t="n">
        <v>6.520391256054844</v>
      </c>
      <c r="G445" t="n">
        <v>0.639549436795995</v>
      </c>
      <c r="H445" t="n">
        <v>0.3466833541927409</v>
      </c>
      <c r="I445" t="n">
        <v>0.1352859135285913</v>
      </c>
      <c r="J445" t="n">
        <v>0.4215502991012127</v>
      </c>
      <c r="K445" t="n">
        <v>0.6677157174036119</v>
      </c>
      <c r="L445" t="b">
        <v>0</v>
      </c>
      <c r="N445" t="n">
        <v>37.27554297647839</v>
      </c>
      <c r="O445" t="n">
        <v>1</v>
      </c>
      <c r="P445" t="n">
        <v>1</v>
      </c>
      <c r="Q445" t="n">
        <v>0.6238973040402833</v>
      </c>
      <c r="R445" t="n">
        <v>2.85443760617183</v>
      </c>
      <c r="S445" t="n">
        <v>1.515151515151519</v>
      </c>
      <c r="T445" t="n">
        <v>0.1893939393939376</v>
      </c>
      <c r="U445" t="n">
        <v>0.02092050209205021</v>
      </c>
      <c r="V445" t="n">
        <v>0.1352859135285913</v>
      </c>
      <c r="W445" t="n">
        <v>0.2496513249651325</v>
      </c>
      <c r="X445" t="n">
        <v>0.3143752394063031</v>
      </c>
      <c r="Y445" t="n">
        <v>6.520391256054843</v>
      </c>
      <c r="Z445" t="n">
        <v>0.4215502991012127</v>
      </c>
      <c r="AA445" t="n">
        <v>-5.551115123125783e-17</v>
      </c>
    </row>
    <row r="446">
      <c r="A446" t="inlineStr">
        <is>
          <t>2024-01-11</t>
        </is>
      </c>
      <c r="B446" t="inlineStr">
        <is>
          <t>NW</t>
        </is>
      </c>
      <c r="C446" t="inlineStr">
        <is>
          <t>NW</t>
        </is>
      </c>
      <c r="D446" t="n">
        <v>-3.572659844189832</v>
      </c>
      <c r="E446" t="n">
        <v>0.3255747818288681</v>
      </c>
      <c r="F446" t="n">
        <v>8.912844771016639</v>
      </c>
      <c r="G446" t="n">
        <v>0.7058823529411765</v>
      </c>
      <c r="H446" t="n">
        <v>0.6670838548185232</v>
      </c>
      <c r="I446" t="n">
        <v>0.5</v>
      </c>
      <c r="J446" t="n">
        <v>0.6491864831038799</v>
      </c>
      <c r="K446" t="n">
        <v>0.6677157174036119</v>
      </c>
      <c r="L446" t="b">
        <v>0</v>
      </c>
      <c r="N446" t="n">
        <v>37.89944028051832</v>
      </c>
      <c r="O446" t="n">
        <v>2</v>
      </c>
      <c r="P446" t="n">
        <v>1</v>
      </c>
      <c r="Q446" t="n">
        <v>3.572659844189832</v>
      </c>
      <c r="U446" t="n">
        <v>0.5</v>
      </c>
      <c r="V446" t="n">
        <v>0.5</v>
      </c>
      <c r="W446" t="n">
        <v>0.5</v>
      </c>
      <c r="X446" t="n">
        <v>0.3255747818288681</v>
      </c>
      <c r="Y446" t="n">
        <v>8.912844771016639</v>
      </c>
      <c r="Z446" t="n">
        <v>0.6491864831038799</v>
      </c>
      <c r="AA446" t="n">
        <v>0</v>
      </c>
    </row>
    <row r="447">
      <c r="A447" t="inlineStr">
        <is>
          <t>2024-01-15</t>
        </is>
      </c>
      <c r="B447" t="inlineStr">
        <is>
          <t>CW</t>
        </is>
      </c>
      <c r="C447" t="inlineStr">
        <is>
          <t>09:17</t>
        </is>
      </c>
      <c r="D447" t="n">
        <v>13.34292478267333</v>
      </c>
      <c r="E447" t="n">
        <v>0.3043594649314212</v>
      </c>
      <c r="F447" t="n">
        <v>9.46351310497262</v>
      </c>
      <c r="G447" t="n">
        <v>0.5882352941176471</v>
      </c>
      <c r="H447" t="n">
        <v>0.7259073842302879</v>
      </c>
      <c r="I447" t="n">
        <v>0.1887494188749419</v>
      </c>
      <c r="J447" t="n">
        <v>0.5634069551141624</v>
      </c>
      <c r="K447" t="n">
        <v>0.6677157174036119</v>
      </c>
      <c r="L447" t="b">
        <v>0</v>
      </c>
      <c r="N447" t="n">
        <v>41.47210012470805</v>
      </c>
      <c r="O447" t="n">
        <v>3</v>
      </c>
      <c r="P447" t="n">
        <v>0</v>
      </c>
      <c r="Q447" t="n">
        <v>0</v>
      </c>
      <c r="R447" t="n">
        <v>4.424698439783258</v>
      </c>
      <c r="S447" t="n">
        <v>1.479654747225656</v>
      </c>
      <c r="T447" t="n">
        <v>0.2055076037813399</v>
      </c>
      <c r="U447" t="n">
        <v>0.09344490934449093</v>
      </c>
      <c r="V447" t="n">
        <v>0.1311018131101813</v>
      </c>
      <c r="W447" t="n">
        <v>0.3417015341701534</v>
      </c>
      <c r="X447" t="n">
        <v>0.3043594649314211</v>
      </c>
      <c r="Y447" t="n">
        <v>9.463513104972618</v>
      </c>
      <c r="Z447" t="n">
        <v>0.5634069551141624</v>
      </c>
      <c r="AA447" t="n">
        <v>0</v>
      </c>
    </row>
    <row r="448">
      <c r="A448" t="inlineStr">
        <is>
          <t>2024-01-16</t>
        </is>
      </c>
      <c r="B448" t="inlineStr">
        <is>
          <t>CW</t>
        </is>
      </c>
      <c r="C448" t="inlineStr">
        <is>
          <t>09:17</t>
        </is>
      </c>
      <c r="D448" t="n">
        <v>10.72154002070835</v>
      </c>
      <c r="E448" t="n">
        <v>0.232470658390474</v>
      </c>
      <c r="F448" t="n">
        <v>3.742876215385196</v>
      </c>
      <c r="G448" t="n">
        <v>0.1889862327909887</v>
      </c>
      <c r="H448" t="n">
        <v>0.04005006257822278</v>
      </c>
      <c r="I448" t="n">
        <v>0.2417480241748024</v>
      </c>
      <c r="J448" t="n">
        <v>0.1399641229826451</v>
      </c>
      <c r="K448" t="n">
        <v>0.6677157174036119</v>
      </c>
      <c r="L448" t="b">
        <v>0</v>
      </c>
      <c r="N448" t="n">
        <v>28.12917534203461</v>
      </c>
      <c r="O448" t="n">
        <v>0</v>
      </c>
      <c r="P448" t="n">
        <v>0</v>
      </c>
      <c r="Q448" t="n">
        <v>0</v>
      </c>
      <c r="R448" t="n">
        <v>3.173538132329122</v>
      </c>
      <c r="S448" t="n">
        <v>1.94647201946472</v>
      </c>
      <c r="T448" t="n">
        <v>0.2189781021897824</v>
      </c>
      <c r="U448" t="n">
        <v>0.03347280334728033</v>
      </c>
      <c r="V448" t="n">
        <v>0.2594142259414226</v>
      </c>
      <c r="W448" t="n">
        <v>0.4323570432357043</v>
      </c>
      <c r="X448" t="n">
        <v>0.232470658390474</v>
      </c>
      <c r="Y448" t="n">
        <v>3.742876215385197</v>
      </c>
      <c r="Z448" t="n">
        <v>0.1399641229826451</v>
      </c>
      <c r="AA448" t="n">
        <v>0</v>
      </c>
    </row>
    <row r="449">
      <c r="A449" t="inlineStr">
        <is>
          <t>2024-01-17</t>
        </is>
      </c>
      <c r="B449" t="inlineStr">
        <is>
          <t>CW</t>
        </is>
      </c>
      <c r="C449" t="inlineStr">
        <is>
          <t>09:16</t>
        </is>
      </c>
      <c r="D449" t="n">
        <v>55.02528327302542</v>
      </c>
      <c r="E449" t="n">
        <v>0.1301610654523338</v>
      </c>
      <c r="F449" t="n">
        <v>1.884611438419667</v>
      </c>
      <c r="G449" t="n">
        <v>0.007509386733416771</v>
      </c>
      <c r="H449" t="n">
        <v>0.007509386733416771</v>
      </c>
      <c r="I449" t="n">
        <v>0.9256159925615992</v>
      </c>
      <c r="J449" t="n">
        <v>0.1911307078990533</v>
      </c>
      <c r="K449" t="n">
        <v>0.6677157174036119</v>
      </c>
      <c r="L449" t="b">
        <v>0</v>
      </c>
      <c r="N449" t="n">
        <v>17.40763532132587</v>
      </c>
      <c r="O449" t="n">
        <v>0</v>
      </c>
      <c r="P449" t="n">
        <v>0</v>
      </c>
      <c r="Q449" t="n">
        <v>0</v>
      </c>
      <c r="R449" t="n">
        <v>59.29161045434864</v>
      </c>
      <c r="S449" t="n">
        <v>21.87142530313428</v>
      </c>
      <c r="T449" t="n">
        <v>0.3431708991077556</v>
      </c>
      <c r="U449" t="n">
        <v>0.9888423988842399</v>
      </c>
      <c r="V449" t="n">
        <v>0.9679218967921897</v>
      </c>
      <c r="W449" t="n">
        <v>0.8200836820083682</v>
      </c>
      <c r="X449" t="n">
        <v>0.1301610654523338</v>
      </c>
      <c r="Y449" t="n">
        <v>1.884611438419665</v>
      </c>
      <c r="Z449" t="n">
        <v>0.1911307078990533</v>
      </c>
      <c r="AA449" t="n">
        <v>-2.775557561562891e-17</v>
      </c>
    </row>
    <row r="450">
      <c r="A450" t="inlineStr">
        <is>
          <t>2024-01-18</t>
        </is>
      </c>
      <c r="B450" t="inlineStr">
        <is>
          <t>NW</t>
        </is>
      </c>
      <c r="C450" t="inlineStr">
        <is>
          <t>NW</t>
        </is>
      </c>
      <c r="D450" t="n">
        <v>49.01461171340635</v>
      </c>
      <c r="E450" t="n">
        <v>0.4007059890798621</v>
      </c>
      <c r="F450" t="n">
        <v>12.601360796961</v>
      </c>
      <c r="G450" t="n">
        <v>0.9461827284105131</v>
      </c>
      <c r="H450" t="n">
        <v>0.9436795994993742</v>
      </c>
      <c r="I450" t="n">
        <v>0.5</v>
      </c>
      <c r="J450" t="n">
        <v>0.855944931163955</v>
      </c>
      <c r="K450" t="n">
        <v>0.6677157174036119</v>
      </c>
      <c r="L450" t="b">
        <v>1</v>
      </c>
      <c r="M450" t="inlineStr">
        <is>
          <t>top_quartile_risk</t>
        </is>
      </c>
      <c r="N450" t="n">
        <v>0</v>
      </c>
      <c r="O450" t="n">
        <v>0</v>
      </c>
      <c r="P450" t="n">
        <v>0</v>
      </c>
      <c r="Q450" t="n">
        <v>0</v>
      </c>
      <c r="U450" t="n">
        <v>0.5</v>
      </c>
      <c r="V450" t="n">
        <v>0.5</v>
      </c>
      <c r="W450" t="n">
        <v>0.5</v>
      </c>
      <c r="X450" t="n">
        <v>0.4007059890798621</v>
      </c>
      <c r="Y450" t="n">
        <v>12.601360796961</v>
      </c>
      <c r="Z450" t="n">
        <v>0.855944931163955</v>
      </c>
      <c r="AA450" t="n">
        <v>0</v>
      </c>
    </row>
    <row r="451">
      <c r="A451" t="inlineStr">
        <is>
          <t>2024-01-23</t>
        </is>
      </c>
      <c r="B451" t="inlineStr">
        <is>
          <t>CW</t>
        </is>
      </c>
      <c r="C451" t="inlineStr">
        <is>
          <t>09:20+</t>
        </is>
      </c>
      <c r="D451" t="n">
        <v>17.25643587117835</v>
      </c>
      <c r="E451" t="n">
        <v>0.3680889266871132</v>
      </c>
      <c r="F451" t="n">
        <v>12.99859831865283</v>
      </c>
      <c r="G451" t="n">
        <v>0.8648310387984981</v>
      </c>
      <c r="H451" t="n">
        <v>0.951188986232791</v>
      </c>
      <c r="I451" t="n">
        <v>0.4523477452347744</v>
      </c>
      <c r="J451" t="n">
        <v>0.8168775590594706</v>
      </c>
      <c r="K451" t="n">
        <v>0.6677157174036119</v>
      </c>
      <c r="L451" t="b">
        <v>1</v>
      </c>
      <c r="M451" t="inlineStr">
        <is>
          <t>top_quartile_risk</t>
        </is>
      </c>
      <c r="N451" t="n">
        <v>0</v>
      </c>
      <c r="O451" t="n">
        <v>0</v>
      </c>
      <c r="P451" t="n">
        <v>0</v>
      </c>
      <c r="Q451" t="n">
        <v>0</v>
      </c>
      <c r="R451" t="n">
        <v>12.78694656131588</v>
      </c>
      <c r="S451" t="n">
        <v>3.782461422657137</v>
      </c>
      <c r="T451" t="n">
        <v>0.1693639442980762</v>
      </c>
      <c r="U451" t="n">
        <v>0.6276150627615062</v>
      </c>
      <c r="V451" t="n">
        <v>0.5676429567642957</v>
      </c>
      <c r="W451" t="n">
        <v>0.1617852161785216</v>
      </c>
      <c r="X451" t="n">
        <v>0.3680889266871132</v>
      </c>
      <c r="Y451" t="n">
        <v>12.99859831865283</v>
      </c>
      <c r="Z451" t="n">
        <v>0.8168775590594706</v>
      </c>
      <c r="AA451" t="n">
        <v>0</v>
      </c>
    </row>
    <row r="452">
      <c r="A452" t="inlineStr">
        <is>
          <t>2024-01-24</t>
        </is>
      </c>
      <c r="B452" t="inlineStr">
        <is>
          <t>NW</t>
        </is>
      </c>
      <c r="C452" t="inlineStr">
        <is>
          <t>NW</t>
        </is>
      </c>
      <c r="D452" t="n">
        <v>-37.1829439068722</v>
      </c>
      <c r="E452" t="n">
        <v>0.3995678928829933</v>
      </c>
      <c r="F452" t="n">
        <v>13.08039673495512</v>
      </c>
      <c r="G452" t="n">
        <v>0.9399249061326659</v>
      </c>
      <c r="H452" t="n">
        <v>0.9549436795994993</v>
      </c>
      <c r="I452" t="n">
        <v>0.5</v>
      </c>
      <c r="J452" t="n">
        <v>0.857947434292866</v>
      </c>
      <c r="K452" t="n">
        <v>0.6677157174036119</v>
      </c>
      <c r="L452" t="b">
        <v>1</v>
      </c>
      <c r="M452" t="inlineStr">
        <is>
          <t>top_quartile_risk</t>
        </is>
      </c>
      <c r="N452" t="n">
        <v>0</v>
      </c>
      <c r="O452" t="n">
        <v>0</v>
      </c>
      <c r="P452" t="n">
        <v>1</v>
      </c>
      <c r="Q452" t="n">
        <v>37.1829439068722</v>
      </c>
      <c r="U452" t="n">
        <v>0.5</v>
      </c>
      <c r="V452" t="n">
        <v>0.5</v>
      </c>
      <c r="W452" t="n">
        <v>0.5</v>
      </c>
      <c r="X452" t="n">
        <v>0.3995678928829933</v>
      </c>
      <c r="Y452" t="n">
        <v>13.08039673495511</v>
      </c>
      <c r="Z452" t="n">
        <v>0.857947434292866</v>
      </c>
      <c r="AA452" t="n">
        <v>0</v>
      </c>
    </row>
    <row r="453">
      <c r="A453" t="inlineStr">
        <is>
          <t>2024-01-25</t>
        </is>
      </c>
      <c r="B453" t="inlineStr">
        <is>
          <t>CW</t>
        </is>
      </c>
      <c r="C453" t="inlineStr">
        <is>
          <t>09:18</t>
        </is>
      </c>
      <c r="D453" t="n">
        <v>14.11888397380325</v>
      </c>
      <c r="E453" t="n">
        <v>0.3158510970555226</v>
      </c>
      <c r="F453" t="n">
        <v>7.457948496754115</v>
      </c>
      <c r="G453" t="n">
        <v>0.6445556946182729</v>
      </c>
      <c r="H453" t="n">
        <v>0.4755944931163955</v>
      </c>
      <c r="I453" t="n">
        <v>0.5169688516968852</v>
      </c>
      <c r="J453" t="n">
        <v>0.5514538454332444</v>
      </c>
      <c r="K453" t="n">
        <v>0.6677157174036119</v>
      </c>
      <c r="L453" t="b">
        <v>0</v>
      </c>
      <c r="N453" t="n">
        <v>37.18294390687242</v>
      </c>
      <c r="O453" t="n">
        <v>1</v>
      </c>
      <c r="P453" t="n">
        <v>0</v>
      </c>
      <c r="Q453" t="n">
        <v>0</v>
      </c>
      <c r="R453" t="n">
        <v>7.234893658730702</v>
      </c>
      <c r="S453" t="n">
        <v>3.374777975133215</v>
      </c>
      <c r="T453" t="n">
        <v>0.2841918294849013</v>
      </c>
      <c r="U453" t="n">
        <v>0.3305439330543933</v>
      </c>
      <c r="V453" t="n">
        <v>0.5132496513249651</v>
      </c>
      <c r="W453" t="n">
        <v>0.7071129707112971</v>
      </c>
      <c r="X453" t="n">
        <v>0.3158510970555226</v>
      </c>
      <c r="Y453" t="n">
        <v>7.457948496754113</v>
      </c>
      <c r="Z453" t="n">
        <v>0.5514538454332444</v>
      </c>
      <c r="AA453" t="n">
        <v>0</v>
      </c>
    </row>
    <row r="454">
      <c r="A454" t="inlineStr">
        <is>
          <t>2024-01-29</t>
        </is>
      </c>
      <c r="B454" t="inlineStr">
        <is>
          <t>CW</t>
        </is>
      </c>
      <c r="C454" t="inlineStr">
        <is>
          <t>09:17</t>
        </is>
      </c>
      <c r="D454" t="n">
        <v>-37.49746405199667</v>
      </c>
      <c r="E454" t="n">
        <v>0.3628195285969089</v>
      </c>
      <c r="F454" t="n">
        <v>10.97526486567355</v>
      </c>
      <c r="G454" t="n">
        <v>0.8523153942428036</v>
      </c>
      <c r="H454" t="n">
        <v>0.8785982478097623</v>
      </c>
      <c r="I454" t="n">
        <v>0.194793119479312</v>
      </c>
      <c r="J454" t="n">
        <v>0.7313240807168887</v>
      </c>
      <c r="K454" t="n">
        <v>0.6677157174036119</v>
      </c>
      <c r="L454" t="b">
        <v>1</v>
      </c>
      <c r="M454" t="inlineStr">
        <is>
          <t>top_quartile_risk</t>
        </is>
      </c>
      <c r="N454" t="n">
        <v>23.06405993306907</v>
      </c>
      <c r="O454" t="n">
        <v>0</v>
      </c>
      <c r="P454" t="n">
        <v>1</v>
      </c>
      <c r="Q454" t="n">
        <v>37.49746405199667</v>
      </c>
      <c r="R454" t="n">
        <v>6.545383647682973</v>
      </c>
      <c r="S454" t="n">
        <v>1.931690929451297</v>
      </c>
      <c r="T454" t="n">
        <v>0.1259798432250887</v>
      </c>
      <c r="U454" t="n">
        <v>0.2761506276150628</v>
      </c>
      <c r="V454" t="n">
        <v>0.2552301255230126</v>
      </c>
      <c r="W454" t="n">
        <v>0.05299860529986053</v>
      </c>
      <c r="X454" t="n">
        <v>0.3628195285969088</v>
      </c>
      <c r="Y454" t="n">
        <v>10.97526486567355</v>
      </c>
      <c r="Z454" t="n">
        <v>0.7313240807168887</v>
      </c>
      <c r="AA454" t="n">
        <v>0</v>
      </c>
    </row>
    <row r="455">
      <c r="A455" t="inlineStr">
        <is>
          <t>2024-01-30</t>
        </is>
      </c>
      <c r="B455" t="inlineStr">
        <is>
          <t>CW</t>
        </is>
      </c>
      <c r="C455" t="inlineStr">
        <is>
          <t>09:18</t>
        </is>
      </c>
      <c r="D455" t="n">
        <v>21.50014782741137</v>
      </c>
      <c r="E455" t="n">
        <v>0.3329387747361611</v>
      </c>
      <c r="F455" t="n">
        <v>8.520119502505343</v>
      </c>
      <c r="G455" t="n">
        <v>0.7496871088861077</v>
      </c>
      <c r="H455" t="n">
        <v>0.6082603254067585</v>
      </c>
      <c r="I455" t="n">
        <v>0.3128777312877731</v>
      </c>
      <c r="J455" t="n">
        <v>0.6057545199747012</v>
      </c>
      <c r="K455" t="n">
        <v>0.6677157174036119</v>
      </c>
      <c r="L455" t="b">
        <v>0</v>
      </c>
      <c r="N455" t="n">
        <v>60.56152398506583</v>
      </c>
      <c r="O455" t="n">
        <v>1</v>
      </c>
      <c r="P455" t="n">
        <v>0</v>
      </c>
      <c r="Q455" t="n">
        <v>0</v>
      </c>
      <c r="R455" t="n">
        <v>5.793557015011871</v>
      </c>
      <c r="S455" t="n">
        <v>1.789381050161344</v>
      </c>
      <c r="T455" t="n">
        <v>0.2346729246113179</v>
      </c>
      <c r="U455" t="n">
        <v>0.2064156206415621</v>
      </c>
      <c r="V455" t="n">
        <v>0.2119944211994421</v>
      </c>
      <c r="W455" t="n">
        <v>0.5202231520223152</v>
      </c>
      <c r="X455" t="n">
        <v>0.3329387747361611</v>
      </c>
      <c r="Y455" t="n">
        <v>8.520119502505347</v>
      </c>
      <c r="Z455" t="n">
        <v>0.6057545199747012</v>
      </c>
      <c r="AA455" t="n">
        <v>0</v>
      </c>
    </row>
    <row r="456">
      <c r="A456" t="inlineStr">
        <is>
          <t>2024-01-31</t>
        </is>
      </c>
      <c r="B456" t="inlineStr">
        <is>
          <t>CW</t>
        </is>
      </c>
      <c r="C456" t="inlineStr">
        <is>
          <t>09:16</t>
        </is>
      </c>
      <c r="D456" t="n">
        <v>23.99714385983827</v>
      </c>
      <c r="E456" t="n">
        <v>0.3101700358644467</v>
      </c>
      <c r="F456" t="n">
        <v>10.44131480198744</v>
      </c>
      <c r="G456" t="n">
        <v>0.6182728410513142</v>
      </c>
      <c r="H456" t="n">
        <v>0.8335419274092616</v>
      </c>
      <c r="I456" t="n">
        <v>0.7866108786610879</v>
      </c>
      <c r="J456" t="n">
        <v>0.738048083116448</v>
      </c>
      <c r="K456" t="n">
        <v>0.6677157174036119</v>
      </c>
      <c r="L456" t="b">
        <v>1</v>
      </c>
      <c r="M456" t="inlineStr">
        <is>
          <t>top_quartile_risk</t>
        </is>
      </c>
      <c r="N456" t="n">
        <v>39.06137615765419</v>
      </c>
      <c r="O456" t="n">
        <v>0</v>
      </c>
      <c r="P456" t="n">
        <v>0</v>
      </c>
      <c r="Q456" t="n">
        <v>0</v>
      </c>
      <c r="R456" t="n">
        <v>25.52912482532909</v>
      </c>
      <c r="S456" t="n">
        <v>5.103058510638286</v>
      </c>
      <c r="T456" t="n">
        <v>0.3324468085106383</v>
      </c>
      <c r="U456" t="n">
        <v>0.8633193863319386</v>
      </c>
      <c r="V456" t="n">
        <v>0.694560669456067</v>
      </c>
      <c r="W456" t="n">
        <v>0.8019525801952581</v>
      </c>
      <c r="X456" t="n">
        <v>0.3101700358644467</v>
      </c>
      <c r="Y456" t="n">
        <v>10.44131480198744</v>
      </c>
      <c r="Z456" t="n">
        <v>0.738048083116448</v>
      </c>
      <c r="AA456" t="n">
        <v>0</v>
      </c>
    </row>
    <row r="457">
      <c r="A457" t="inlineStr">
        <is>
          <t>2024-02-01</t>
        </is>
      </c>
      <c r="B457" t="inlineStr">
        <is>
          <t>CW</t>
        </is>
      </c>
      <c r="C457" t="inlineStr">
        <is>
          <t>09:18</t>
        </is>
      </c>
      <c r="D457" t="n">
        <v>33.16043738141386</v>
      </c>
      <c r="E457" t="n">
        <v>0.499726774034472</v>
      </c>
      <c r="F457" t="n">
        <v>14.0662991281078</v>
      </c>
      <c r="G457" t="n">
        <v>0.9937421777221527</v>
      </c>
      <c r="H457" t="n">
        <v>0.9737171464330413</v>
      </c>
      <c r="I457" t="n">
        <v>0.403068340306834</v>
      </c>
      <c r="J457" t="n">
        <v>0.8675973977234445</v>
      </c>
      <c r="K457" t="n">
        <v>0.6677157174036119</v>
      </c>
      <c r="L457" t="b">
        <v>1</v>
      </c>
      <c r="M457" t="inlineStr">
        <is>
          <t>top_quartile_risk</t>
        </is>
      </c>
      <c r="N457" t="n">
        <v>15.06423229781558</v>
      </c>
      <c r="O457" t="n">
        <v>0</v>
      </c>
      <c r="P457" t="n">
        <v>0</v>
      </c>
      <c r="Q457" t="n">
        <v>0</v>
      </c>
      <c r="R457" t="n">
        <v>7.38773405998363</v>
      </c>
      <c r="S457" t="n">
        <v>2.741903437313721</v>
      </c>
      <c r="T457" t="n">
        <v>0.2185575203655916</v>
      </c>
      <c r="U457" t="n">
        <v>0.3486750348675035</v>
      </c>
      <c r="V457" t="n">
        <v>0.4323570432357043</v>
      </c>
      <c r="W457" t="n">
        <v>0.4281729428172943</v>
      </c>
      <c r="X457" t="n">
        <v>0.499726774034472</v>
      </c>
      <c r="Y457" t="n">
        <v>14.0662991281078</v>
      </c>
      <c r="Z457" t="n">
        <v>0.8675973977234445</v>
      </c>
      <c r="AA457" t="n">
        <v>0</v>
      </c>
    </row>
    <row r="458">
      <c r="A458" t="inlineStr">
        <is>
          <t>2024-02-05</t>
        </is>
      </c>
      <c r="B458" t="inlineStr">
        <is>
          <t>CW</t>
        </is>
      </c>
      <c r="C458" t="inlineStr">
        <is>
          <t>09:18</t>
        </is>
      </c>
      <c r="D458" t="n">
        <v>-8.605232879581354</v>
      </c>
      <c r="E458" t="n">
        <v>0.3377555964473853</v>
      </c>
      <c r="F458" t="n">
        <v>6.677585705331733</v>
      </c>
      <c r="G458" t="n">
        <v>0.7759699624530664</v>
      </c>
      <c r="H458" t="n">
        <v>0.376720901126408</v>
      </c>
      <c r="I458" t="n">
        <v>0.3133426313342632</v>
      </c>
      <c r="J458" t="n">
        <v>0.5237448716986424</v>
      </c>
      <c r="K458" t="n">
        <v>0.6677157174036119</v>
      </c>
      <c r="L458" t="b">
        <v>0</v>
      </c>
      <c r="N458" t="n">
        <v>0</v>
      </c>
      <c r="O458" t="n">
        <v>0</v>
      </c>
      <c r="P458" t="n">
        <v>1</v>
      </c>
      <c r="Q458" t="n">
        <v>8.605232879581354</v>
      </c>
      <c r="R458" t="n">
        <v>7.889140426701259</v>
      </c>
      <c r="S458" t="n">
        <v>3.018076178179459</v>
      </c>
      <c r="T458" t="n">
        <v>0.1452550032278944</v>
      </c>
      <c r="U458" t="n">
        <v>0.3751743375174337</v>
      </c>
      <c r="V458" t="n">
        <v>0.4700139470013947</v>
      </c>
      <c r="W458" t="n">
        <v>0.09483960948396095</v>
      </c>
      <c r="X458" t="n">
        <v>0.3377555964473853</v>
      </c>
      <c r="Y458" t="n">
        <v>6.677585705331735</v>
      </c>
      <c r="Z458" t="n">
        <v>0.5237448716986424</v>
      </c>
      <c r="AA458" t="n">
        <v>0</v>
      </c>
    </row>
    <row r="459">
      <c r="A459" t="inlineStr">
        <is>
          <t>2024-02-06</t>
        </is>
      </c>
      <c r="B459" t="inlineStr">
        <is>
          <t>CW</t>
        </is>
      </c>
      <c r="C459" t="inlineStr">
        <is>
          <t>09:18</t>
        </is>
      </c>
      <c r="D459" t="n">
        <v>8.509714248385281</v>
      </c>
      <c r="E459" t="n">
        <v>0.2992800945409838</v>
      </c>
      <c r="F459" t="n">
        <v>6.788930965500038</v>
      </c>
      <c r="G459" t="n">
        <v>0.5632040050062578</v>
      </c>
      <c r="H459" t="n">
        <v>0.392991239048811</v>
      </c>
      <c r="I459" t="n">
        <v>0.3110181311018131</v>
      </c>
      <c r="J459" t="n">
        <v>0.4446817238423902</v>
      </c>
      <c r="K459" t="n">
        <v>0.6677157174036119</v>
      </c>
      <c r="L459" t="b">
        <v>0</v>
      </c>
      <c r="N459" t="n">
        <v>8.605232879581308</v>
      </c>
      <c r="O459" t="n">
        <v>1</v>
      </c>
      <c r="P459" t="n">
        <v>0</v>
      </c>
      <c r="Q459" t="n">
        <v>0</v>
      </c>
      <c r="R459" t="n">
        <v>7.447111715870037</v>
      </c>
      <c r="S459" t="n">
        <v>2.435530085959869</v>
      </c>
      <c r="T459" t="n">
        <v>0.1790830945558739</v>
      </c>
      <c r="U459" t="n">
        <v>0.3514644351464435</v>
      </c>
      <c r="V459" t="n">
        <v>0.3751743375174337</v>
      </c>
      <c r="W459" t="n">
        <v>0.2064156206415621</v>
      </c>
      <c r="X459" t="n">
        <v>0.2992800945409838</v>
      </c>
      <c r="Y459" t="n">
        <v>6.788930965500037</v>
      </c>
      <c r="Z459" t="n">
        <v>0.4446817238423902</v>
      </c>
      <c r="AA459" t="n">
        <v>0</v>
      </c>
    </row>
    <row r="460">
      <c r="A460" t="inlineStr">
        <is>
          <t>2024-02-07</t>
        </is>
      </c>
      <c r="B460" t="inlineStr">
        <is>
          <t>CW</t>
        </is>
      </c>
      <c r="C460" t="inlineStr">
        <is>
          <t>09:17</t>
        </is>
      </c>
      <c r="D460" t="n">
        <v>18.442065821221</v>
      </c>
      <c r="E460" t="n">
        <v>0.313277787133216</v>
      </c>
      <c r="F460" t="n">
        <v>10.19823059770886</v>
      </c>
      <c r="G460" t="n">
        <v>0.6332916145181476</v>
      </c>
      <c r="H460" t="n">
        <v>0.8097622027534418</v>
      </c>
      <c r="I460" t="n">
        <v>0.2389586238958624</v>
      </c>
      <c r="J460" t="n">
        <v>0.6250132516878083</v>
      </c>
      <c r="K460" t="n">
        <v>0.6677157174036119</v>
      </c>
      <c r="L460" t="b">
        <v>0</v>
      </c>
      <c r="N460" t="n">
        <v>0.0955186311957732</v>
      </c>
      <c r="O460" t="n">
        <v>0</v>
      </c>
      <c r="P460" t="n">
        <v>0</v>
      </c>
      <c r="Q460" t="n">
        <v>0</v>
      </c>
      <c r="R460" t="n">
        <v>6.61987413170763</v>
      </c>
      <c r="S460" t="n">
        <v>1.682464454976309</v>
      </c>
      <c r="T460" t="n">
        <v>0.1895734597156425</v>
      </c>
      <c r="U460" t="n">
        <v>0.2845188284518829</v>
      </c>
      <c r="V460" t="n">
        <v>0.1813110181311018</v>
      </c>
      <c r="W460" t="n">
        <v>0.2510460251046025</v>
      </c>
      <c r="X460" t="n">
        <v>0.313277787133216</v>
      </c>
      <c r="Y460" t="n">
        <v>10.19823059770886</v>
      </c>
      <c r="Z460" t="n">
        <v>0.6250132516878083</v>
      </c>
      <c r="AA460" t="n">
        <v>0</v>
      </c>
    </row>
    <row r="461">
      <c r="A461" t="inlineStr">
        <is>
          <t>2024-02-08</t>
        </is>
      </c>
      <c r="B461" t="inlineStr">
        <is>
          <t>CW</t>
        </is>
      </c>
      <c r="C461" t="inlineStr">
        <is>
          <t>09:18</t>
        </is>
      </c>
      <c r="D461" t="n">
        <v>-41.28830616747664</v>
      </c>
      <c r="E461" t="n">
        <v>0.3078301338901109</v>
      </c>
      <c r="F461" t="n">
        <v>7.444625593058298</v>
      </c>
      <c r="G461" t="n">
        <v>0.6057571964956195</v>
      </c>
      <c r="H461" t="n">
        <v>0.4730913642052565</v>
      </c>
      <c r="I461" t="n">
        <v>0.3607624360762436</v>
      </c>
      <c r="J461" t="n">
        <v>0.5036919114955992</v>
      </c>
      <c r="K461" t="n">
        <v>0.6677157174036119</v>
      </c>
      <c r="L461" t="b">
        <v>0</v>
      </c>
      <c r="N461" t="n">
        <v>0</v>
      </c>
      <c r="O461" t="n">
        <v>0</v>
      </c>
      <c r="P461" t="n">
        <v>1</v>
      </c>
      <c r="Q461" t="n">
        <v>41.28830616747664</v>
      </c>
      <c r="R461" t="n">
        <v>3.70404035813199</v>
      </c>
      <c r="S461" t="n">
        <v>2.00000000000001</v>
      </c>
      <c r="T461" t="n">
        <v>0.3043478260869577</v>
      </c>
      <c r="U461" t="n">
        <v>0.05718270571827057</v>
      </c>
      <c r="V461" t="n">
        <v>0.2691771269177127</v>
      </c>
      <c r="W461" t="n">
        <v>0.7559274755927475</v>
      </c>
      <c r="X461" t="n">
        <v>0.3078301338901109</v>
      </c>
      <c r="Y461" t="n">
        <v>7.444625593058301</v>
      </c>
      <c r="Z461" t="n">
        <v>0.5036919114955992</v>
      </c>
      <c r="AA461" t="n">
        <v>0</v>
      </c>
    </row>
    <row r="462">
      <c r="A462" t="inlineStr">
        <is>
          <t>2024-02-09</t>
        </is>
      </c>
      <c r="B462" t="inlineStr">
        <is>
          <t>CW</t>
        </is>
      </c>
      <c r="C462" t="inlineStr">
        <is>
          <t>09:18</t>
        </is>
      </c>
      <c r="D462" t="n">
        <v>32.75623830751229</v>
      </c>
      <c r="E462" t="n">
        <v>0.2538886721013676</v>
      </c>
      <c r="F462" t="n">
        <v>5.677818305565731</v>
      </c>
      <c r="G462" t="n">
        <v>0.2928660826032541</v>
      </c>
      <c r="H462" t="n">
        <v>0.2240300375469337</v>
      </c>
      <c r="I462" t="n">
        <v>0.303114830311483</v>
      </c>
      <c r="J462" t="n">
        <v>0.2673814141223717</v>
      </c>
      <c r="K462" t="n">
        <v>0.6677157174036119</v>
      </c>
      <c r="L462" t="b">
        <v>0</v>
      </c>
      <c r="N462" t="n">
        <v>41.28830616747655</v>
      </c>
      <c r="O462" t="n">
        <v>1</v>
      </c>
      <c r="P462" t="n">
        <v>0</v>
      </c>
      <c r="Q462" t="n">
        <v>0</v>
      </c>
      <c r="R462" t="n">
        <v>8.4261902569294</v>
      </c>
      <c r="S462" t="n">
        <v>1.753155680224404</v>
      </c>
      <c r="T462" t="n">
        <v>0.196353436185138</v>
      </c>
      <c r="U462" t="n">
        <v>0.4100418410041841</v>
      </c>
      <c r="V462" t="n">
        <v>0.202231520223152</v>
      </c>
      <c r="W462" t="n">
        <v>0.297071129707113</v>
      </c>
      <c r="X462" t="n">
        <v>0.2538886721013676</v>
      </c>
      <c r="Y462" t="n">
        <v>5.677818305565733</v>
      </c>
      <c r="Z462" t="n">
        <v>0.2673814141223717</v>
      </c>
      <c r="AA462" t="n">
        <v>0</v>
      </c>
    </row>
    <row r="463">
      <c r="A463" t="inlineStr">
        <is>
          <t>2024-02-13</t>
        </is>
      </c>
      <c r="B463" t="inlineStr">
        <is>
          <t>CW</t>
        </is>
      </c>
      <c r="C463" t="inlineStr">
        <is>
          <t>09:18</t>
        </is>
      </c>
      <c r="D463" t="n">
        <v>6.630825539500273</v>
      </c>
      <c r="E463" t="n">
        <v>0.3125750505455721</v>
      </c>
      <c r="F463" t="n">
        <v>6.328734378755163</v>
      </c>
      <c r="G463" t="n">
        <v>0.6270337922403004</v>
      </c>
      <c r="H463" t="n">
        <v>0.3166458072590738</v>
      </c>
      <c r="I463" t="n">
        <v>0.2524407252440725</v>
      </c>
      <c r="J463" t="n">
        <v>0.4279599848485642</v>
      </c>
      <c r="K463" t="n">
        <v>0.6677157174036119</v>
      </c>
      <c r="L463" t="b">
        <v>0</v>
      </c>
      <c r="N463" t="n">
        <v>8.532067859964627</v>
      </c>
      <c r="O463" t="n">
        <v>0</v>
      </c>
      <c r="P463" t="n">
        <v>0</v>
      </c>
      <c r="Q463" t="n">
        <v>0</v>
      </c>
      <c r="R463" t="n">
        <v>7.158625913302112</v>
      </c>
      <c r="S463" t="n">
        <v>2.009216589861768</v>
      </c>
      <c r="T463" t="n">
        <v>0.165898617511527</v>
      </c>
      <c r="U463" t="n">
        <v>0.3277545327754533</v>
      </c>
      <c r="V463" t="n">
        <v>0.2719665271966527</v>
      </c>
      <c r="W463" t="n">
        <v>0.1576011157601116</v>
      </c>
      <c r="X463" t="n">
        <v>0.3125750505455721</v>
      </c>
      <c r="Y463" t="n">
        <v>6.328734378755165</v>
      </c>
      <c r="Z463" t="n">
        <v>0.4279599848485642</v>
      </c>
      <c r="AA463" t="n">
        <v>5.551115123125783e-17</v>
      </c>
    </row>
    <row r="464">
      <c r="A464" t="inlineStr">
        <is>
          <t>2024-02-15</t>
        </is>
      </c>
      <c r="B464" t="inlineStr">
        <is>
          <t>CW</t>
        </is>
      </c>
      <c r="C464" t="inlineStr">
        <is>
          <t>09:17</t>
        </is>
      </c>
      <c r="D464" t="n">
        <v>15.02774331886175</v>
      </c>
      <c r="E464" t="n">
        <v>0.276548495920778</v>
      </c>
      <c r="F464" t="n">
        <v>7.650524387896541</v>
      </c>
      <c r="G464" t="n">
        <v>0.4392991239048811</v>
      </c>
      <c r="H464" t="n">
        <v>0.5056320400500626</v>
      </c>
      <c r="I464" t="n">
        <v>0.5141794514179452</v>
      </c>
      <c r="J464" t="n">
        <v>0.4808083558655665</v>
      </c>
      <c r="K464" t="n">
        <v>0.6677157174036119</v>
      </c>
      <c r="L464" t="b">
        <v>0</v>
      </c>
      <c r="N464" t="n">
        <v>1.901242320464007</v>
      </c>
      <c r="O464" t="n">
        <v>0</v>
      </c>
      <c r="P464" t="n">
        <v>0</v>
      </c>
      <c r="Q464" t="n">
        <v>0</v>
      </c>
      <c r="R464" t="n">
        <v>8.099512204025572</v>
      </c>
      <c r="S464" t="n">
        <v>7.460840890354503</v>
      </c>
      <c r="T464" t="n">
        <v>0.2061005770816099</v>
      </c>
      <c r="U464" t="n">
        <v>0.3905160390516039</v>
      </c>
      <c r="V464" t="n">
        <v>0.8047419804741981</v>
      </c>
      <c r="W464" t="n">
        <v>0.3472803347280335</v>
      </c>
      <c r="X464" t="n">
        <v>0.276548495920778</v>
      </c>
      <c r="Y464" t="n">
        <v>7.650524387896541</v>
      </c>
      <c r="Z464" t="n">
        <v>0.4808083558655665</v>
      </c>
      <c r="AA464" t="n">
        <v>5.551115123125783e-17</v>
      </c>
    </row>
    <row r="465">
      <c r="A465" t="inlineStr">
        <is>
          <t>2024-02-16</t>
        </is>
      </c>
      <c r="B465" t="inlineStr">
        <is>
          <t>CW</t>
        </is>
      </c>
      <c r="C465" t="inlineStr">
        <is>
          <t>09:16</t>
        </is>
      </c>
      <c r="D465" t="n">
        <v>8.774880295539957</v>
      </c>
      <c r="E465" t="n">
        <v>0.2176217961105804</v>
      </c>
      <c r="F465" t="n">
        <v>6.17320520658547</v>
      </c>
      <c r="G465" t="n">
        <v>0.1376720901126408</v>
      </c>
      <c r="H465" t="n">
        <v>0.2891113892365457</v>
      </c>
      <c r="I465" t="n">
        <v>0.5523012552301255</v>
      </c>
      <c r="J465" t="n">
        <v>0.2811736427856997</v>
      </c>
      <c r="K465" t="n">
        <v>0.6677157174036119</v>
      </c>
      <c r="L465" t="b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11.28066149617368</v>
      </c>
      <c r="S465" t="n">
        <v>4.462442432904579</v>
      </c>
      <c r="T465" t="n">
        <v>0.2223280927425722</v>
      </c>
      <c r="U465" t="n">
        <v>0.5578800557880056</v>
      </c>
      <c r="V465" t="n">
        <v>0.6429567642956764</v>
      </c>
      <c r="W465" t="n">
        <v>0.4560669456066946</v>
      </c>
      <c r="X465" t="n">
        <v>0.2176217961105804</v>
      </c>
      <c r="Y465" t="n">
        <v>6.17320520658547</v>
      </c>
      <c r="Z465" t="n">
        <v>0.2811736427856997</v>
      </c>
      <c r="AA465" t="n">
        <v>0</v>
      </c>
    </row>
    <row r="466">
      <c r="A466" t="inlineStr">
        <is>
          <t>2024-02-19</t>
        </is>
      </c>
      <c r="B466" t="inlineStr">
        <is>
          <t>CW</t>
        </is>
      </c>
      <c r="C466" t="inlineStr">
        <is>
          <t>09:17</t>
        </is>
      </c>
      <c r="D466" t="n">
        <v>-4.879998068553991</v>
      </c>
      <c r="E466" t="n">
        <v>0.3404822393728406</v>
      </c>
      <c r="F466" t="n">
        <v>9.254248170124693</v>
      </c>
      <c r="G466" t="n">
        <v>0.7847309136420526</v>
      </c>
      <c r="H466" t="n">
        <v>0.7108886107634543</v>
      </c>
      <c r="I466" t="n">
        <v>0.2468619246861925</v>
      </c>
      <c r="J466" t="n">
        <v>0.6476201946994413</v>
      </c>
      <c r="K466" t="n">
        <v>0.6677157174036119</v>
      </c>
      <c r="L466" t="b">
        <v>0</v>
      </c>
      <c r="N466" t="n">
        <v>0</v>
      </c>
      <c r="O466" t="n">
        <v>0</v>
      </c>
      <c r="P466" t="n">
        <v>1</v>
      </c>
      <c r="Q466" t="n">
        <v>4.879998068553991</v>
      </c>
      <c r="R466" t="n">
        <v>5.659988634741175</v>
      </c>
      <c r="S466" t="n">
        <v>1.712506486766992</v>
      </c>
      <c r="T466" t="n">
        <v>0.2075765438505429</v>
      </c>
      <c r="U466" t="n">
        <v>0.1854951185495119</v>
      </c>
      <c r="V466" t="n">
        <v>0.195258019525802</v>
      </c>
      <c r="W466" t="n">
        <v>0.3598326359832636</v>
      </c>
      <c r="X466" t="n">
        <v>0.3404822393728405</v>
      </c>
      <c r="Y466" t="n">
        <v>9.254248170124693</v>
      </c>
      <c r="Z466" t="n">
        <v>0.6476201946994413</v>
      </c>
      <c r="AA466" t="n">
        <v>0</v>
      </c>
    </row>
    <row r="467">
      <c r="A467" t="inlineStr">
        <is>
          <t>2024-02-20</t>
        </is>
      </c>
      <c r="B467" t="inlineStr">
        <is>
          <t>CW</t>
        </is>
      </c>
      <c r="C467" t="inlineStr">
        <is>
          <t>09:16</t>
        </is>
      </c>
      <c r="D467" t="n">
        <v>3.885078926818324</v>
      </c>
      <c r="E467" t="n">
        <v>0.2568983794732764</v>
      </c>
      <c r="F467" t="n">
        <v>5.913543643635983</v>
      </c>
      <c r="G467" t="n">
        <v>0.3103879849812266</v>
      </c>
      <c r="H467" t="n">
        <v>0.2540675844806007</v>
      </c>
      <c r="I467" t="n">
        <v>0.698279869827987</v>
      </c>
      <c r="J467" t="n">
        <v>0.3654382017503284</v>
      </c>
      <c r="K467" t="n">
        <v>0.6677157174036119</v>
      </c>
      <c r="L467" t="b">
        <v>0</v>
      </c>
      <c r="N467" t="n">
        <v>4.879998068554414</v>
      </c>
      <c r="O467" t="n">
        <v>1</v>
      </c>
      <c r="P467" t="n">
        <v>0</v>
      </c>
      <c r="Q467" t="n">
        <v>0</v>
      </c>
      <c r="R467" t="n">
        <v>15.49829042980599</v>
      </c>
      <c r="S467" t="n">
        <v>5.507745266781403</v>
      </c>
      <c r="T467" t="n">
        <v>0.2677376171352031</v>
      </c>
      <c r="U467" t="n">
        <v>0.7168758716875872</v>
      </c>
      <c r="V467" t="n">
        <v>0.7196652719665272</v>
      </c>
      <c r="W467" t="n">
        <v>0.6582984658298466</v>
      </c>
      <c r="X467" t="n">
        <v>0.2568983794732764</v>
      </c>
      <c r="Y467" t="n">
        <v>5.913543643635984</v>
      </c>
      <c r="Z467" t="n">
        <v>0.3654382017503284</v>
      </c>
      <c r="AA467" t="n">
        <v>0</v>
      </c>
    </row>
    <row r="468">
      <c r="A468" t="inlineStr">
        <is>
          <t>2024-02-21</t>
        </is>
      </c>
      <c r="B468" t="inlineStr">
        <is>
          <t>CW</t>
        </is>
      </c>
      <c r="C468" t="inlineStr">
        <is>
          <t>09:16</t>
        </is>
      </c>
      <c r="D468" t="n">
        <v>52.30220791712557</v>
      </c>
      <c r="E468" t="n">
        <v>0.264961072451895</v>
      </c>
      <c r="F468" t="n">
        <v>7.857969033305928</v>
      </c>
      <c r="G468" t="n">
        <v>0.3679599499374218</v>
      </c>
      <c r="H468" t="n">
        <v>0.523153942428035</v>
      </c>
      <c r="I468" t="n">
        <v>0.7824267782426778</v>
      </c>
      <c r="J468" t="n">
        <v>0.5129309125947183</v>
      </c>
      <c r="K468" t="n">
        <v>0.6677157174036119</v>
      </c>
      <c r="L468" t="b">
        <v>0</v>
      </c>
      <c r="N468" t="n">
        <v>0.9949191417363181</v>
      </c>
      <c r="O468" t="n">
        <v>0</v>
      </c>
      <c r="P468" t="n">
        <v>0</v>
      </c>
      <c r="Q468" t="n">
        <v>0</v>
      </c>
      <c r="R468" t="n">
        <v>15.202257591557</v>
      </c>
      <c r="S468" t="n">
        <v>7.331447430457337</v>
      </c>
      <c r="T468" t="n">
        <v>0.3536067892503536</v>
      </c>
      <c r="U468" t="n">
        <v>0.7099023709902371</v>
      </c>
      <c r="V468" t="n">
        <v>0.7977684797768479</v>
      </c>
      <c r="W468" t="n">
        <v>0.8396094839609484</v>
      </c>
      <c r="X468" t="n">
        <v>0.264961072451895</v>
      </c>
      <c r="Y468" t="n">
        <v>7.857969033305928</v>
      </c>
      <c r="Z468" t="n">
        <v>0.5129309125947183</v>
      </c>
      <c r="AA468" t="n">
        <v>0</v>
      </c>
    </row>
    <row r="469">
      <c r="A469" t="inlineStr">
        <is>
          <t>2024-02-22</t>
        </is>
      </c>
      <c r="B469" t="inlineStr">
        <is>
          <t>CW</t>
        </is>
      </c>
      <c r="C469" t="inlineStr">
        <is>
          <t>09:17</t>
        </is>
      </c>
      <c r="D469" t="n">
        <v>-46.26459097792011</v>
      </c>
      <c r="E469" t="n">
        <v>0.3078899162886971</v>
      </c>
      <c r="F469" t="n">
        <v>9.87044341145503</v>
      </c>
      <c r="G469" t="n">
        <v>0.6070087609511889</v>
      </c>
      <c r="H469" t="n">
        <v>0.7809762202753442</v>
      </c>
      <c r="I469" t="n">
        <v>0.4769874476987448</v>
      </c>
      <c r="J469" t="n">
        <v>0.6505914820303622</v>
      </c>
      <c r="K469" t="n">
        <v>0.6677157174036119</v>
      </c>
      <c r="L469" t="b">
        <v>0</v>
      </c>
      <c r="N469" t="n">
        <v>0</v>
      </c>
      <c r="O469" t="n">
        <v>0</v>
      </c>
      <c r="P469" t="n">
        <v>1</v>
      </c>
      <c r="Q469" t="n">
        <v>46.26459097792011</v>
      </c>
      <c r="R469" t="n">
        <v>8.230919232686871</v>
      </c>
      <c r="S469" t="n">
        <v>5.118755118755119</v>
      </c>
      <c r="T469" t="n">
        <v>0.2047502047501989</v>
      </c>
      <c r="U469" t="n">
        <v>0.3947001394700139</v>
      </c>
      <c r="V469" t="n">
        <v>0.6959553695955369</v>
      </c>
      <c r="W469" t="n">
        <v>0.3403068340306834</v>
      </c>
      <c r="X469" t="n">
        <v>0.3078899162886971</v>
      </c>
      <c r="Y469" t="n">
        <v>9.87044341145503</v>
      </c>
      <c r="Z469" t="n">
        <v>0.6505914820303622</v>
      </c>
      <c r="AA469" t="n">
        <v>0</v>
      </c>
    </row>
    <row r="470">
      <c r="A470" t="inlineStr">
        <is>
          <t>2024-02-26</t>
        </is>
      </c>
      <c r="B470" t="inlineStr">
        <is>
          <t>CW</t>
        </is>
      </c>
      <c r="C470" t="inlineStr">
        <is>
          <t>09:17</t>
        </is>
      </c>
      <c r="D470" t="n">
        <v>21.02617018074104</v>
      </c>
      <c r="E470" t="n">
        <v>0.3208288912679011</v>
      </c>
      <c r="F470" t="n">
        <v>8.005784133959468</v>
      </c>
      <c r="G470" t="n">
        <v>0.6758448060075094</v>
      </c>
      <c r="H470" t="n">
        <v>0.5444305381727159</v>
      </c>
      <c r="I470" t="n">
        <v>0.3138075313807531</v>
      </c>
      <c r="J470" t="n">
        <v>0.5508716439482407</v>
      </c>
      <c r="K470" t="n">
        <v>0.6677157174036119</v>
      </c>
      <c r="L470" t="b">
        <v>0</v>
      </c>
      <c r="N470" t="n">
        <v>46.26459097792031</v>
      </c>
      <c r="O470" t="n">
        <v>1</v>
      </c>
      <c r="P470" t="n">
        <v>0</v>
      </c>
      <c r="Q470" t="n">
        <v>0</v>
      </c>
      <c r="R470" t="n">
        <v>9.799416089965398</v>
      </c>
      <c r="S470" t="n">
        <v>1.937510909408258</v>
      </c>
      <c r="T470" t="n">
        <v>0.1745505323791138</v>
      </c>
      <c r="U470" t="n">
        <v>0.496513249651325</v>
      </c>
      <c r="V470" t="n">
        <v>0.2580195258019526</v>
      </c>
      <c r="W470" t="n">
        <v>0.1868898186889819</v>
      </c>
      <c r="X470" t="n">
        <v>0.3208288912679012</v>
      </c>
      <c r="Y470" t="n">
        <v>8.005784133959466</v>
      </c>
      <c r="Z470" t="n">
        <v>0.5508716439482407</v>
      </c>
      <c r="AA470" t="n">
        <v>0</v>
      </c>
    </row>
    <row r="471">
      <c r="A471" t="inlineStr">
        <is>
          <t>2024-02-27</t>
        </is>
      </c>
      <c r="B471" t="inlineStr">
        <is>
          <t>CW</t>
        </is>
      </c>
      <c r="C471" t="inlineStr">
        <is>
          <t>09:17</t>
        </is>
      </c>
      <c r="D471" t="n">
        <v>38.11253940668846</v>
      </c>
      <c r="E471" t="n">
        <v>0.3303548267106545</v>
      </c>
      <c r="F471" t="n">
        <v>8.646104344425666</v>
      </c>
      <c r="G471" t="n">
        <v>0.7359198998748435</v>
      </c>
      <c r="H471" t="n">
        <v>0.6295369211514393</v>
      </c>
      <c r="I471" t="n">
        <v>0.1176197117619712</v>
      </c>
      <c r="J471" t="n">
        <v>0.5697066707629074</v>
      </c>
      <c r="K471" t="n">
        <v>0.6677157174036119</v>
      </c>
      <c r="L471" t="b">
        <v>0</v>
      </c>
      <c r="N471" t="n">
        <v>25.23842079717906</v>
      </c>
      <c r="O471" t="n">
        <v>0</v>
      </c>
      <c r="P471" t="n">
        <v>0</v>
      </c>
      <c r="Q471" t="n">
        <v>0</v>
      </c>
      <c r="R471" t="n">
        <v>3.459049823881378</v>
      </c>
      <c r="S471" t="n">
        <v>1.704765594730715</v>
      </c>
      <c r="T471" t="n">
        <v>0.1549786904300625</v>
      </c>
      <c r="U471" t="n">
        <v>0.03905160390516039</v>
      </c>
      <c r="V471" t="n">
        <v>0.1938633193863319</v>
      </c>
      <c r="W471" t="n">
        <v>0.1199442119944212</v>
      </c>
      <c r="X471" t="n">
        <v>0.3303548267106545</v>
      </c>
      <c r="Y471" t="n">
        <v>8.646104344425666</v>
      </c>
      <c r="Z471" t="n">
        <v>0.5697066707629074</v>
      </c>
      <c r="AA471" t="n">
        <v>0</v>
      </c>
    </row>
    <row r="472">
      <c r="A472" t="inlineStr">
        <is>
          <t>2024-02-28</t>
        </is>
      </c>
      <c r="B472" t="inlineStr">
        <is>
          <t>CW</t>
        </is>
      </c>
      <c r="C472" t="inlineStr">
        <is>
          <t>09:17</t>
        </is>
      </c>
      <c r="D472" t="n">
        <v>-46.2243102160917</v>
      </c>
      <c r="E472" t="n">
        <v>0.4052255146814123</v>
      </c>
      <c r="F472" t="n">
        <v>12.37993100403752</v>
      </c>
      <c r="G472" t="n">
        <v>0.9524405506883604</v>
      </c>
      <c r="H472" t="n">
        <v>0.9361702127659575</v>
      </c>
      <c r="I472" t="n">
        <v>0.08786610878661089</v>
      </c>
      <c r="J472" t="n">
        <v>0.7730175271390494</v>
      </c>
      <c r="K472" t="n">
        <v>0.6677157174036119</v>
      </c>
      <c r="L472" t="b">
        <v>1</v>
      </c>
      <c r="M472" t="inlineStr">
        <is>
          <t>top_quartile_risk</t>
        </is>
      </c>
      <c r="N472" t="n">
        <v>0</v>
      </c>
      <c r="O472" t="n">
        <v>0</v>
      </c>
      <c r="P472" t="n">
        <v>1</v>
      </c>
      <c r="Q472" t="n">
        <v>46.2243102160917</v>
      </c>
      <c r="R472" t="n">
        <v>5.066494931251655</v>
      </c>
      <c r="S472" t="n">
        <v>1.468026872356316</v>
      </c>
      <c r="T472" t="n">
        <v>0.0746454341876117</v>
      </c>
      <c r="U472" t="n">
        <v>0.1311018131101813</v>
      </c>
      <c r="V472" t="n">
        <v>0.1255230125523012</v>
      </c>
      <c r="W472" t="n">
        <v>0.00697350069735007</v>
      </c>
      <c r="X472" t="n">
        <v>0.4052255146814123</v>
      </c>
      <c r="Y472" t="n">
        <v>12.37993100403752</v>
      </c>
      <c r="Z472" t="n">
        <v>0.7730175271390494</v>
      </c>
      <c r="AA472" t="n">
        <v>0</v>
      </c>
    </row>
    <row r="473">
      <c r="A473" t="inlineStr">
        <is>
          <t>2024-02-29</t>
        </is>
      </c>
      <c r="B473" t="inlineStr">
        <is>
          <t>CW</t>
        </is>
      </c>
      <c r="C473" t="inlineStr">
        <is>
          <t>09:17</t>
        </is>
      </c>
      <c r="D473" t="n">
        <v>-61.27931499510323</v>
      </c>
      <c r="E473" t="n">
        <v>0.3310256627032792</v>
      </c>
      <c r="F473" t="n">
        <v>12.16116172493899</v>
      </c>
      <c r="G473" t="n">
        <v>0.7409261576971214</v>
      </c>
      <c r="H473" t="n">
        <v>0.9261576971214017</v>
      </c>
      <c r="I473" t="n">
        <v>0.603440260344026</v>
      </c>
      <c r="J473" t="n">
        <v>0.7875215939962145</v>
      </c>
      <c r="K473" t="n">
        <v>0.6677157174036119</v>
      </c>
      <c r="L473" t="b">
        <v>1</v>
      </c>
      <c r="M473" t="inlineStr">
        <is>
          <t>top_quartile_risk</t>
        </is>
      </c>
      <c r="N473" t="n">
        <v>46.22431021609191</v>
      </c>
      <c r="O473" t="n">
        <v>1</v>
      </c>
      <c r="P473" t="n">
        <v>1</v>
      </c>
      <c r="Q473" t="n">
        <v>61.27931499510323</v>
      </c>
      <c r="R473" t="n">
        <v>10.12314209562754</v>
      </c>
      <c r="S473" t="n">
        <v>3.708565802428621</v>
      </c>
      <c r="T473" t="n">
        <v>0.2953724975385643</v>
      </c>
      <c r="U473" t="n">
        <v>0.5132496513249651</v>
      </c>
      <c r="V473" t="n">
        <v>0.5606694560669456</v>
      </c>
      <c r="W473" t="n">
        <v>0.7364016736401674</v>
      </c>
      <c r="X473" t="n">
        <v>0.3310256627032792</v>
      </c>
      <c r="Y473" t="n">
        <v>12.16116172493899</v>
      </c>
      <c r="Z473" t="n">
        <v>0.7875215939962145</v>
      </c>
      <c r="AA473" t="n">
        <v>0</v>
      </c>
    </row>
    <row r="474">
      <c r="A474" t="inlineStr">
        <is>
          <t>2024-03-02</t>
        </is>
      </c>
      <c r="B474" t="inlineStr">
        <is>
          <t>CW</t>
        </is>
      </c>
      <c r="C474" t="inlineStr">
        <is>
          <t>09:17</t>
        </is>
      </c>
      <c r="D474" t="n">
        <v>27.07171372559647</v>
      </c>
      <c r="E474" t="n">
        <v>0.2702496879007347</v>
      </c>
      <c r="F474" t="n">
        <v>7.341551679353663</v>
      </c>
      <c r="G474" t="n">
        <v>0.3904881101376721</v>
      </c>
      <c r="H474" t="n">
        <v>0.4543178973717146</v>
      </c>
      <c r="I474" t="n">
        <v>0.1492329149232915</v>
      </c>
      <c r="J474" t="n">
        <v>0.367768985988413</v>
      </c>
      <c r="K474" t="n">
        <v>0.6677157174036119</v>
      </c>
      <c r="L474" t="b">
        <v>0</v>
      </c>
      <c r="N474" t="n">
        <v>107.503625211195</v>
      </c>
      <c r="O474" t="n">
        <v>2</v>
      </c>
      <c r="P474" t="n">
        <v>0</v>
      </c>
      <c r="Q474" t="n">
        <v>0</v>
      </c>
      <c r="R474" t="n">
        <v>1.586241256122393</v>
      </c>
      <c r="S474" t="n">
        <v>1.086777539930827</v>
      </c>
      <c r="T474" t="n">
        <v>0.2140622427136524</v>
      </c>
      <c r="U474" t="n">
        <v>0.001394700139470014</v>
      </c>
      <c r="V474" t="n">
        <v>0.04044630404463041</v>
      </c>
      <c r="W474" t="n">
        <v>0.4058577405857741</v>
      </c>
      <c r="X474" t="n">
        <v>0.2702496879007347</v>
      </c>
      <c r="Y474" t="n">
        <v>7.341551679353666</v>
      </c>
      <c r="Z474" t="n">
        <v>0.367768985988413</v>
      </c>
      <c r="AA474" t="n">
        <v>0</v>
      </c>
    </row>
    <row r="475">
      <c r="A475" t="inlineStr">
        <is>
          <t>2024-03-04</t>
        </is>
      </c>
      <c r="B475" t="inlineStr">
        <is>
          <t>CW</t>
        </is>
      </c>
      <c r="C475" t="inlineStr">
        <is>
          <t>09:16</t>
        </is>
      </c>
      <c r="D475" t="n">
        <v>38.0186767098599</v>
      </c>
      <c r="E475" t="n">
        <v>0.3703337899498155</v>
      </c>
      <c r="F475" t="n">
        <v>9.345772929933261</v>
      </c>
      <c r="G475" t="n">
        <v>0.8748435544430538</v>
      </c>
      <c r="H475" t="n">
        <v>0.7158948685857321</v>
      </c>
      <c r="I475" t="n">
        <v>0.3468154346815435</v>
      </c>
      <c r="J475" t="n">
        <v>0.7056584561478231</v>
      </c>
      <c r="K475" t="n">
        <v>0.6677157174036119</v>
      </c>
      <c r="L475" t="b">
        <v>1</v>
      </c>
      <c r="M475" t="inlineStr">
        <is>
          <t>top_quartile_risk</t>
        </is>
      </c>
      <c r="N475" t="n">
        <v>80.4319114855989</v>
      </c>
      <c r="O475" t="n">
        <v>0</v>
      </c>
      <c r="P475" t="n">
        <v>0</v>
      </c>
      <c r="Q475" t="n">
        <v>0</v>
      </c>
      <c r="R475" t="n">
        <v>7.026215591060869</v>
      </c>
      <c r="S475" t="n">
        <v>3.926467963590933</v>
      </c>
      <c r="T475" t="n">
        <v>0.1606282348741705</v>
      </c>
      <c r="U475" t="n">
        <v>0.3165969316596932</v>
      </c>
      <c r="V475" t="n">
        <v>0.5857740585774058</v>
      </c>
      <c r="W475" t="n">
        <v>0.1380753138075314</v>
      </c>
      <c r="X475" t="n">
        <v>0.3703337899498155</v>
      </c>
      <c r="Y475" t="n">
        <v>9.345772929933258</v>
      </c>
      <c r="Z475" t="n">
        <v>0.7056584561478231</v>
      </c>
      <c r="AA475" t="n">
        <v>0</v>
      </c>
    </row>
    <row r="476">
      <c r="A476" t="inlineStr">
        <is>
          <t>2024-03-05</t>
        </is>
      </c>
      <c r="B476" t="inlineStr">
        <is>
          <t>CW</t>
        </is>
      </c>
      <c r="C476" t="inlineStr">
        <is>
          <t>09:16</t>
        </is>
      </c>
      <c r="D476" t="n">
        <v>33.40251160923705</v>
      </c>
      <c r="E476" t="n">
        <v>0.2696021811487092</v>
      </c>
      <c r="F476" t="n">
        <v>5.622349288857285</v>
      </c>
      <c r="G476" t="n">
        <v>0.3867334167709637</v>
      </c>
      <c r="H476" t="n">
        <v>0.2202753441802253</v>
      </c>
      <c r="I476" t="n">
        <v>0.4927940492794049</v>
      </c>
      <c r="J476" t="n">
        <v>0.3413623142363566</v>
      </c>
      <c r="K476" t="n">
        <v>0.6677157174036119</v>
      </c>
      <c r="L476" t="b">
        <v>0</v>
      </c>
      <c r="N476" t="n">
        <v>42.4132347757386</v>
      </c>
      <c r="O476" t="n">
        <v>0</v>
      </c>
      <c r="P476" t="n">
        <v>0</v>
      </c>
      <c r="Q476" t="n">
        <v>0</v>
      </c>
      <c r="R476" t="n">
        <v>14.34325352427967</v>
      </c>
      <c r="S476" t="n">
        <v>6.898734177215188</v>
      </c>
      <c r="T476" t="n">
        <v>0.08438818565400361</v>
      </c>
      <c r="U476" t="n">
        <v>0.6875871687587168</v>
      </c>
      <c r="V476" t="n">
        <v>0.7824267782426778</v>
      </c>
      <c r="W476" t="n">
        <v>0.008368200836820083</v>
      </c>
      <c r="X476" t="n">
        <v>0.2696021811487092</v>
      </c>
      <c r="Y476" t="n">
        <v>5.622349288857285</v>
      </c>
      <c r="Z476" t="n">
        <v>0.3413623142363566</v>
      </c>
      <c r="AA476" t="n">
        <v>0</v>
      </c>
    </row>
    <row r="477">
      <c r="A477" t="inlineStr">
        <is>
          <t>2024-03-06</t>
        </is>
      </c>
      <c r="B477" t="inlineStr">
        <is>
          <t>CW</t>
        </is>
      </c>
      <c r="C477" t="inlineStr">
        <is>
          <t>09:17</t>
        </is>
      </c>
      <c r="D477" t="n">
        <v>-8.006913806160657</v>
      </c>
      <c r="E477" t="n">
        <v>0.3258641261676226</v>
      </c>
      <c r="F477" t="n">
        <v>8.637859927584174</v>
      </c>
      <c r="G477" t="n">
        <v>0.7108886107634543</v>
      </c>
      <c r="H477" t="n">
        <v>0.6282853566958698</v>
      </c>
      <c r="I477" t="n">
        <v>0.2101348210134821</v>
      </c>
      <c r="J477" t="n">
        <v>0.5776965511864262</v>
      </c>
      <c r="K477" t="n">
        <v>0.6677157174036119</v>
      </c>
      <c r="L477" t="b">
        <v>0</v>
      </c>
      <c r="N477" t="n">
        <v>9.010723166501521</v>
      </c>
      <c r="O477" t="n">
        <v>0</v>
      </c>
      <c r="P477" t="n">
        <v>1</v>
      </c>
      <c r="Q477" t="n">
        <v>8.006913806160657</v>
      </c>
      <c r="R477" t="n">
        <v>5.154488999648151</v>
      </c>
      <c r="S477" t="n">
        <v>2.889070591441801</v>
      </c>
      <c r="T477" t="n">
        <v>0.1090215317525226</v>
      </c>
      <c r="U477" t="n">
        <v>0.1450488145048814</v>
      </c>
      <c r="V477" t="n">
        <v>0.4574616457461645</v>
      </c>
      <c r="W477" t="n">
        <v>0.02789400278940028</v>
      </c>
      <c r="X477" t="n">
        <v>0.3258641261676226</v>
      </c>
      <c r="Y477" t="n">
        <v>8.637859927584172</v>
      </c>
      <c r="Z477" t="n">
        <v>0.5776965511864262</v>
      </c>
      <c r="AA477" t="n">
        <v>0</v>
      </c>
    </row>
    <row r="478">
      <c r="A478" t="inlineStr">
        <is>
          <t>2024-03-07</t>
        </is>
      </c>
      <c r="B478" t="inlineStr">
        <is>
          <t>CW</t>
        </is>
      </c>
      <c r="C478" t="inlineStr">
        <is>
          <t>09:16</t>
        </is>
      </c>
      <c r="D478" t="n">
        <v>49.66615579630302</v>
      </c>
      <c r="E478" t="n">
        <v>0.2731837009995588</v>
      </c>
      <c r="F478" t="n">
        <v>8.529304816034836</v>
      </c>
      <c r="G478" t="n">
        <v>0.409261576971214</v>
      </c>
      <c r="H478" t="n">
        <v>0.6107634543178974</v>
      </c>
      <c r="I478" t="n">
        <v>0.7391910739191075</v>
      </c>
      <c r="J478" t="n">
        <v>0.5558482272994661</v>
      </c>
      <c r="K478" t="n">
        <v>0.6677157174036119</v>
      </c>
      <c r="L478" t="b">
        <v>0</v>
      </c>
      <c r="N478" t="n">
        <v>17.01763697266233</v>
      </c>
      <c r="O478" t="n">
        <v>1</v>
      </c>
      <c r="P478" t="n">
        <v>0</v>
      </c>
      <c r="Q478" t="n">
        <v>0</v>
      </c>
      <c r="R478" t="n">
        <v>12.95976027777966</v>
      </c>
      <c r="S478" t="n">
        <v>8.065915004336524</v>
      </c>
      <c r="T478" t="n">
        <v>0.3035559410234184</v>
      </c>
      <c r="U478" t="n">
        <v>0.6387726638772664</v>
      </c>
      <c r="V478" t="n">
        <v>0.8242677824267782</v>
      </c>
      <c r="W478" t="n">
        <v>0.7545327754532776</v>
      </c>
      <c r="X478" t="n">
        <v>0.2731837009995588</v>
      </c>
      <c r="Y478" t="n">
        <v>8.529304816034836</v>
      </c>
      <c r="Z478" t="n">
        <v>0.5558482272994661</v>
      </c>
      <c r="AA478" t="n">
        <v>0</v>
      </c>
    </row>
    <row r="479">
      <c r="A479" t="inlineStr">
        <is>
          <t>2024-03-11</t>
        </is>
      </c>
      <c r="B479" t="inlineStr">
        <is>
          <t>CW</t>
        </is>
      </c>
      <c r="C479" t="inlineStr">
        <is>
          <t>09:16</t>
        </is>
      </c>
      <c r="D479" t="n">
        <v>17.15132135892989</v>
      </c>
      <c r="E479" t="n">
        <v>0.2887829711167449</v>
      </c>
      <c r="F479" t="n">
        <v>7.37157889463717</v>
      </c>
      <c r="G479" t="n">
        <v>0.5168961201501877</v>
      </c>
      <c r="H479" t="n">
        <v>0.4568210262828536</v>
      </c>
      <c r="I479" t="n">
        <v>0.5829846582984658</v>
      </c>
      <c r="J479" t="n">
        <v>0.5060837902329097</v>
      </c>
      <c r="K479" t="n">
        <v>0.6677157174036119</v>
      </c>
      <c r="L479" t="b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17.17571669177541</v>
      </c>
      <c r="S479" t="n">
        <v>7.673076923076919</v>
      </c>
      <c r="T479" t="n">
        <v>0.1730769230769296</v>
      </c>
      <c r="U479" t="n">
        <v>0.7489539748953975</v>
      </c>
      <c r="V479" t="n">
        <v>0.8158995815899581</v>
      </c>
      <c r="W479" t="n">
        <v>0.1841004184100418</v>
      </c>
      <c r="X479" t="n">
        <v>0.2887829711167449</v>
      </c>
      <c r="Y479" t="n">
        <v>7.371578894637167</v>
      </c>
      <c r="Z479" t="n">
        <v>0.5060837902329097</v>
      </c>
      <c r="AA479" t="n">
        <v>0</v>
      </c>
    </row>
    <row r="480">
      <c r="A480" t="inlineStr">
        <is>
          <t>2024-03-12</t>
        </is>
      </c>
      <c r="B480" t="inlineStr">
        <is>
          <t>CW</t>
        </is>
      </c>
      <c r="C480" t="inlineStr">
        <is>
          <t>09:18</t>
        </is>
      </c>
      <c r="D480" t="n">
        <v>-35.08938172713366</v>
      </c>
      <c r="E480" t="n">
        <v>0.3087933194174632</v>
      </c>
      <c r="F480" t="n">
        <v>6.960493350989626</v>
      </c>
      <c r="G480" t="n">
        <v>0.609511889862328</v>
      </c>
      <c r="H480" t="n">
        <v>0.4105131414267835</v>
      </c>
      <c r="I480" t="n">
        <v>0.1599256159925616</v>
      </c>
      <c r="J480" t="n">
        <v>0.4399951357141569</v>
      </c>
      <c r="K480" t="n">
        <v>0.6677157174036119</v>
      </c>
      <c r="L480" t="b">
        <v>0</v>
      </c>
      <c r="N480" t="n">
        <v>0</v>
      </c>
      <c r="O480" t="n">
        <v>0</v>
      </c>
      <c r="P480" t="n">
        <v>1</v>
      </c>
      <c r="Q480" t="n">
        <v>35.08938172713366</v>
      </c>
      <c r="R480" t="n">
        <v>3.574732006809865</v>
      </c>
      <c r="S480" t="n">
        <v>1.355625847266154</v>
      </c>
      <c r="T480" t="n">
        <v>0.203343877089918</v>
      </c>
      <c r="U480" t="n">
        <v>0.04602510460251046</v>
      </c>
      <c r="V480" t="n">
        <v>0.09902370990237098</v>
      </c>
      <c r="W480" t="n">
        <v>0.3347280334728033</v>
      </c>
      <c r="X480" t="n">
        <v>0.3087933194174632</v>
      </c>
      <c r="Y480" t="n">
        <v>6.960493350989628</v>
      </c>
      <c r="Z480" t="n">
        <v>0.4399951357141569</v>
      </c>
      <c r="AA480" t="n">
        <v>5.551115123125783e-17</v>
      </c>
    </row>
    <row r="481">
      <c r="A481" t="inlineStr">
        <is>
          <t>2024-03-13</t>
        </is>
      </c>
      <c r="B481" t="inlineStr">
        <is>
          <t>CW</t>
        </is>
      </c>
      <c r="C481" t="inlineStr">
        <is>
          <t>09:17</t>
        </is>
      </c>
      <c r="D481" t="n">
        <v>-40.16801142728517</v>
      </c>
      <c r="E481" t="n">
        <v>0.3052150581502532</v>
      </c>
      <c r="F481" t="n">
        <v>9.610523633879364</v>
      </c>
      <c r="G481" t="n">
        <v>0.5932415519399249</v>
      </c>
      <c r="H481" t="n">
        <v>0.7384230287859824</v>
      </c>
      <c r="I481" t="n">
        <v>0.1901441190144119</v>
      </c>
      <c r="J481" t="n">
        <v>0.5706946560932454</v>
      </c>
      <c r="K481" t="n">
        <v>0.6677157174036119</v>
      </c>
      <c r="L481" t="b">
        <v>0</v>
      </c>
      <c r="N481" t="n">
        <v>35.08938172713351</v>
      </c>
      <c r="O481" t="n">
        <v>1</v>
      </c>
      <c r="P481" t="n">
        <v>1</v>
      </c>
      <c r="Q481" t="n">
        <v>40.16801142728517</v>
      </c>
      <c r="R481" t="n">
        <v>3.837632448522036</v>
      </c>
      <c r="S481" t="n">
        <v>2.385419458590184</v>
      </c>
      <c r="T481" t="n">
        <v>0.1608147949611272</v>
      </c>
      <c r="U481" t="n">
        <v>0.06415620641562064</v>
      </c>
      <c r="V481" t="n">
        <v>0.3654114365411437</v>
      </c>
      <c r="W481" t="n">
        <v>0.1408647140864714</v>
      </c>
      <c r="X481" t="n">
        <v>0.3052150581502532</v>
      </c>
      <c r="Y481" t="n">
        <v>9.610523633879364</v>
      </c>
      <c r="Z481" t="n">
        <v>0.5706946560932454</v>
      </c>
      <c r="AA481" t="n">
        <v>0</v>
      </c>
    </row>
    <row r="482">
      <c r="A482" t="inlineStr">
        <is>
          <t>2024-03-14</t>
        </is>
      </c>
      <c r="B482" t="inlineStr">
        <is>
          <t>CW</t>
        </is>
      </c>
      <c r="C482" t="inlineStr">
        <is>
          <t>09:17</t>
        </is>
      </c>
      <c r="D482" t="n">
        <v>7.216009754649722</v>
      </c>
      <c r="E482" t="n">
        <v>0.3128494612466564</v>
      </c>
      <c r="F482" t="n">
        <v>10.84950870253304</v>
      </c>
      <c r="G482" t="n">
        <v>0.6295369211514393</v>
      </c>
      <c r="H482" t="n">
        <v>0.867334167709637</v>
      </c>
      <c r="I482" t="n">
        <v>0.4611808461180846</v>
      </c>
      <c r="J482" t="n">
        <v>0.6909846047680475</v>
      </c>
      <c r="K482" t="n">
        <v>0.6677157174036119</v>
      </c>
      <c r="L482" t="b">
        <v>1</v>
      </c>
      <c r="M482" t="inlineStr">
        <is>
          <t>top_quartile_risk</t>
        </is>
      </c>
      <c r="N482" t="n">
        <v>75.25739315441842</v>
      </c>
      <c r="O482" t="n">
        <v>2</v>
      </c>
      <c r="P482" t="n">
        <v>0</v>
      </c>
      <c r="Q482" t="n">
        <v>0</v>
      </c>
      <c r="R482" t="n">
        <v>6.380748370630327</v>
      </c>
      <c r="S482" t="n">
        <v>6.662087912087905</v>
      </c>
      <c r="T482" t="n">
        <v>0.2060439560439541</v>
      </c>
      <c r="U482" t="n">
        <v>0.2635983263598327</v>
      </c>
      <c r="V482" t="n">
        <v>0.7740585774058577</v>
      </c>
      <c r="W482" t="n">
        <v>0.3458856345885635</v>
      </c>
      <c r="X482" t="n">
        <v>0.3128494612466564</v>
      </c>
      <c r="Y482" t="n">
        <v>10.84950870253304</v>
      </c>
      <c r="Z482" t="n">
        <v>0.6909846047680475</v>
      </c>
      <c r="AA482" t="n">
        <v>0</v>
      </c>
    </row>
    <row r="483">
      <c r="A483" t="inlineStr">
        <is>
          <t>2024-03-18</t>
        </is>
      </c>
      <c r="B483" t="inlineStr">
        <is>
          <t>CW</t>
        </is>
      </c>
      <c r="C483" t="inlineStr">
        <is>
          <t>09:17</t>
        </is>
      </c>
      <c r="D483" t="n">
        <v>22.39240356142452</v>
      </c>
      <c r="E483" t="n">
        <v>0.3006209432144339</v>
      </c>
      <c r="F483" t="n">
        <v>6.477757445746702</v>
      </c>
      <c r="G483" t="n">
        <v>0.5682102628285357</v>
      </c>
      <c r="H483" t="n">
        <v>0.3391739674593242</v>
      </c>
      <c r="I483" t="n">
        <v>0.3142724314272431</v>
      </c>
      <c r="J483" t="n">
        <v>0.4258081784005926</v>
      </c>
      <c r="K483" t="n">
        <v>0.6677157174036119</v>
      </c>
      <c r="L483" t="b">
        <v>0</v>
      </c>
      <c r="N483" t="n">
        <v>68.04138339976907</v>
      </c>
      <c r="O483" t="n">
        <v>0</v>
      </c>
      <c r="P483" t="n">
        <v>0</v>
      </c>
      <c r="Q483" t="n">
        <v>0</v>
      </c>
      <c r="R483" t="n">
        <v>9.200906914083976</v>
      </c>
      <c r="S483" t="n">
        <v>2.332621082621087</v>
      </c>
      <c r="T483" t="n">
        <v>0.1602564102564062</v>
      </c>
      <c r="U483" t="n">
        <v>0.4574616457461645</v>
      </c>
      <c r="V483" t="n">
        <v>0.3486750348675035</v>
      </c>
      <c r="W483" t="n">
        <v>0.1366806136680614</v>
      </c>
      <c r="X483" t="n">
        <v>0.3006209432144339</v>
      </c>
      <c r="Y483" t="n">
        <v>6.4777574457467</v>
      </c>
      <c r="Z483" t="n">
        <v>0.4258081784005926</v>
      </c>
      <c r="AA483" t="n">
        <v>0</v>
      </c>
    </row>
    <row r="484">
      <c r="A484" t="inlineStr">
        <is>
          <t>2024-03-19</t>
        </is>
      </c>
      <c r="B484" t="inlineStr">
        <is>
          <t>CW</t>
        </is>
      </c>
      <c r="C484" t="inlineStr">
        <is>
          <t>09:17</t>
        </is>
      </c>
      <c r="D484" t="n">
        <v>13.46437594289183</v>
      </c>
      <c r="E484" t="n">
        <v>0.2777313073192734</v>
      </c>
      <c r="F484" t="n">
        <v>5.329972167896072</v>
      </c>
      <c r="G484" t="n">
        <v>0.4518147684605757</v>
      </c>
      <c r="H484" t="n">
        <v>0.178973717146433</v>
      </c>
      <c r="I484" t="n">
        <v>0.201301720130172</v>
      </c>
      <c r="J484" t="n">
        <v>0.2925757382688379</v>
      </c>
      <c r="K484" t="n">
        <v>0.6677157174036119</v>
      </c>
      <c r="L484" t="b">
        <v>0</v>
      </c>
      <c r="N484" t="n">
        <v>45.64897983834453</v>
      </c>
      <c r="O484" t="n">
        <v>0</v>
      </c>
      <c r="P484" t="n">
        <v>0</v>
      </c>
      <c r="Q484" t="n">
        <v>0</v>
      </c>
      <c r="R484" t="n">
        <v>6.504198164269334</v>
      </c>
      <c r="S484" t="n">
        <v>1.867049651210498</v>
      </c>
      <c r="T484" t="n">
        <v>0.1436192039392672</v>
      </c>
      <c r="U484" t="n">
        <v>0.2733612273361227</v>
      </c>
      <c r="V484" t="n">
        <v>0.2398884239888424</v>
      </c>
      <c r="W484" t="n">
        <v>0.09065550906555091</v>
      </c>
      <c r="X484" t="n">
        <v>0.2777313073192734</v>
      </c>
      <c r="Y484" t="n">
        <v>5.329972167896074</v>
      </c>
      <c r="Z484" t="n">
        <v>0.2925757382688379</v>
      </c>
      <c r="AA484" t="n">
        <v>0</v>
      </c>
    </row>
    <row r="485">
      <c r="A485" t="inlineStr">
        <is>
          <t>2024-03-20</t>
        </is>
      </c>
      <c r="B485" t="inlineStr">
        <is>
          <t>CW</t>
        </is>
      </c>
      <c r="C485" t="inlineStr">
        <is>
          <t>09:18</t>
        </is>
      </c>
      <c r="D485" t="n">
        <v>-0.5195163310006957</v>
      </c>
      <c r="E485" t="n">
        <v>0.3371890386828246</v>
      </c>
      <c r="F485" t="n">
        <v>8.496687676707928</v>
      </c>
      <c r="G485" t="n">
        <v>0.7697121401752191</v>
      </c>
      <c r="H485" t="n">
        <v>0.6007509386733417</v>
      </c>
      <c r="I485" t="n">
        <v>0.3091585309158531</v>
      </c>
      <c r="J485" t="n">
        <v>0.6100169377225949</v>
      </c>
      <c r="K485" t="n">
        <v>0.6677157174036119</v>
      </c>
      <c r="L485" t="b">
        <v>0</v>
      </c>
      <c r="N485" t="n">
        <v>32.18460389545271</v>
      </c>
      <c r="O485" t="n">
        <v>0</v>
      </c>
      <c r="P485" t="n">
        <v>1</v>
      </c>
      <c r="Q485" t="n">
        <v>0.5195163310006957</v>
      </c>
      <c r="R485" t="n">
        <v>5.484410562974744</v>
      </c>
      <c r="S485" t="n">
        <v>3.590010405827281</v>
      </c>
      <c r="T485" t="n">
        <v>0.182101977107177</v>
      </c>
      <c r="U485" t="n">
        <v>0.1673640167364017</v>
      </c>
      <c r="V485" t="n">
        <v>0.5397489539748954</v>
      </c>
      <c r="W485" t="n">
        <v>0.2203626220362622</v>
      </c>
      <c r="X485" t="n">
        <v>0.3371890386828245</v>
      </c>
      <c r="Y485" t="n">
        <v>8.496687676707928</v>
      </c>
      <c r="Z485" t="n">
        <v>0.6100169377225949</v>
      </c>
      <c r="AA485" t="n">
        <v>0</v>
      </c>
    </row>
    <row r="486">
      <c r="A486" t="inlineStr">
        <is>
          <t>2024-03-21</t>
        </is>
      </c>
      <c r="B486" t="inlineStr">
        <is>
          <t>NW</t>
        </is>
      </c>
      <c r="C486" t="inlineStr">
        <is>
          <t>NW</t>
        </is>
      </c>
      <c r="D486" t="n">
        <v>33.91893096974032</v>
      </c>
      <c r="E486" t="n">
        <v>0.3205642797401509</v>
      </c>
      <c r="F486" t="n">
        <v>8.801146867371301</v>
      </c>
      <c r="G486" t="n">
        <v>0.6733416770963705</v>
      </c>
      <c r="H486" t="n">
        <v>0.6508135168961201</v>
      </c>
      <c r="I486" t="n">
        <v>0.5</v>
      </c>
      <c r="J486" t="n">
        <v>0.6296620775969962</v>
      </c>
      <c r="K486" t="n">
        <v>0.6677157174036119</v>
      </c>
      <c r="L486" t="b">
        <v>0</v>
      </c>
      <c r="N486" t="n">
        <v>32.7041202264536</v>
      </c>
      <c r="O486" t="n">
        <v>1</v>
      </c>
      <c r="P486" t="n">
        <v>0</v>
      </c>
      <c r="Q486" t="n">
        <v>0</v>
      </c>
      <c r="U486" t="n">
        <v>0.5</v>
      </c>
      <c r="V486" t="n">
        <v>0.5</v>
      </c>
      <c r="W486" t="n">
        <v>0.5</v>
      </c>
      <c r="X486" t="n">
        <v>0.3205642797401509</v>
      </c>
      <c r="Y486" t="n">
        <v>8.801146867371301</v>
      </c>
      <c r="Z486" t="n">
        <v>0.6296620775969962</v>
      </c>
      <c r="AA486" t="n">
        <v>0</v>
      </c>
    </row>
    <row r="487">
      <c r="A487" t="inlineStr">
        <is>
          <t>2024-03-26</t>
        </is>
      </c>
      <c r="B487" t="inlineStr">
        <is>
          <t>CW</t>
        </is>
      </c>
      <c r="C487" t="inlineStr">
        <is>
          <t>09:17</t>
        </is>
      </c>
      <c r="D487" t="n">
        <v>48.46007971964961</v>
      </c>
      <c r="E487" t="n">
        <v>0.263071225830139</v>
      </c>
      <c r="F487" t="n">
        <v>5.352593163685651</v>
      </c>
      <c r="G487" t="n">
        <v>0.3541927409261577</v>
      </c>
      <c r="H487" t="n">
        <v>0.1827284105131414</v>
      </c>
      <c r="I487" t="n">
        <v>0.2905625290562529</v>
      </c>
      <c r="J487" t="n">
        <v>0.2728809663869702</v>
      </c>
      <c r="K487" t="n">
        <v>0.6677157174036119</v>
      </c>
      <c r="L487" t="b">
        <v>0</v>
      </c>
      <c r="N487" t="n">
        <v>0</v>
      </c>
      <c r="O487" t="n">
        <v>0</v>
      </c>
      <c r="P487" t="n">
        <v>0</v>
      </c>
      <c r="Q487" t="n">
        <v>0</v>
      </c>
      <c r="R487" t="n">
        <v>4.703466771589168</v>
      </c>
      <c r="S487" t="n">
        <v>3.091223519239073</v>
      </c>
      <c r="T487" t="n">
        <v>0.1945525291828806</v>
      </c>
      <c r="U487" t="n">
        <v>0.1143654114365411</v>
      </c>
      <c r="V487" t="n">
        <v>0.4769874476987448</v>
      </c>
      <c r="W487" t="n">
        <v>0.2803347280334728</v>
      </c>
      <c r="X487" t="n">
        <v>0.263071225830139</v>
      </c>
      <c r="Y487" t="n">
        <v>5.352593163685652</v>
      </c>
      <c r="Z487" t="n">
        <v>0.2728809663869702</v>
      </c>
      <c r="AA487" t="n">
        <v>5.551115123125783e-17</v>
      </c>
    </row>
    <row r="488">
      <c r="A488" t="inlineStr">
        <is>
          <t>2024-03-27</t>
        </is>
      </c>
      <c r="B488" t="inlineStr">
        <is>
          <t>CW</t>
        </is>
      </c>
      <c r="C488" t="inlineStr">
        <is>
          <t>09:17</t>
        </is>
      </c>
      <c r="D488" t="n">
        <v>36.57810382960984</v>
      </c>
      <c r="E488" t="n">
        <v>0.3026049592014209</v>
      </c>
      <c r="F488" t="n">
        <v>8.502600436536328</v>
      </c>
      <c r="G488" t="n">
        <v>0.5807259073842302</v>
      </c>
      <c r="H488" t="n">
        <v>0.60450563204005</v>
      </c>
      <c r="I488" t="n">
        <v>0.2552301255230126</v>
      </c>
      <c r="J488" t="n">
        <v>0.5251386408743146</v>
      </c>
      <c r="K488" t="n">
        <v>0.6677157174036119</v>
      </c>
      <c r="L488" t="b">
        <v>0</v>
      </c>
      <c r="N488" t="n">
        <v>0</v>
      </c>
      <c r="O488" t="n">
        <v>0</v>
      </c>
      <c r="P488" t="n">
        <v>0</v>
      </c>
      <c r="Q488" t="n">
        <v>0</v>
      </c>
      <c r="R488" t="n">
        <v>5.659245509388688</v>
      </c>
      <c r="S488" t="n">
        <v>1.994870333428328</v>
      </c>
      <c r="T488" t="n">
        <v>0.1994870333428214</v>
      </c>
      <c r="U488" t="n">
        <v>0.1841004184100418</v>
      </c>
      <c r="V488" t="n">
        <v>0.2677824267782427</v>
      </c>
      <c r="W488" t="n">
        <v>0.3138075313807531</v>
      </c>
      <c r="X488" t="n">
        <v>0.3026049592014209</v>
      </c>
      <c r="Y488" t="n">
        <v>8.502600436536326</v>
      </c>
      <c r="Z488" t="n">
        <v>0.5251386408743146</v>
      </c>
      <c r="AA488" t="n">
        <v>0</v>
      </c>
    </row>
    <row r="489">
      <c r="A489" t="inlineStr">
        <is>
          <t>2024-03-28</t>
        </is>
      </c>
      <c r="B489" t="inlineStr">
        <is>
          <t>CW</t>
        </is>
      </c>
      <c r="C489" t="inlineStr">
        <is>
          <t>09:20+</t>
        </is>
      </c>
      <c r="D489" t="n">
        <v>-29.72280814209552</v>
      </c>
      <c r="E489" t="n">
        <v>0.3314393169371804</v>
      </c>
      <c r="F489" t="n">
        <v>11.13056678574005</v>
      </c>
      <c r="G489" t="n">
        <v>0.7421777221526908</v>
      </c>
      <c r="H489" t="n">
        <v>0.8898623279098874</v>
      </c>
      <c r="I489" t="n">
        <v>0.502556950255695</v>
      </c>
      <c r="J489" t="n">
        <v>0.7533274100761702</v>
      </c>
      <c r="K489" t="n">
        <v>0.6677157174036119</v>
      </c>
      <c r="L489" t="b">
        <v>1</v>
      </c>
      <c r="M489" t="inlineStr">
        <is>
          <t>top_quartile_risk</t>
        </is>
      </c>
      <c r="N489" t="n">
        <v>0</v>
      </c>
      <c r="O489" t="n">
        <v>0</v>
      </c>
      <c r="P489" t="n">
        <v>1</v>
      </c>
      <c r="Q489" t="n">
        <v>29.72280814209552</v>
      </c>
      <c r="R489" t="n">
        <v>12.99679113708315</v>
      </c>
      <c r="S489" t="n">
        <v>9.120521172638448</v>
      </c>
      <c r="T489" t="n">
        <v>0.0930665425779445</v>
      </c>
      <c r="U489" t="n">
        <v>0.6415620641562064</v>
      </c>
      <c r="V489" t="n">
        <v>0.8521617852161785</v>
      </c>
      <c r="W489" t="n">
        <v>0.01394700139470014</v>
      </c>
      <c r="X489" t="n">
        <v>0.3314393169371804</v>
      </c>
      <c r="Y489" t="n">
        <v>11.13056678574005</v>
      </c>
      <c r="Z489" t="n">
        <v>0.7533274100761702</v>
      </c>
      <c r="AA489" t="n">
        <v>0</v>
      </c>
    </row>
    <row r="490">
      <c r="A490" t="inlineStr">
        <is>
          <t>2024-04-01</t>
        </is>
      </c>
      <c r="B490" t="inlineStr">
        <is>
          <t>CW</t>
        </is>
      </c>
      <c r="C490" t="inlineStr">
        <is>
          <t>09:17</t>
        </is>
      </c>
      <c r="D490" t="n">
        <v>38.33961197115372</v>
      </c>
      <c r="E490" t="n">
        <v>0.2641481602461054</v>
      </c>
      <c r="F490" t="n">
        <v>7.567715144807412</v>
      </c>
      <c r="G490" t="n">
        <v>0.360450563204005</v>
      </c>
      <c r="H490" t="n">
        <v>0.4918648310387985</v>
      </c>
      <c r="I490" t="n">
        <v>0.5406787540678754</v>
      </c>
      <c r="J490" t="n">
        <v>0.4490619085106965</v>
      </c>
      <c r="K490" t="n">
        <v>0.6677157174036119</v>
      </c>
      <c r="L490" t="b">
        <v>0</v>
      </c>
      <c r="N490" t="n">
        <v>29.72280814209535</v>
      </c>
      <c r="O490" t="n">
        <v>1</v>
      </c>
      <c r="P490" t="n">
        <v>0</v>
      </c>
      <c r="Q490" t="n">
        <v>0</v>
      </c>
      <c r="R490" t="n">
        <v>11.15915128207913</v>
      </c>
      <c r="S490" t="n">
        <v>3.811357074109723</v>
      </c>
      <c r="T490" t="n">
        <v>0.2309913378248403</v>
      </c>
      <c r="U490" t="n">
        <v>0.5481171548117155</v>
      </c>
      <c r="V490" t="n">
        <v>0.5704323570432357</v>
      </c>
      <c r="W490" t="n">
        <v>0.5034867503486751</v>
      </c>
      <c r="X490" t="n">
        <v>0.2641481602461054</v>
      </c>
      <c r="Y490" t="n">
        <v>7.567715144807411</v>
      </c>
      <c r="Z490" t="n">
        <v>0.4490619085106965</v>
      </c>
      <c r="AA490" t="n">
        <v>0</v>
      </c>
    </row>
    <row r="491">
      <c r="A491" t="inlineStr">
        <is>
          <t>2024-04-02</t>
        </is>
      </c>
      <c r="B491" t="inlineStr">
        <is>
          <t>CW</t>
        </is>
      </c>
      <c r="C491" t="inlineStr">
        <is>
          <t>09:17</t>
        </is>
      </c>
      <c r="D491" t="n">
        <v>15.29948764606487</v>
      </c>
      <c r="E491" t="n">
        <v>0.2284179865830445</v>
      </c>
      <c r="F491" t="n">
        <v>3.843955605665599</v>
      </c>
      <c r="G491" t="n">
        <v>0.1677096370463079</v>
      </c>
      <c r="H491" t="n">
        <v>0.04505632040050062</v>
      </c>
      <c r="I491" t="n">
        <v>0.4179451417945142</v>
      </c>
      <c r="J491" t="n">
        <v>0.1686954113376263</v>
      </c>
      <c r="K491" t="n">
        <v>0.6677157174036119</v>
      </c>
      <c r="L491" t="b">
        <v>0</v>
      </c>
      <c r="N491" t="n">
        <v>0</v>
      </c>
      <c r="O491" t="n">
        <v>0</v>
      </c>
      <c r="P491" t="n">
        <v>0</v>
      </c>
      <c r="Q491" t="n">
        <v>0</v>
      </c>
      <c r="R491" t="n">
        <v>6.440742936355087</v>
      </c>
      <c r="S491" t="n">
        <v>2.241715399610134</v>
      </c>
      <c r="T491" t="n">
        <v>0.2680311890838193</v>
      </c>
      <c r="U491" t="n">
        <v>0.2719665271966527</v>
      </c>
      <c r="V491" t="n">
        <v>0.3207810320781032</v>
      </c>
      <c r="W491" t="n">
        <v>0.6610878661087866</v>
      </c>
      <c r="X491" t="n">
        <v>0.2284179865830445</v>
      </c>
      <c r="Y491" t="n">
        <v>3.843955605665597</v>
      </c>
      <c r="Z491" t="n">
        <v>0.1686954113376263</v>
      </c>
      <c r="AA491" t="n">
        <v>-2.775557561562891e-17</v>
      </c>
    </row>
    <row r="492">
      <c r="A492" t="inlineStr">
        <is>
          <t>2024-04-03</t>
        </is>
      </c>
      <c r="B492" t="inlineStr">
        <is>
          <t>CW</t>
        </is>
      </c>
      <c r="C492" t="inlineStr">
        <is>
          <t>09:17</t>
        </is>
      </c>
      <c r="D492" t="n">
        <v>18.7769110128508</v>
      </c>
      <c r="E492" t="n">
        <v>0.2893289871357088</v>
      </c>
      <c r="F492" t="n">
        <v>6.577298699538858</v>
      </c>
      <c r="G492" t="n">
        <v>0.5206508135168961</v>
      </c>
      <c r="H492" t="n">
        <v>0.3591989987484355</v>
      </c>
      <c r="I492" t="n">
        <v>0.2375639237563924</v>
      </c>
      <c r="J492" t="n">
        <v>0.3994527096574111</v>
      </c>
      <c r="K492" t="n">
        <v>0.6677157174036119</v>
      </c>
      <c r="L492" t="b">
        <v>0</v>
      </c>
      <c r="N492" t="n">
        <v>0</v>
      </c>
      <c r="O492" t="n">
        <v>0</v>
      </c>
      <c r="P492" t="n">
        <v>0</v>
      </c>
      <c r="Q492" t="n">
        <v>0</v>
      </c>
      <c r="R492" t="n">
        <v>5.123615616959716</v>
      </c>
      <c r="S492" t="n">
        <v>2.75376240794109</v>
      </c>
      <c r="T492" t="n">
        <v>0.1601024655779699</v>
      </c>
      <c r="U492" t="n">
        <v>0.1422594142259414</v>
      </c>
      <c r="V492" t="n">
        <v>0.4351464435146444</v>
      </c>
      <c r="W492" t="n">
        <v>0.1352859135285913</v>
      </c>
      <c r="X492" t="n">
        <v>0.2893289871357087</v>
      </c>
      <c r="Y492" t="n">
        <v>6.577298699538855</v>
      </c>
      <c r="Z492" t="n">
        <v>0.3994527096574111</v>
      </c>
      <c r="AA492" t="n">
        <v>5.551115123125783e-17</v>
      </c>
    </row>
    <row r="493">
      <c r="A493" t="inlineStr">
        <is>
          <t>2024-04-05</t>
        </is>
      </c>
      <c r="B493" t="inlineStr">
        <is>
          <t>CW</t>
        </is>
      </c>
      <c r="C493" t="inlineStr">
        <is>
          <t>09:16</t>
        </is>
      </c>
      <c r="D493" t="n">
        <v>25.38465254399163</v>
      </c>
      <c r="E493" t="n">
        <v>0.1332354659548585</v>
      </c>
      <c r="F493" t="n">
        <v>2.369340819001013</v>
      </c>
      <c r="G493" t="n">
        <v>0.008760951188986232</v>
      </c>
      <c r="H493" t="n">
        <v>0.01251564455569462</v>
      </c>
      <c r="I493" t="n">
        <v>0.7838214783821479</v>
      </c>
      <c r="J493" t="n">
        <v>0.1652749339743019</v>
      </c>
      <c r="K493" t="n">
        <v>0.6677157174036119</v>
      </c>
      <c r="L493" t="b">
        <v>0</v>
      </c>
      <c r="N493" t="n">
        <v>0</v>
      </c>
      <c r="O493" t="n">
        <v>0</v>
      </c>
      <c r="P493" t="n">
        <v>0</v>
      </c>
      <c r="Q493" t="n">
        <v>0</v>
      </c>
      <c r="R493" t="n">
        <v>45.77295545982224</v>
      </c>
      <c r="S493" t="n">
        <v>10.06493506493507</v>
      </c>
      <c r="T493" t="n">
        <v>0.2291825821237564</v>
      </c>
      <c r="U493" t="n">
        <v>0.9707112970711297</v>
      </c>
      <c r="V493" t="n">
        <v>0.8842398884239888</v>
      </c>
      <c r="W493" t="n">
        <v>0.496513249651325</v>
      </c>
      <c r="X493" t="n">
        <v>0.1332354659548585</v>
      </c>
      <c r="Y493" t="n">
        <v>2.369340819001011</v>
      </c>
      <c r="Z493" t="n">
        <v>0.1652749339743019</v>
      </c>
      <c r="AA493" t="n">
        <v>2.775557561562891e-17</v>
      </c>
    </row>
    <row r="494">
      <c r="A494" t="inlineStr">
        <is>
          <t>2024-04-08</t>
        </is>
      </c>
      <c r="B494" t="inlineStr">
        <is>
          <t>CW</t>
        </is>
      </c>
      <c r="C494" t="inlineStr">
        <is>
          <t>09:17</t>
        </is>
      </c>
      <c r="D494" t="n">
        <v>11.53593830422715</v>
      </c>
      <c r="E494" t="n">
        <v>0.2835386343645117</v>
      </c>
      <c r="F494" t="n">
        <v>8.227105742800365</v>
      </c>
      <c r="G494" t="n">
        <v>0.4780976220275344</v>
      </c>
      <c r="H494" t="n">
        <v>0.5707133917396746</v>
      </c>
      <c r="I494" t="n">
        <v>0.3045095304509531</v>
      </c>
      <c r="J494" t="n">
        <v>0.4804263115970743</v>
      </c>
      <c r="K494" t="n">
        <v>0.6677157174036119</v>
      </c>
      <c r="L494" t="b">
        <v>0</v>
      </c>
      <c r="N494" t="n">
        <v>0</v>
      </c>
      <c r="O494" t="n">
        <v>0</v>
      </c>
      <c r="P494" t="n">
        <v>0</v>
      </c>
      <c r="Q494" t="n">
        <v>0</v>
      </c>
      <c r="R494" t="n">
        <v>5.932327198835428</v>
      </c>
      <c r="S494" t="n">
        <v>1.616737993342833</v>
      </c>
      <c r="T494" t="n">
        <v>0.2377555872563005</v>
      </c>
      <c r="U494" t="n">
        <v>0.2203626220362622</v>
      </c>
      <c r="V494" t="n">
        <v>0.1631799163179916</v>
      </c>
      <c r="W494" t="n">
        <v>0.5299860529986054</v>
      </c>
      <c r="X494" t="n">
        <v>0.2835386343645117</v>
      </c>
      <c r="Y494" t="n">
        <v>8.227105742800363</v>
      </c>
      <c r="Z494" t="n">
        <v>0.4804263115970743</v>
      </c>
      <c r="AA494" t="n">
        <v>0</v>
      </c>
    </row>
    <row r="495">
      <c r="A495" t="inlineStr">
        <is>
          <t>2024-04-09</t>
        </is>
      </c>
      <c r="B495" t="inlineStr">
        <is>
          <t>CW</t>
        </is>
      </c>
      <c r="C495" t="inlineStr">
        <is>
          <t>09:19</t>
        </is>
      </c>
      <c r="D495" t="n">
        <v>27.02212188488333</v>
      </c>
      <c r="E495" t="n">
        <v>0.3362782925725834</v>
      </c>
      <c r="F495" t="n">
        <v>8.934771146978427</v>
      </c>
      <c r="G495" t="n">
        <v>0.7634543178973717</v>
      </c>
      <c r="H495" t="n">
        <v>0.6708385481852316</v>
      </c>
      <c r="I495" t="n">
        <v>0.2817294281729428</v>
      </c>
      <c r="J495" t="n">
        <v>0.6300630320676299</v>
      </c>
      <c r="K495" t="n">
        <v>0.6677157174036119</v>
      </c>
      <c r="L495" t="b">
        <v>0</v>
      </c>
      <c r="N495" t="n">
        <v>0</v>
      </c>
      <c r="O495" t="n">
        <v>0</v>
      </c>
      <c r="P495" t="n">
        <v>0</v>
      </c>
      <c r="Q495" t="n">
        <v>0</v>
      </c>
      <c r="R495" t="n">
        <v>6.16473945169046</v>
      </c>
      <c r="S495" t="n">
        <v>1.697007096575131</v>
      </c>
      <c r="T495" t="n">
        <v>0.2159827213822946</v>
      </c>
      <c r="U495" t="n">
        <v>0.2343096234309623</v>
      </c>
      <c r="V495" t="n">
        <v>0.1910739191073919</v>
      </c>
      <c r="W495" t="n">
        <v>0.4198047419804742</v>
      </c>
      <c r="X495" t="n">
        <v>0.3362782925725834</v>
      </c>
      <c r="Y495" t="n">
        <v>8.934771146978427</v>
      </c>
      <c r="Z495" t="n">
        <v>0.6300630320676299</v>
      </c>
      <c r="AA495" t="n">
        <v>0</v>
      </c>
    </row>
    <row r="496">
      <c r="A496" t="inlineStr">
        <is>
          <t>2024-04-12</t>
        </is>
      </c>
      <c r="B496" t="inlineStr">
        <is>
          <t>CW</t>
        </is>
      </c>
      <c r="C496" t="inlineStr">
        <is>
          <t>09:17</t>
        </is>
      </c>
      <c r="D496" t="n">
        <v>26.3556859147595</v>
      </c>
      <c r="E496" t="n">
        <v>0.2647597591880797</v>
      </c>
      <c r="F496" t="n">
        <v>6.549260134199981</v>
      </c>
      <c r="G496" t="n">
        <v>0.3667083854818523</v>
      </c>
      <c r="H496" t="n">
        <v>0.3491864831038798</v>
      </c>
      <c r="I496" t="n">
        <v>0.2594142259414227</v>
      </c>
      <c r="J496" t="n">
        <v>0.3382407926225774</v>
      </c>
      <c r="K496" t="n">
        <v>0.6677157174036119</v>
      </c>
      <c r="L496" t="b">
        <v>0</v>
      </c>
      <c r="N496" t="n">
        <v>0</v>
      </c>
      <c r="O496" t="n">
        <v>0</v>
      </c>
      <c r="P496" t="n">
        <v>0</v>
      </c>
      <c r="Q496" t="n">
        <v>0</v>
      </c>
      <c r="R496" t="n">
        <v>6.893726488647516</v>
      </c>
      <c r="S496" t="n">
        <v>2.132520944402141</v>
      </c>
      <c r="T496" t="n">
        <v>0.171363290175167</v>
      </c>
      <c r="U496" t="n">
        <v>0.302649930264993</v>
      </c>
      <c r="V496" t="n">
        <v>0.301255230125523</v>
      </c>
      <c r="W496" t="n">
        <v>0.1743375174337518</v>
      </c>
      <c r="X496" t="n">
        <v>0.2647597591880797</v>
      </c>
      <c r="Y496" t="n">
        <v>6.549260134199979</v>
      </c>
      <c r="Z496" t="n">
        <v>0.3382407926225774</v>
      </c>
      <c r="AA496" t="n">
        <v>5.551115123125783e-17</v>
      </c>
    </row>
    <row r="497">
      <c r="A497" t="inlineStr">
        <is>
          <t>2024-04-15</t>
        </is>
      </c>
      <c r="B497" t="inlineStr">
        <is>
          <t>CW</t>
        </is>
      </c>
      <c r="C497" t="inlineStr">
        <is>
          <t>09:18</t>
        </is>
      </c>
      <c r="D497" t="n">
        <v>29.36508940016193</v>
      </c>
      <c r="E497" t="n">
        <v>0.3421263454171561</v>
      </c>
      <c r="F497" t="n">
        <v>6.505704159379907</v>
      </c>
      <c r="G497" t="n">
        <v>0.7909887359198998</v>
      </c>
      <c r="H497" t="n">
        <v>0.3429286608260325</v>
      </c>
      <c r="I497" t="n">
        <v>0.4142259414225942</v>
      </c>
      <c r="J497" t="n">
        <v>0.5364121469828917</v>
      </c>
      <c r="K497" t="n">
        <v>0.6677157174036119</v>
      </c>
      <c r="L497" t="b">
        <v>0</v>
      </c>
      <c r="N497" t="n">
        <v>0</v>
      </c>
      <c r="O497" t="n">
        <v>0</v>
      </c>
      <c r="P497" t="n">
        <v>0</v>
      </c>
      <c r="Q497" t="n">
        <v>0</v>
      </c>
      <c r="R497" t="n">
        <v>6.631906840690068</v>
      </c>
      <c r="S497" t="n">
        <v>3.616813294232649</v>
      </c>
      <c r="T497" t="n">
        <v>0.2150537634408647</v>
      </c>
      <c r="U497" t="n">
        <v>0.2859135285913529</v>
      </c>
      <c r="V497" t="n">
        <v>0.5439330543933054</v>
      </c>
      <c r="W497" t="n">
        <v>0.4128312412831242</v>
      </c>
      <c r="X497" t="n">
        <v>0.3421263454171561</v>
      </c>
      <c r="Y497" t="n">
        <v>6.505704159379905</v>
      </c>
      <c r="Z497" t="n">
        <v>0.5364121469828917</v>
      </c>
      <c r="AA497" t="n">
        <v>0</v>
      </c>
    </row>
    <row r="498">
      <c r="A498" t="inlineStr">
        <is>
          <t>2024-04-25</t>
        </is>
      </c>
      <c r="B498" t="inlineStr">
        <is>
          <t>CW</t>
        </is>
      </c>
      <c r="C498" t="inlineStr">
        <is>
          <t>09:20+</t>
        </is>
      </c>
      <c r="D498" t="n">
        <v>-39.84290146600426</v>
      </c>
      <c r="E498" t="n">
        <v>0.249752044689011</v>
      </c>
      <c r="F498" t="n">
        <v>8.708784321796601</v>
      </c>
      <c r="G498" t="n">
        <v>0.2653316645807259</v>
      </c>
      <c r="H498" t="n">
        <v>0.6345431789737171</v>
      </c>
      <c r="I498" t="n">
        <v>0.8442584844258484</v>
      </c>
      <c r="J498" t="n">
        <v>0.5288016343069469</v>
      </c>
      <c r="K498" t="n">
        <v>0.6677157174036119</v>
      </c>
      <c r="L498" t="b">
        <v>0</v>
      </c>
      <c r="N498" t="n">
        <v>0</v>
      </c>
      <c r="O498" t="n">
        <v>0</v>
      </c>
      <c r="P498" t="n">
        <v>1</v>
      </c>
      <c r="Q498" t="n">
        <v>39.84290146600426</v>
      </c>
      <c r="R498" t="n">
        <v>13.74482892716419</v>
      </c>
      <c r="S498" t="n">
        <v>28.99252089749229</v>
      </c>
      <c r="T498" t="n">
        <v>0.3959524857017057</v>
      </c>
      <c r="U498" t="n">
        <v>0.6708507670850767</v>
      </c>
      <c r="V498" t="n">
        <v>0.9846582984658299</v>
      </c>
      <c r="W498" t="n">
        <v>0.8772663877266388</v>
      </c>
      <c r="X498" t="n">
        <v>0.249752044689011</v>
      </c>
      <c r="Y498" t="n">
        <v>8.708784321796596</v>
      </c>
      <c r="Z498" t="n">
        <v>0.5288016343069469</v>
      </c>
      <c r="AA498" t="n">
        <v>0</v>
      </c>
    </row>
    <row r="499">
      <c r="A499" t="inlineStr">
        <is>
          <t>2024-04-29</t>
        </is>
      </c>
      <c r="B499" t="inlineStr">
        <is>
          <t>CW</t>
        </is>
      </c>
      <c r="C499" t="inlineStr">
        <is>
          <t>09:17</t>
        </is>
      </c>
      <c r="D499" t="n">
        <v>7.053598651473434</v>
      </c>
      <c r="E499" t="n">
        <v>0.2920789552913391</v>
      </c>
      <c r="F499" t="n">
        <v>8.205113678426116</v>
      </c>
      <c r="G499" t="n">
        <v>0.5356695869837297</v>
      </c>
      <c r="H499" t="n">
        <v>0.5657071339173968</v>
      </c>
      <c r="I499" t="n">
        <v>0.1757322175732217</v>
      </c>
      <c r="J499" t="n">
        <v>0.475697131875095</v>
      </c>
      <c r="K499" t="n">
        <v>0.6677157174036119</v>
      </c>
      <c r="L499" t="b">
        <v>0</v>
      </c>
      <c r="N499" t="n">
        <v>39.84290146600415</v>
      </c>
      <c r="O499" t="n">
        <v>1</v>
      </c>
      <c r="P499" t="n">
        <v>0</v>
      </c>
      <c r="Q499" t="n">
        <v>0</v>
      </c>
      <c r="R499" t="n">
        <v>3.637460520247509</v>
      </c>
      <c r="S499" t="n">
        <v>1.692708333333348</v>
      </c>
      <c r="T499" t="n">
        <v>0.1953125000000012</v>
      </c>
      <c r="U499" t="n">
        <v>0.0502092050209205</v>
      </c>
      <c r="V499" t="n">
        <v>0.1882845188284519</v>
      </c>
      <c r="W499" t="n">
        <v>0.2887029288702929</v>
      </c>
      <c r="X499" t="n">
        <v>0.2920789552913391</v>
      </c>
      <c r="Y499" t="n">
        <v>8.205113678426118</v>
      </c>
      <c r="Z499" t="n">
        <v>0.475697131875095</v>
      </c>
      <c r="AA499" t="n">
        <v>0</v>
      </c>
    </row>
    <row r="500">
      <c r="A500" t="inlineStr">
        <is>
          <t>2024-05-02</t>
        </is>
      </c>
      <c r="B500" t="inlineStr">
        <is>
          <t>CW</t>
        </is>
      </c>
      <c r="C500" t="inlineStr">
        <is>
          <t>09:16</t>
        </is>
      </c>
      <c r="D500" t="n">
        <v>57.8206747207703</v>
      </c>
      <c r="E500" t="n">
        <v>0.1882035143800034</v>
      </c>
      <c r="F500" t="n">
        <v>6.744069025887089</v>
      </c>
      <c r="G500" t="n">
        <v>0.08135168961201501</v>
      </c>
      <c r="H500" t="n">
        <v>0.3854818523153942</v>
      </c>
      <c r="I500" t="n">
        <v>0.8372849837284985</v>
      </c>
      <c r="J500" t="n">
        <v>0.3541904135166634</v>
      </c>
      <c r="K500" t="n">
        <v>0.6677157174036119</v>
      </c>
      <c r="L500" t="b">
        <v>0</v>
      </c>
      <c r="N500" t="n">
        <v>32.78930281453086</v>
      </c>
      <c r="O500" t="n">
        <v>0</v>
      </c>
      <c r="P500" t="n">
        <v>0</v>
      </c>
      <c r="Q500" t="n">
        <v>0</v>
      </c>
      <c r="R500" t="n">
        <v>27.40493156483607</v>
      </c>
      <c r="S500" t="n">
        <v>21.22713414634146</v>
      </c>
      <c r="T500" t="n">
        <v>0.2667682926829333</v>
      </c>
      <c r="U500" t="n">
        <v>0.8926080892608089</v>
      </c>
      <c r="V500" t="n">
        <v>0.9637377963737797</v>
      </c>
      <c r="W500" t="n">
        <v>0.6555090655509066</v>
      </c>
      <c r="X500" t="n">
        <v>0.1882035143800034</v>
      </c>
      <c r="Y500" t="n">
        <v>6.744069025887089</v>
      </c>
      <c r="Z500" t="n">
        <v>0.3541904135166634</v>
      </c>
      <c r="AA500" t="n">
        <v>0</v>
      </c>
    </row>
    <row r="501">
      <c r="A501" t="inlineStr">
        <is>
          <t>2024-05-07</t>
        </is>
      </c>
      <c r="B501" t="inlineStr">
        <is>
          <t>CW</t>
        </is>
      </c>
      <c r="C501" t="inlineStr">
        <is>
          <t>09:17</t>
        </is>
      </c>
      <c r="D501" t="n">
        <v>-36.40265097202184</v>
      </c>
      <c r="E501" t="n">
        <v>0.2769008820388281</v>
      </c>
      <c r="F501" t="n">
        <v>7.567358801972855</v>
      </c>
      <c r="G501" t="n">
        <v>0.4430538172715895</v>
      </c>
      <c r="H501" t="n">
        <v>0.490613266583229</v>
      </c>
      <c r="I501" t="n">
        <v>0.3830776383077638</v>
      </c>
      <c r="J501" t="n">
        <v>0.4500823612034802</v>
      </c>
      <c r="K501" t="n">
        <v>0.6677157174036119</v>
      </c>
      <c r="L501" t="b">
        <v>0</v>
      </c>
      <c r="N501" t="n">
        <v>0</v>
      </c>
      <c r="O501" t="n">
        <v>0</v>
      </c>
      <c r="P501" t="n">
        <v>1</v>
      </c>
      <c r="Q501" t="n">
        <v>36.40265097202184</v>
      </c>
      <c r="R501" t="n">
        <v>7.604123124537991</v>
      </c>
      <c r="S501" t="n">
        <v>3.636363636363641</v>
      </c>
      <c r="T501" t="n">
        <v>0.1859504132231416</v>
      </c>
      <c r="U501" t="n">
        <v>0.3598326359832636</v>
      </c>
      <c r="V501" t="n">
        <v>0.5509065550906556</v>
      </c>
      <c r="W501" t="n">
        <v>0.2384937238493724</v>
      </c>
      <c r="X501" t="n">
        <v>0.2769008820388281</v>
      </c>
      <c r="Y501" t="n">
        <v>7.567358801972855</v>
      </c>
      <c r="Z501" t="n">
        <v>0.4500823612034802</v>
      </c>
      <c r="AA501" t="n">
        <v>0</v>
      </c>
    </row>
    <row r="502">
      <c r="A502" t="inlineStr">
        <is>
          <t>2024-05-08</t>
        </is>
      </c>
      <c r="B502" t="inlineStr">
        <is>
          <t>CW</t>
        </is>
      </c>
      <c r="C502" t="inlineStr">
        <is>
          <t>09:17</t>
        </is>
      </c>
      <c r="D502" t="n">
        <v>4.550292535857943</v>
      </c>
      <c r="E502" t="n">
        <v>0.298227231598119</v>
      </c>
      <c r="F502" t="n">
        <v>8.987762487078859</v>
      </c>
      <c r="G502" t="n">
        <v>0.55819774718398</v>
      </c>
      <c r="H502" t="n">
        <v>0.6833541927409261</v>
      </c>
      <c r="I502" t="n">
        <v>0.5099953509995351</v>
      </c>
      <c r="J502" t="n">
        <v>0.5986198461698695</v>
      </c>
      <c r="K502" t="n">
        <v>0.6677157174036119</v>
      </c>
      <c r="L502" t="b">
        <v>0</v>
      </c>
      <c r="N502" t="n">
        <v>36.40265097202155</v>
      </c>
      <c r="O502" t="n">
        <v>1</v>
      </c>
      <c r="P502" t="n">
        <v>0</v>
      </c>
      <c r="Q502" t="n">
        <v>0</v>
      </c>
      <c r="R502" t="n">
        <v>10.53783488023247</v>
      </c>
      <c r="S502" t="n">
        <v>4.238875878220146</v>
      </c>
      <c r="T502" t="n">
        <v>0.2107728337236547</v>
      </c>
      <c r="U502" t="n">
        <v>0.5299860529986054</v>
      </c>
      <c r="V502" t="n">
        <v>0.6150627615062761</v>
      </c>
      <c r="W502" t="n">
        <v>0.3849372384937239</v>
      </c>
      <c r="X502" t="n">
        <v>0.298227231598119</v>
      </c>
      <c r="Y502" t="n">
        <v>8.987762487078857</v>
      </c>
      <c r="Z502" t="n">
        <v>0.5986198461698695</v>
      </c>
      <c r="AA502" t="n">
        <v>0</v>
      </c>
    </row>
    <row r="503">
      <c r="A503" t="inlineStr">
        <is>
          <t>2024-05-09</t>
        </is>
      </c>
      <c r="B503" t="inlineStr">
        <is>
          <t>CW</t>
        </is>
      </c>
      <c r="C503" t="inlineStr">
        <is>
          <t>09:16</t>
        </is>
      </c>
      <c r="D503" t="n">
        <v>-10.46319981444824</v>
      </c>
      <c r="E503" t="n">
        <v>0.3112716927714226</v>
      </c>
      <c r="F503" t="n">
        <v>10.00249661029619</v>
      </c>
      <c r="G503" t="n">
        <v>0.6220275344180225</v>
      </c>
      <c r="H503" t="n">
        <v>0.7909887359198998</v>
      </c>
      <c r="I503" t="n">
        <v>0.6206415620641562</v>
      </c>
      <c r="J503" t="n">
        <v>0.6893348205480002</v>
      </c>
      <c r="K503" t="n">
        <v>0.6677157174036119</v>
      </c>
      <c r="L503" t="b">
        <v>1</v>
      </c>
      <c r="M503" t="inlineStr">
        <is>
          <t>top_quartile_risk</t>
        </is>
      </c>
      <c r="N503" t="n">
        <v>31.85235843616374</v>
      </c>
      <c r="O503" t="n">
        <v>0</v>
      </c>
      <c r="P503" t="n">
        <v>1</v>
      </c>
      <c r="Q503" t="n">
        <v>10.46319981444824</v>
      </c>
      <c r="R503" t="n">
        <v>20.17683878257438</v>
      </c>
      <c r="S503" t="n">
        <v>8.974358974358996</v>
      </c>
      <c r="T503" t="n">
        <v>0.1831501831501831</v>
      </c>
      <c r="U503" t="n">
        <v>0.7907949790794979</v>
      </c>
      <c r="V503" t="n">
        <v>0.8451882845188284</v>
      </c>
      <c r="W503" t="n">
        <v>0.2259414225941423</v>
      </c>
      <c r="X503" t="n">
        <v>0.3112716927714226</v>
      </c>
      <c r="Y503" t="n">
        <v>10.00249661029619</v>
      </c>
      <c r="Z503" t="n">
        <v>0.6893348205480002</v>
      </c>
      <c r="AA503" t="n">
        <v>0</v>
      </c>
    </row>
    <row r="504">
      <c r="A504" t="inlineStr">
        <is>
          <t>2024-05-13</t>
        </is>
      </c>
      <c r="B504" t="inlineStr">
        <is>
          <t>CW</t>
        </is>
      </c>
      <c r="C504" t="inlineStr">
        <is>
          <t>09:17</t>
        </is>
      </c>
      <c r="D504" t="n">
        <v>6.363037328620813</v>
      </c>
      <c r="E504" t="n">
        <v>0.3306005642523629</v>
      </c>
      <c r="F504" t="n">
        <v>8.386694092103289</v>
      </c>
      <c r="G504" t="n">
        <v>0.7384230287859824</v>
      </c>
      <c r="H504" t="n">
        <v>0.5919899874843555</v>
      </c>
      <c r="I504" t="n">
        <v>0.3110181311018131</v>
      </c>
      <c r="J504" t="n">
        <v>0.5943688327284978</v>
      </c>
      <c r="K504" t="n">
        <v>0.6677157174036119</v>
      </c>
      <c r="L504" t="b">
        <v>0</v>
      </c>
      <c r="N504" t="n">
        <v>42.31555825061241</v>
      </c>
      <c r="O504" t="n">
        <v>1</v>
      </c>
      <c r="P504" t="n">
        <v>0</v>
      </c>
      <c r="Q504" t="n">
        <v>0</v>
      </c>
      <c r="R504" t="n">
        <v>7.975496366719645</v>
      </c>
      <c r="S504" t="n">
        <v>2.761044176706847</v>
      </c>
      <c r="T504" t="n">
        <v>0.1506024096385504</v>
      </c>
      <c r="U504" t="n">
        <v>0.3877266387726639</v>
      </c>
      <c r="V504" t="n">
        <v>0.4379358437935844</v>
      </c>
      <c r="W504" t="n">
        <v>0.1073919107391911</v>
      </c>
      <c r="X504" t="n">
        <v>0.3306005642523629</v>
      </c>
      <c r="Y504" t="n">
        <v>8.386694092103287</v>
      </c>
      <c r="Z504" t="n">
        <v>0.5943688327284978</v>
      </c>
      <c r="AA504" t="n">
        <v>0</v>
      </c>
    </row>
    <row r="505">
      <c r="A505" t="inlineStr">
        <is>
          <t>2024-05-14</t>
        </is>
      </c>
      <c r="B505" t="inlineStr">
        <is>
          <t>CW</t>
        </is>
      </c>
      <c r="C505" t="inlineStr">
        <is>
          <t>09:17</t>
        </is>
      </c>
      <c r="D505" t="n">
        <v>17.14225246686782</v>
      </c>
      <c r="E505" t="n">
        <v>0.2512684604403172</v>
      </c>
      <c r="F505" t="n">
        <v>5.823868152882596</v>
      </c>
      <c r="G505" t="n">
        <v>0.2740926157697122</v>
      </c>
      <c r="H505" t="n">
        <v>0.2428035043804756</v>
      </c>
      <c r="I505" t="n">
        <v>0.2775453277545328</v>
      </c>
      <c r="J505" t="n">
        <v>0.2622675136109817</v>
      </c>
      <c r="K505" t="n">
        <v>0.6677157174036119</v>
      </c>
      <c r="L505" t="b">
        <v>0</v>
      </c>
      <c r="N505" t="n">
        <v>35.95252092199189</v>
      </c>
      <c r="O505" t="n">
        <v>0</v>
      </c>
      <c r="P505" t="n">
        <v>0</v>
      </c>
      <c r="Q505" t="n">
        <v>0</v>
      </c>
      <c r="R505" t="n">
        <v>7.305310103650052</v>
      </c>
      <c r="S505" t="n">
        <v>1.230304338441624</v>
      </c>
      <c r="T505" t="n">
        <v>0.2158428663932657</v>
      </c>
      <c r="U505" t="n">
        <v>0.3361227336122734</v>
      </c>
      <c r="V505" t="n">
        <v>0.07810320781032078</v>
      </c>
      <c r="W505" t="n">
        <v>0.4184100418410042</v>
      </c>
      <c r="X505" t="n">
        <v>0.2512684604403172</v>
      </c>
      <c r="Y505" t="n">
        <v>5.823868152882596</v>
      </c>
      <c r="Z505" t="n">
        <v>0.2622675136109817</v>
      </c>
      <c r="AA505" t="n">
        <v>-5.551115123125783e-17</v>
      </c>
    </row>
    <row r="506">
      <c r="A506" t="inlineStr">
        <is>
          <t>2024-05-15</t>
        </is>
      </c>
      <c r="B506" t="inlineStr">
        <is>
          <t>CW</t>
        </is>
      </c>
      <c r="C506" t="inlineStr">
        <is>
          <t>09:17</t>
        </is>
      </c>
      <c r="D506" t="n">
        <v>24.94580018288649</v>
      </c>
      <c r="E506" t="n">
        <v>0.3213177866548677</v>
      </c>
      <c r="F506" t="n">
        <v>9.212244017997969</v>
      </c>
      <c r="G506" t="n">
        <v>0.6808510638297872</v>
      </c>
      <c r="H506" t="n">
        <v>0.7058823529411765</v>
      </c>
      <c r="I506" t="n">
        <v>0.2357043235704324</v>
      </c>
      <c r="J506" t="n">
        <v>0.6018342314224721</v>
      </c>
      <c r="K506" t="n">
        <v>0.6677157174036119</v>
      </c>
      <c r="L506" t="b">
        <v>0</v>
      </c>
      <c r="N506" t="n">
        <v>18.81026845512406</v>
      </c>
      <c r="O506" t="n">
        <v>0</v>
      </c>
      <c r="P506" t="n">
        <v>0</v>
      </c>
      <c r="Q506" t="n">
        <v>0</v>
      </c>
      <c r="R506" t="n">
        <v>5.616601776194146</v>
      </c>
      <c r="S506" t="n">
        <v>2.026479329910835</v>
      </c>
      <c r="T506" t="n">
        <v>0.1891380707916825</v>
      </c>
      <c r="U506" t="n">
        <v>0.1813110181311018</v>
      </c>
      <c r="V506" t="n">
        <v>0.2775453277545328</v>
      </c>
      <c r="W506" t="n">
        <v>0.2482566248256625</v>
      </c>
      <c r="X506" t="n">
        <v>0.3213177866548677</v>
      </c>
      <c r="Y506" t="n">
        <v>9.212244017997968</v>
      </c>
      <c r="Z506" t="n">
        <v>0.6018342314224721</v>
      </c>
      <c r="AA506" t="n">
        <v>0</v>
      </c>
    </row>
    <row r="507">
      <c r="A507" t="inlineStr">
        <is>
          <t>2024-05-16</t>
        </is>
      </c>
      <c r="B507" t="inlineStr">
        <is>
          <t>CW</t>
        </is>
      </c>
      <c r="C507" t="inlineStr">
        <is>
          <t>09:16</t>
        </is>
      </c>
      <c r="D507" t="n">
        <v>-41.44781080045983</v>
      </c>
      <c r="E507" t="n">
        <v>0.3209370154310188</v>
      </c>
      <c r="F507" t="n">
        <v>11.04984183773397</v>
      </c>
      <c r="G507" t="n">
        <v>0.6770963704630788</v>
      </c>
      <c r="H507" t="n">
        <v>0.8836045056320401</v>
      </c>
      <c r="I507" t="n">
        <v>0.6759646675964669</v>
      </c>
      <c r="J507" t="n">
        <v>0.759473283957341</v>
      </c>
      <c r="K507" t="n">
        <v>0.6677157174036119</v>
      </c>
      <c r="L507" t="b">
        <v>1</v>
      </c>
      <c r="M507" t="inlineStr">
        <is>
          <t>top_quartile_risk</t>
        </is>
      </c>
      <c r="N507" t="n">
        <v>0</v>
      </c>
      <c r="O507" t="n">
        <v>0</v>
      </c>
      <c r="P507" t="n">
        <v>1</v>
      </c>
      <c r="Q507" t="n">
        <v>41.44781080045983</v>
      </c>
      <c r="R507" t="n">
        <v>8.369909613950963</v>
      </c>
      <c r="S507" t="n">
        <v>10.99498327759198</v>
      </c>
      <c r="T507" t="n">
        <v>0.2926421404682227</v>
      </c>
      <c r="U507" t="n">
        <v>0.4058577405857741</v>
      </c>
      <c r="V507" t="n">
        <v>0.8940027894002789</v>
      </c>
      <c r="W507" t="n">
        <v>0.7280334728033473</v>
      </c>
      <c r="X507" t="n">
        <v>0.3209370154310188</v>
      </c>
      <c r="Y507" t="n">
        <v>11.04984183773397</v>
      </c>
      <c r="Z507" t="n">
        <v>0.759473283957341</v>
      </c>
      <c r="AA507" t="n">
        <v>0</v>
      </c>
    </row>
    <row r="508">
      <c r="A508" t="inlineStr">
        <is>
          <t>2024-05-17</t>
        </is>
      </c>
      <c r="B508" t="inlineStr">
        <is>
          <t>CW</t>
        </is>
      </c>
      <c r="C508" t="inlineStr">
        <is>
          <t>09:16</t>
        </is>
      </c>
      <c r="D508" t="n">
        <v>31.07659030535611</v>
      </c>
      <c r="E508" t="n">
        <v>0.2008508230639184</v>
      </c>
      <c r="F508" t="n">
        <v>5.337700696950222</v>
      </c>
      <c r="G508" t="n">
        <v>0.1026282853566959</v>
      </c>
      <c r="H508" t="n">
        <v>0.1802252816020025</v>
      </c>
      <c r="I508" t="n">
        <v>0.4728033472803347</v>
      </c>
      <c r="J508" t="n">
        <v>0.2077020962395463</v>
      </c>
      <c r="K508" t="n">
        <v>0.6677157174036119</v>
      </c>
      <c r="L508" t="b">
        <v>0</v>
      </c>
      <c r="N508" t="n">
        <v>41.44781080045959</v>
      </c>
      <c r="O508" t="n">
        <v>1</v>
      </c>
      <c r="P508" t="n">
        <v>0</v>
      </c>
      <c r="Q508" t="n">
        <v>0</v>
      </c>
      <c r="R508" t="n">
        <v>18.84450160312262</v>
      </c>
      <c r="S508" t="n">
        <v>3.635778635778639</v>
      </c>
      <c r="T508" t="n">
        <v>0.1447876447876502</v>
      </c>
      <c r="U508" t="n">
        <v>0.7754532775453278</v>
      </c>
      <c r="V508" t="n">
        <v>0.5495118549511855</v>
      </c>
      <c r="W508" t="n">
        <v>0.09344490934449093</v>
      </c>
      <c r="X508" t="n">
        <v>0.2008508230639184</v>
      </c>
      <c r="Y508" t="n">
        <v>5.337700696950222</v>
      </c>
      <c r="Z508" t="n">
        <v>0.2077020962395463</v>
      </c>
      <c r="AA508" t="n">
        <v>-2.775557561562891e-17</v>
      </c>
    </row>
    <row r="509">
      <c r="A509" t="inlineStr">
        <is>
          <t>2024-05-18</t>
        </is>
      </c>
      <c r="B509" t="inlineStr">
        <is>
          <t>CW</t>
        </is>
      </c>
      <c r="C509" t="inlineStr">
        <is>
          <t>09:17</t>
        </is>
      </c>
      <c r="D509" t="n">
        <v>24.80834280971822</v>
      </c>
      <c r="E509" t="n">
        <v>0.2555053508783555</v>
      </c>
      <c r="F509" t="n">
        <v>6.671963602108696</v>
      </c>
      <c r="G509" t="n">
        <v>0.2978723404255319</v>
      </c>
      <c r="H509" t="n">
        <v>0.3742177722152691</v>
      </c>
      <c r="I509" t="n">
        <v>0.0692701069270107</v>
      </c>
      <c r="J509" t="n">
        <v>0.2826900664417226</v>
      </c>
      <c r="K509" t="n">
        <v>0.6677157174036119</v>
      </c>
      <c r="L509" t="b">
        <v>0</v>
      </c>
      <c r="N509" t="n">
        <v>10.37122049510344</v>
      </c>
      <c r="O509" t="n">
        <v>0</v>
      </c>
      <c r="P509" t="n">
        <v>0</v>
      </c>
      <c r="Q509" t="n">
        <v>0</v>
      </c>
      <c r="R509" t="n">
        <v>2.112646300757945</v>
      </c>
      <c r="S509" t="n">
        <v>0.5694089927351333</v>
      </c>
      <c r="T509" t="n">
        <v>0.1767131356764141</v>
      </c>
      <c r="U509" t="n">
        <v>0.008368200836820083</v>
      </c>
      <c r="V509" t="n">
        <v>0.002789400278940028</v>
      </c>
      <c r="W509" t="n">
        <v>0.196652719665272</v>
      </c>
      <c r="X509" t="n">
        <v>0.2555053508783555</v>
      </c>
      <c r="Y509" t="n">
        <v>6.671963602108695</v>
      </c>
      <c r="Z509" t="n">
        <v>0.2826900664417226</v>
      </c>
      <c r="AA509" t="n">
        <v>-5.551115123125783e-17</v>
      </c>
    </row>
    <row r="510">
      <c r="A510" t="inlineStr">
        <is>
          <t>2024-05-21</t>
        </is>
      </c>
      <c r="B510" t="inlineStr">
        <is>
          <t>CW</t>
        </is>
      </c>
      <c r="C510" t="inlineStr">
        <is>
          <t>09:16</t>
        </is>
      </c>
      <c r="D510" t="n">
        <v>26.63579842383326</v>
      </c>
      <c r="E510" t="n">
        <v>0.1850834490025115</v>
      </c>
      <c r="F510" t="n">
        <v>5.150617396192319</v>
      </c>
      <c r="G510" t="n">
        <v>0.07259073842302878</v>
      </c>
      <c r="H510" t="n">
        <v>0.1564455569461827</v>
      </c>
      <c r="I510" t="n">
        <v>0.7694095769409577</v>
      </c>
      <c r="J510" t="n">
        <v>0.2454964335358761</v>
      </c>
      <c r="K510" t="n">
        <v>0.6677157174036119</v>
      </c>
      <c r="L510" t="b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31.1398563527089</v>
      </c>
      <c r="S510" t="n">
        <v>17.0032310177706</v>
      </c>
      <c r="T510" t="n">
        <v>0.2221324717285991</v>
      </c>
      <c r="U510" t="n">
        <v>0.9079497907949791</v>
      </c>
      <c r="V510" t="n">
        <v>0.9470013947001394</v>
      </c>
      <c r="W510" t="n">
        <v>0.4532775453277545</v>
      </c>
      <c r="X510" t="n">
        <v>0.1850834490025115</v>
      </c>
      <c r="Y510" t="n">
        <v>5.150617396192319</v>
      </c>
      <c r="Z510" t="n">
        <v>0.2454964335358761</v>
      </c>
      <c r="AA510" t="n">
        <v>2.775557561562891e-17</v>
      </c>
    </row>
    <row r="511">
      <c r="A511" t="inlineStr">
        <is>
          <t>2024-05-22</t>
        </is>
      </c>
      <c r="B511" t="inlineStr">
        <is>
          <t>CW</t>
        </is>
      </c>
      <c r="C511" t="inlineStr">
        <is>
          <t>09:17</t>
        </is>
      </c>
      <c r="D511" t="n">
        <v>0.2608313452163173</v>
      </c>
      <c r="E511" t="n">
        <v>0.3172038833438927</v>
      </c>
      <c r="F511" t="n">
        <v>10.26093923088472</v>
      </c>
      <c r="G511" t="n">
        <v>0.6545682102628285</v>
      </c>
      <c r="H511" t="n">
        <v>0.8172715894868585</v>
      </c>
      <c r="I511" t="n">
        <v>0.2900976290097629</v>
      </c>
      <c r="J511" t="n">
        <v>0.6467554457018274</v>
      </c>
      <c r="K511" t="n">
        <v>0.6677157174036119</v>
      </c>
      <c r="L511" t="b">
        <v>0</v>
      </c>
      <c r="N511" t="n">
        <v>0</v>
      </c>
      <c r="O511" t="n">
        <v>0</v>
      </c>
      <c r="P511" t="n">
        <v>0</v>
      </c>
      <c r="Q511" t="n">
        <v>0</v>
      </c>
      <c r="R511" t="n">
        <v>4.167849035186319</v>
      </c>
      <c r="S511" t="n">
        <v>1.895355045381746</v>
      </c>
      <c r="T511" t="n">
        <v>0.2402562733582502</v>
      </c>
      <c r="U511" t="n">
        <v>0.08089260808926081</v>
      </c>
      <c r="V511" t="n">
        <v>0.2454672245467225</v>
      </c>
      <c r="W511" t="n">
        <v>0.5439330543933054</v>
      </c>
      <c r="X511" t="n">
        <v>0.3172038833438927</v>
      </c>
      <c r="Y511" t="n">
        <v>10.26093923088472</v>
      </c>
      <c r="Z511" t="n">
        <v>0.6467554457018274</v>
      </c>
      <c r="AA511" t="n">
        <v>0</v>
      </c>
    </row>
    <row r="512">
      <c r="A512" t="inlineStr">
        <is>
          <t>2024-05-23</t>
        </is>
      </c>
      <c r="B512" t="inlineStr">
        <is>
          <t>CW</t>
        </is>
      </c>
      <c r="C512" t="inlineStr">
        <is>
          <t>09:16</t>
        </is>
      </c>
      <c r="D512" t="n">
        <v>-45.69628030409527</v>
      </c>
      <c r="E512" t="n">
        <v>0.3007395775017036</v>
      </c>
      <c r="F512" t="n">
        <v>10.30327612853386</v>
      </c>
      <c r="G512" t="n">
        <v>0.5707133917396746</v>
      </c>
      <c r="H512" t="n">
        <v>0.8222778473091364</v>
      </c>
      <c r="I512" t="n">
        <v>0.7052533705253371</v>
      </c>
      <c r="J512" t="n">
        <v>0.6982471697245919</v>
      </c>
      <c r="K512" t="n">
        <v>0.6677157174036119</v>
      </c>
      <c r="L512" t="b">
        <v>1</v>
      </c>
      <c r="M512" t="inlineStr">
        <is>
          <t>top_quartile_risk</t>
        </is>
      </c>
      <c r="N512" t="n">
        <v>0</v>
      </c>
      <c r="O512" t="n">
        <v>0</v>
      </c>
      <c r="P512" t="n">
        <v>1</v>
      </c>
      <c r="Q512" t="n">
        <v>45.69628030409527</v>
      </c>
      <c r="R512" t="n">
        <v>11.69955369188245</v>
      </c>
      <c r="S512" t="n">
        <v>9.126365054602198</v>
      </c>
      <c r="T512" t="n">
        <v>0.2730109204368131</v>
      </c>
      <c r="U512" t="n">
        <v>0.5913528591352859</v>
      </c>
      <c r="V512" t="n">
        <v>0.8535564853556485</v>
      </c>
      <c r="W512" t="n">
        <v>0.6708507670850767</v>
      </c>
      <c r="X512" t="n">
        <v>0.3007395775017036</v>
      </c>
      <c r="Y512" t="n">
        <v>10.30327612853386</v>
      </c>
      <c r="Z512" t="n">
        <v>0.6982471697245919</v>
      </c>
      <c r="AA512" t="n">
        <v>0</v>
      </c>
    </row>
    <row r="513">
      <c r="A513" t="inlineStr">
        <is>
          <t>2024-05-24</t>
        </is>
      </c>
      <c r="B513" t="inlineStr">
        <is>
          <t>CW</t>
        </is>
      </c>
      <c r="C513" t="inlineStr">
        <is>
          <t>09:16</t>
        </is>
      </c>
      <c r="D513" t="n">
        <v>21.62040515979846</v>
      </c>
      <c r="E513" t="n">
        <v>0.2385080559068673</v>
      </c>
      <c r="F513" t="n">
        <v>7.362171686521512</v>
      </c>
      <c r="G513" t="n">
        <v>0.2165206508135169</v>
      </c>
      <c r="H513" t="n">
        <v>0.4555694618272841</v>
      </c>
      <c r="I513" t="n">
        <v>0.6592282659228266</v>
      </c>
      <c r="J513" t="n">
        <v>0.4006816982408857</v>
      </c>
      <c r="K513" t="n">
        <v>0.6677157174036119</v>
      </c>
      <c r="L513" t="b">
        <v>0</v>
      </c>
      <c r="N513" t="n">
        <v>45.69628030409513</v>
      </c>
      <c r="O513" t="n">
        <v>1</v>
      </c>
      <c r="P513" t="n">
        <v>0</v>
      </c>
      <c r="Q513" t="n">
        <v>0</v>
      </c>
      <c r="R513" t="n">
        <v>11.38263049761528</v>
      </c>
      <c r="S513" t="n">
        <v>4.885226603884645</v>
      </c>
      <c r="T513" t="n">
        <v>0.2942907592701589</v>
      </c>
      <c r="U513" t="n">
        <v>0.5634588563458857</v>
      </c>
      <c r="V513" t="n">
        <v>0.6834030683403068</v>
      </c>
      <c r="W513" t="n">
        <v>0.7308228730822873</v>
      </c>
      <c r="X513" t="n">
        <v>0.2385080559068673</v>
      </c>
      <c r="Y513" t="n">
        <v>7.36217168652151</v>
      </c>
      <c r="Z513" t="n">
        <v>0.4006816982408857</v>
      </c>
      <c r="AA513" t="n">
        <v>5.551115123125783e-17</v>
      </c>
    </row>
    <row r="514">
      <c r="A514" t="inlineStr">
        <is>
          <t>2024-05-27</t>
        </is>
      </c>
      <c r="B514" t="inlineStr">
        <is>
          <t>CW</t>
        </is>
      </c>
      <c r="C514" t="inlineStr">
        <is>
          <t>09:17</t>
        </is>
      </c>
      <c r="D514" t="n">
        <v>14.04218770514455</v>
      </c>
      <c r="E514" t="n">
        <v>0.3507949894239105</v>
      </c>
      <c r="F514" t="n">
        <v>9.830930690458159</v>
      </c>
      <c r="G514" t="n">
        <v>0.8172715894868585</v>
      </c>
      <c r="H514" t="n">
        <v>0.7709637046307884</v>
      </c>
      <c r="I514" t="n">
        <v>0.2250116225011622</v>
      </c>
      <c r="J514" t="n">
        <v>0.6802964421472912</v>
      </c>
      <c r="K514" t="n">
        <v>0.6677157174036119</v>
      </c>
      <c r="L514" t="b">
        <v>1</v>
      </c>
      <c r="M514" t="inlineStr">
        <is>
          <t>top_quartile_risk</t>
        </is>
      </c>
      <c r="N514" t="n">
        <v>24.07587514429633</v>
      </c>
      <c r="O514" t="n">
        <v>0</v>
      </c>
      <c r="P514" t="n">
        <v>0</v>
      </c>
      <c r="Q514" t="n">
        <v>0</v>
      </c>
      <c r="R514" t="n">
        <v>3.318540883121345</v>
      </c>
      <c r="S514" t="n">
        <v>2.0611473720371</v>
      </c>
      <c r="T514" t="n">
        <v>0.2061147372037081</v>
      </c>
      <c r="U514" t="n">
        <v>0.03626220362622036</v>
      </c>
      <c r="V514" t="n">
        <v>0.2900976290097629</v>
      </c>
      <c r="W514" t="n">
        <v>0.3486750348675035</v>
      </c>
      <c r="X514" t="n">
        <v>0.3507949894239105</v>
      </c>
      <c r="Y514" t="n">
        <v>9.830930690458157</v>
      </c>
      <c r="Z514" t="n">
        <v>0.6802964421472912</v>
      </c>
      <c r="AA514" t="n">
        <v>0</v>
      </c>
    </row>
    <row r="515">
      <c r="A515" t="inlineStr">
        <is>
          <t>2024-05-28</t>
        </is>
      </c>
      <c r="B515" t="inlineStr">
        <is>
          <t>CW</t>
        </is>
      </c>
      <c r="C515" t="inlineStr">
        <is>
          <t>09:17</t>
        </is>
      </c>
      <c r="D515" t="n">
        <v>37.64729301511029</v>
      </c>
      <c r="E515" t="n">
        <v>0.3164038267894862</v>
      </c>
      <c r="F515" t="n">
        <v>8.606540768130985</v>
      </c>
      <c r="G515" t="n">
        <v>0.6470588235294118</v>
      </c>
      <c r="H515" t="n">
        <v>0.623279098873592</v>
      </c>
      <c r="I515" t="n">
        <v>0.202696420269642</v>
      </c>
      <c r="J515" t="n">
        <v>0.5486744530151298</v>
      </c>
      <c r="K515" t="n">
        <v>0.6677157174036119</v>
      </c>
      <c r="L515" t="b">
        <v>0</v>
      </c>
      <c r="N515" t="n">
        <v>10.03368743915144</v>
      </c>
      <c r="O515" t="n">
        <v>0</v>
      </c>
      <c r="P515" t="n">
        <v>0</v>
      </c>
      <c r="Q515" t="n">
        <v>0</v>
      </c>
      <c r="R515" t="n">
        <v>4.086370216447838</v>
      </c>
      <c r="S515" t="n">
        <v>1.993865030674842</v>
      </c>
      <c r="T515" t="n">
        <v>0.1917177914110429</v>
      </c>
      <c r="U515" t="n">
        <v>0.07670850767085077</v>
      </c>
      <c r="V515" t="n">
        <v>0.2663877266387726</v>
      </c>
      <c r="W515" t="n">
        <v>0.2649930264993027</v>
      </c>
      <c r="X515" t="n">
        <v>0.3164038267894863</v>
      </c>
      <c r="Y515" t="n">
        <v>8.606540768130985</v>
      </c>
      <c r="Z515" t="n">
        <v>0.5486744530151298</v>
      </c>
      <c r="AA515" t="n">
        <v>0</v>
      </c>
    </row>
    <row r="516">
      <c r="A516" t="inlineStr">
        <is>
          <t>2024-05-29</t>
        </is>
      </c>
      <c r="B516" t="inlineStr">
        <is>
          <t>CW</t>
        </is>
      </c>
      <c r="C516" t="inlineStr">
        <is>
          <t>09:16</t>
        </is>
      </c>
      <c r="D516" t="n">
        <v>25.11006236669347</v>
      </c>
      <c r="E516" t="n">
        <v>0.3686927141159695</v>
      </c>
      <c r="F516" t="n">
        <v>10.55010382402651</v>
      </c>
      <c r="G516" t="n">
        <v>0.8685857321652065</v>
      </c>
      <c r="H516" t="n">
        <v>0.8460575719649562</v>
      </c>
      <c r="I516" t="n">
        <v>0.5137145513714552</v>
      </c>
      <c r="J516" t="n">
        <v>0.7886002319263562</v>
      </c>
      <c r="K516" t="n">
        <v>0.6677157174036119</v>
      </c>
      <c r="L516" t="b">
        <v>1</v>
      </c>
      <c r="M516" t="inlineStr">
        <is>
          <t>top_quartile_risk</t>
        </is>
      </c>
      <c r="N516" t="n">
        <v>0</v>
      </c>
      <c r="O516" t="n">
        <v>0</v>
      </c>
      <c r="P516" t="n">
        <v>0</v>
      </c>
      <c r="Q516" t="n">
        <v>0</v>
      </c>
      <c r="R516" t="n">
        <v>11.96860593091562</v>
      </c>
      <c r="S516" t="n">
        <v>7.486875142661482</v>
      </c>
      <c r="T516" t="n">
        <v>0.1597808719470479</v>
      </c>
      <c r="U516" t="n">
        <v>0.601115760111576</v>
      </c>
      <c r="V516" t="n">
        <v>0.8075313807531381</v>
      </c>
      <c r="W516" t="n">
        <v>0.1324965132496513</v>
      </c>
      <c r="X516" t="n">
        <v>0.3686927141159695</v>
      </c>
      <c r="Y516" t="n">
        <v>10.55010382402651</v>
      </c>
      <c r="Z516" t="n">
        <v>0.7886002319263562</v>
      </c>
      <c r="AA516" t="n">
        <v>0</v>
      </c>
    </row>
    <row r="517">
      <c r="A517" t="inlineStr">
        <is>
          <t>2024-05-30</t>
        </is>
      </c>
      <c r="B517" t="inlineStr">
        <is>
          <t>CW</t>
        </is>
      </c>
      <c r="C517" t="inlineStr">
        <is>
          <t>09:17</t>
        </is>
      </c>
      <c r="D517" t="n">
        <v>50.85697618869027</v>
      </c>
      <c r="E517" t="n">
        <v>0.3792619679296964</v>
      </c>
      <c r="F517" t="n">
        <v>11.87550830828172</v>
      </c>
      <c r="G517" t="n">
        <v>0.8986232790988736</v>
      </c>
      <c r="H517" t="n">
        <v>0.9161451814768461</v>
      </c>
      <c r="I517" t="n">
        <v>0.3300790330079033</v>
      </c>
      <c r="J517" t="n">
        <v>0.7919231908318686</v>
      </c>
      <c r="K517" t="n">
        <v>0.6677157174036119</v>
      </c>
      <c r="L517" t="b">
        <v>1</v>
      </c>
      <c r="M517" t="inlineStr">
        <is>
          <t>top_quartile_risk</t>
        </is>
      </c>
      <c r="N517" t="n">
        <v>0</v>
      </c>
      <c r="O517" t="n">
        <v>0</v>
      </c>
      <c r="P517" t="n">
        <v>0</v>
      </c>
      <c r="Q517" t="n">
        <v>0</v>
      </c>
      <c r="R517" t="n">
        <v>3.533178756762725</v>
      </c>
      <c r="S517" t="n">
        <v>4.141208418194177</v>
      </c>
      <c r="T517" t="n">
        <v>0.2036659877800484</v>
      </c>
      <c r="U517" t="n">
        <v>0.04463040446304044</v>
      </c>
      <c r="V517" t="n">
        <v>0.6094839609483961</v>
      </c>
      <c r="W517" t="n">
        <v>0.3361227336122734</v>
      </c>
      <c r="X517" t="n">
        <v>0.3792619679296964</v>
      </c>
      <c r="Y517" t="n">
        <v>11.87550830828172</v>
      </c>
      <c r="Z517" t="n">
        <v>0.7919231908318686</v>
      </c>
      <c r="AA517" t="n">
        <v>0</v>
      </c>
    </row>
    <row r="518">
      <c r="A518" t="inlineStr">
        <is>
          <t>2024-05-31</t>
        </is>
      </c>
      <c r="B518" t="inlineStr">
        <is>
          <t>CW</t>
        </is>
      </c>
      <c r="C518" t="inlineStr">
        <is>
          <t>09:16</t>
        </is>
      </c>
      <c r="D518" t="n">
        <v>53.19105885924778</v>
      </c>
      <c r="E518" t="n">
        <v>0.4289152469351838</v>
      </c>
      <c r="F518" t="n">
        <v>16.67651479714164</v>
      </c>
      <c r="G518" t="n">
        <v>0.9699624530663329</v>
      </c>
      <c r="H518" t="n">
        <v>0.9924906132665833</v>
      </c>
      <c r="I518" t="n">
        <v>0.3468154346815435</v>
      </c>
      <c r="J518" t="n">
        <v>0.8543443134694753</v>
      </c>
      <c r="K518" t="n">
        <v>0.6677157174036119</v>
      </c>
      <c r="L518" t="b">
        <v>1</v>
      </c>
      <c r="M518" t="inlineStr">
        <is>
          <t>top_quartile_risk</t>
        </is>
      </c>
      <c r="N518" t="n">
        <v>0</v>
      </c>
      <c r="O518" t="n">
        <v>0</v>
      </c>
      <c r="P518" t="n">
        <v>0</v>
      </c>
      <c r="Q518" t="n">
        <v>0</v>
      </c>
      <c r="R518" t="n">
        <v>8.506614168704939</v>
      </c>
      <c r="S518" t="n">
        <v>4.055315672773952</v>
      </c>
      <c r="T518" t="n">
        <v>0.0991947718520273</v>
      </c>
      <c r="U518" t="n">
        <v>0.4170153417015341</v>
      </c>
      <c r="V518" t="n">
        <v>0.6052998605299861</v>
      </c>
      <c r="W518" t="n">
        <v>0.01813110181311018</v>
      </c>
      <c r="X518" t="n">
        <v>0.4289152469351838</v>
      </c>
      <c r="Y518" t="n">
        <v>16.67651479714164</v>
      </c>
      <c r="Z518" t="n">
        <v>0.8543443134694753</v>
      </c>
      <c r="AA518" t="n">
        <v>0</v>
      </c>
    </row>
    <row r="519">
      <c r="A519" t="inlineStr">
        <is>
          <t>2024-06-04</t>
        </is>
      </c>
      <c r="B519" t="inlineStr">
        <is>
          <t>CW</t>
        </is>
      </c>
      <c r="C519" t="inlineStr">
        <is>
          <t>09:18</t>
        </is>
      </c>
      <c r="D519" t="n">
        <v>-25.13083982256586</v>
      </c>
      <c r="E519" t="n">
        <v>0.4042783392390157</v>
      </c>
      <c r="F519" t="n">
        <v>7.542026605206358</v>
      </c>
      <c r="G519" t="n">
        <v>0.951188986232791</v>
      </c>
      <c r="H519" t="n">
        <v>0.4881101376720901</v>
      </c>
      <c r="I519" t="n">
        <v>0.690376569037657</v>
      </c>
      <c r="J519" t="n">
        <v>0.7137949633694838</v>
      </c>
      <c r="K519" t="n">
        <v>0.6677157174036119</v>
      </c>
      <c r="L519" t="b">
        <v>1</v>
      </c>
      <c r="M519" t="inlineStr">
        <is>
          <t>top_quartile_risk</t>
        </is>
      </c>
      <c r="N519" t="n">
        <v>0</v>
      </c>
      <c r="O519" t="n">
        <v>0</v>
      </c>
      <c r="P519" t="n">
        <v>1</v>
      </c>
      <c r="Q519" t="n">
        <v>25.13083982256586</v>
      </c>
      <c r="R519" t="n">
        <v>21.96167720042144</v>
      </c>
      <c r="S519" t="n">
        <v>6.50859752821063</v>
      </c>
      <c r="T519" t="n">
        <v>0.2283718430951086</v>
      </c>
      <c r="U519" t="n">
        <v>0.8200836820083682</v>
      </c>
      <c r="V519" t="n">
        <v>0.7629009762900977</v>
      </c>
      <c r="W519" t="n">
        <v>0.4881450488145049</v>
      </c>
      <c r="X519" t="n">
        <v>0.4042783392390157</v>
      </c>
      <c r="Y519" t="n">
        <v>7.542026605206358</v>
      </c>
      <c r="Z519" t="n">
        <v>0.7137949633694838</v>
      </c>
      <c r="AA519" t="n">
        <v>0</v>
      </c>
    </row>
    <row r="520">
      <c r="A520" t="inlineStr">
        <is>
          <t>2024-06-05</t>
        </is>
      </c>
      <c r="B520" t="inlineStr">
        <is>
          <t>NW</t>
        </is>
      </c>
      <c r="C520" t="inlineStr">
        <is>
          <t>NW</t>
        </is>
      </c>
      <c r="D520" t="n">
        <v>-50.36913309552961</v>
      </c>
      <c r="E520" t="n">
        <v>0.515762235756712</v>
      </c>
      <c r="F520" t="n">
        <v>18.68998480398817</v>
      </c>
      <c r="G520" t="n">
        <v>0.9974968710888611</v>
      </c>
      <c r="H520" t="n">
        <v>0.9987484355444305</v>
      </c>
      <c r="I520" t="n">
        <v>0.5</v>
      </c>
      <c r="J520" t="n">
        <v>0.8984981226533166</v>
      </c>
      <c r="K520" t="n">
        <v>0.6677157174036119</v>
      </c>
      <c r="L520" t="b">
        <v>1</v>
      </c>
      <c r="M520" t="inlineStr">
        <is>
          <t>top_quartile_risk</t>
        </is>
      </c>
      <c r="N520" t="n">
        <v>25.13083982256558</v>
      </c>
      <c r="O520" t="n">
        <v>1</v>
      </c>
      <c r="P520" t="n">
        <v>1</v>
      </c>
      <c r="Q520" t="n">
        <v>50.36913309552961</v>
      </c>
      <c r="U520" t="n">
        <v>0.5</v>
      </c>
      <c r="V520" t="n">
        <v>0.5</v>
      </c>
      <c r="W520" t="n">
        <v>0.5</v>
      </c>
      <c r="X520" t="n">
        <v>0.515762235756712</v>
      </c>
      <c r="Y520" t="n">
        <v>18.68998480398817</v>
      </c>
      <c r="Z520" t="n">
        <v>0.8984981226533166</v>
      </c>
      <c r="AA520" t="n">
        <v>0</v>
      </c>
    </row>
    <row r="521">
      <c r="A521" t="inlineStr">
        <is>
          <t>2024-06-06</t>
        </is>
      </c>
      <c r="B521" t="inlineStr">
        <is>
          <t>CW</t>
        </is>
      </c>
      <c r="C521" t="inlineStr">
        <is>
          <t>09:17</t>
        </is>
      </c>
      <c r="D521" t="n">
        <v>46.20841663100025</v>
      </c>
      <c r="E521" t="n">
        <v>0.3276774473989886</v>
      </c>
      <c r="F521" t="n">
        <v>10.39720185770048</v>
      </c>
      <c r="G521" t="n">
        <v>0.7196495619524406</v>
      </c>
      <c r="H521" t="n">
        <v>0.8285356695869838</v>
      </c>
      <c r="I521" t="n">
        <v>0.6713156671315668</v>
      </c>
      <c r="J521" t="n">
        <v>0.7535372260420832</v>
      </c>
      <c r="K521" t="n">
        <v>0.6677157174036119</v>
      </c>
      <c r="L521" t="b">
        <v>1</v>
      </c>
      <c r="M521" t="inlineStr">
        <is>
          <t>top_quartile_risk</t>
        </is>
      </c>
      <c r="N521" t="n">
        <v>75.49997291809541</v>
      </c>
      <c r="O521" t="n">
        <v>2</v>
      </c>
      <c r="P521" t="n">
        <v>0</v>
      </c>
      <c r="Q521" t="n">
        <v>0</v>
      </c>
      <c r="R521" t="n">
        <v>20.77990688664477</v>
      </c>
      <c r="S521" t="n">
        <v>6.060606060606062</v>
      </c>
      <c r="T521" t="n">
        <v>0.2237136465324373</v>
      </c>
      <c r="U521" t="n">
        <v>0.8019525801952581</v>
      </c>
      <c r="V521" t="n">
        <v>0.7475592747559274</v>
      </c>
      <c r="W521" t="n">
        <v>0.4644351464435146</v>
      </c>
      <c r="X521" t="n">
        <v>0.3276774473989887</v>
      </c>
      <c r="Y521" t="n">
        <v>10.39720185770048</v>
      </c>
      <c r="Z521" t="n">
        <v>0.7535372260420832</v>
      </c>
      <c r="AA521" t="n">
        <v>0</v>
      </c>
    </row>
    <row r="522">
      <c r="A522" t="inlineStr">
        <is>
          <t>2024-06-10</t>
        </is>
      </c>
      <c r="B522" t="inlineStr">
        <is>
          <t>CW</t>
        </is>
      </c>
      <c r="C522" t="inlineStr">
        <is>
          <t>09:16</t>
        </is>
      </c>
      <c r="D522" t="n">
        <v>53.28861343020974</v>
      </c>
      <c r="E522" t="n">
        <v>0.3229312554473656</v>
      </c>
      <c r="F522" t="n">
        <v>9.859485295949069</v>
      </c>
      <c r="G522" t="n">
        <v>0.6896120150187734</v>
      </c>
      <c r="H522" t="n">
        <v>0.7784730913642053</v>
      </c>
      <c r="I522" t="n">
        <v>0.6252905625290562</v>
      </c>
      <c r="J522" t="n">
        <v>0.7122921550590027</v>
      </c>
      <c r="K522" t="n">
        <v>0.6677157174036119</v>
      </c>
      <c r="L522" t="b">
        <v>1</v>
      </c>
      <c r="M522" t="inlineStr">
        <is>
          <t>top_quartile_risk</t>
        </is>
      </c>
      <c r="N522" t="n">
        <v>29.29155628709486</v>
      </c>
      <c r="O522" t="n">
        <v>0</v>
      </c>
      <c r="P522" t="n">
        <v>0</v>
      </c>
      <c r="Q522" t="n">
        <v>0</v>
      </c>
      <c r="R522" t="n">
        <v>37.66719896703737</v>
      </c>
      <c r="S522" t="n">
        <v>5.452562704471102</v>
      </c>
      <c r="T522" t="n">
        <v>0.1817520901490367</v>
      </c>
      <c r="U522" t="n">
        <v>0.9428172942817294</v>
      </c>
      <c r="V522" t="n">
        <v>0.7168758716875872</v>
      </c>
      <c r="W522" t="n">
        <v>0.2161785216178522</v>
      </c>
      <c r="X522" t="n">
        <v>0.3229312554473656</v>
      </c>
      <c r="Y522" t="n">
        <v>9.859485295949071</v>
      </c>
      <c r="Z522" t="n">
        <v>0.7122921550590027</v>
      </c>
      <c r="AA522" t="n">
        <v>0</v>
      </c>
    </row>
    <row r="523">
      <c r="A523" t="inlineStr">
        <is>
          <t>2024-06-11</t>
        </is>
      </c>
      <c r="B523" t="inlineStr">
        <is>
          <t>CW</t>
        </is>
      </c>
      <c r="C523" t="inlineStr">
        <is>
          <t>09:17</t>
        </is>
      </c>
      <c r="D523" t="n">
        <v>57.85212849626185</v>
      </c>
      <c r="E523" t="n">
        <v>0.349626269150705</v>
      </c>
      <c r="F523" t="n">
        <v>8.672802400865336</v>
      </c>
      <c r="G523" t="n">
        <v>0.8135168961201502</v>
      </c>
      <c r="H523" t="n">
        <v>0.6307884856070087</v>
      </c>
      <c r="I523" t="n">
        <v>0.4221292422129242</v>
      </c>
      <c r="J523" t="n">
        <v>0.6621480011334484</v>
      </c>
      <c r="K523" t="n">
        <v>0.6677157174036119</v>
      </c>
      <c r="L523" t="b">
        <v>0</v>
      </c>
      <c r="N523" t="n">
        <v>0</v>
      </c>
      <c r="O523" t="n">
        <v>0</v>
      </c>
      <c r="P523" t="n">
        <v>0</v>
      </c>
      <c r="Q523" t="n">
        <v>0</v>
      </c>
      <c r="R523" t="n">
        <v>8.736330655052342</v>
      </c>
      <c r="S523" t="n">
        <v>3.350915296307773</v>
      </c>
      <c r="T523" t="n">
        <v>0.2016754576481644</v>
      </c>
      <c r="U523" t="n">
        <v>0.4351464435146444</v>
      </c>
      <c r="V523" t="n">
        <v>0.5118549511854951</v>
      </c>
      <c r="W523" t="n">
        <v>0.3193863319386332</v>
      </c>
      <c r="X523" t="n">
        <v>0.3496262691507049</v>
      </c>
      <c r="Y523" t="n">
        <v>8.672802400865338</v>
      </c>
      <c r="Z523" t="n">
        <v>0.6621480011334484</v>
      </c>
      <c r="AA523" t="n">
        <v>0</v>
      </c>
    </row>
    <row r="524">
      <c r="A524" t="inlineStr">
        <is>
          <t>2024-06-13</t>
        </is>
      </c>
      <c r="B524" t="inlineStr">
        <is>
          <t>CW</t>
        </is>
      </c>
      <c r="C524" t="inlineStr">
        <is>
          <t>09:16</t>
        </is>
      </c>
      <c r="D524" t="n">
        <v>53.80877041947607</v>
      </c>
      <c r="E524" t="n">
        <v>0.2178280154086045</v>
      </c>
      <c r="F524" t="n">
        <v>8.184347695371816</v>
      </c>
      <c r="G524" t="n">
        <v>0.1401752190237797</v>
      </c>
      <c r="H524" t="n">
        <v>0.5607008760951189</v>
      </c>
      <c r="I524" t="n">
        <v>0.7670850767085077</v>
      </c>
      <c r="J524" t="n">
        <v>0.433767453389261</v>
      </c>
      <c r="K524" t="n">
        <v>0.6677157174036119</v>
      </c>
      <c r="L524" t="b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13.66114386465066</v>
      </c>
      <c r="S524" t="n">
        <v>20.49180327868853</v>
      </c>
      <c r="T524" t="n">
        <v>0.2732240437158481</v>
      </c>
      <c r="U524" t="n">
        <v>0.6680613668061367</v>
      </c>
      <c r="V524" t="n">
        <v>0.9609483960948396</v>
      </c>
      <c r="W524" t="n">
        <v>0.6722454672245467</v>
      </c>
      <c r="X524" t="n">
        <v>0.2178280154086044</v>
      </c>
      <c r="Y524" t="n">
        <v>8.184347695371816</v>
      </c>
      <c r="Z524" t="n">
        <v>0.433767453389261</v>
      </c>
      <c r="AA524" t="n">
        <v>0</v>
      </c>
    </row>
    <row r="525">
      <c r="A525" t="inlineStr">
        <is>
          <t>2024-06-18</t>
        </is>
      </c>
      <c r="B525" t="inlineStr">
        <is>
          <t>CW</t>
        </is>
      </c>
      <c r="C525" t="inlineStr">
        <is>
          <t>09:18</t>
        </is>
      </c>
      <c r="D525" t="n">
        <v>12.73095608916056</v>
      </c>
      <c r="E525" t="n">
        <v>0.2883389623428478</v>
      </c>
      <c r="F525" t="n">
        <v>5.988855173156351</v>
      </c>
      <c r="G525" t="n">
        <v>0.5131414267834794</v>
      </c>
      <c r="H525" t="n">
        <v>0.2640801001251564</v>
      </c>
      <c r="I525" t="n">
        <v>0.3249651324965133</v>
      </c>
      <c r="J525" t="n">
        <v>0.375881637262757</v>
      </c>
      <c r="K525" t="n">
        <v>0.6677157174036119</v>
      </c>
      <c r="L525" t="b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3.694518523551802</v>
      </c>
      <c r="S525" t="n">
        <v>2.773575390821986</v>
      </c>
      <c r="T525" t="n">
        <v>0.2269288956127094</v>
      </c>
      <c r="U525" t="n">
        <v>0.05439330543933055</v>
      </c>
      <c r="V525" t="n">
        <v>0.4407252440725244</v>
      </c>
      <c r="W525" t="n">
        <v>0.4797768479776848</v>
      </c>
      <c r="X525" t="n">
        <v>0.2883389623428477</v>
      </c>
      <c r="Y525" t="n">
        <v>5.988855173156351</v>
      </c>
      <c r="Z525" t="n">
        <v>0.375881637262757</v>
      </c>
      <c r="AA525" t="n">
        <v>0</v>
      </c>
    </row>
    <row r="526">
      <c r="A526" t="inlineStr">
        <is>
          <t>2024-06-19</t>
        </is>
      </c>
      <c r="B526" t="inlineStr">
        <is>
          <t>CW</t>
        </is>
      </c>
      <c r="C526" t="inlineStr">
        <is>
          <t>09:20+</t>
        </is>
      </c>
      <c r="D526" t="n">
        <v>-43.78953501036337</v>
      </c>
      <c r="E526" t="n">
        <v>0.3573166830170514</v>
      </c>
      <c r="F526" t="n">
        <v>11.64219230914962</v>
      </c>
      <c r="G526" t="n">
        <v>0.8360450563204005</v>
      </c>
      <c r="H526" t="n">
        <v>0.9086357947434293</v>
      </c>
      <c r="I526" t="n">
        <v>0.5165039516503952</v>
      </c>
      <c r="J526" t="n">
        <v>0.8011731307556109</v>
      </c>
      <c r="K526" t="n">
        <v>0.6677157174036119</v>
      </c>
      <c r="L526" t="b">
        <v>1</v>
      </c>
      <c r="M526" t="inlineStr">
        <is>
          <t>top_quartile_risk</t>
        </is>
      </c>
      <c r="N526" t="n">
        <v>0</v>
      </c>
      <c r="O526" t="n">
        <v>0</v>
      </c>
      <c r="P526" t="n">
        <v>1</v>
      </c>
      <c r="Q526" t="n">
        <v>43.78953501036337</v>
      </c>
      <c r="R526" t="n">
        <v>11.54969766967896</v>
      </c>
      <c r="S526" t="n">
        <v>4.647160068846828</v>
      </c>
      <c r="T526" t="n">
        <v>0.2008032128514105</v>
      </c>
      <c r="U526" t="n">
        <v>0.5760111576011158</v>
      </c>
      <c r="V526" t="n">
        <v>0.6582984658298466</v>
      </c>
      <c r="W526" t="n">
        <v>0.3152022315202231</v>
      </c>
      <c r="X526" t="n">
        <v>0.3573166830170514</v>
      </c>
      <c r="Y526" t="n">
        <v>11.64219230914962</v>
      </c>
      <c r="Z526" t="n">
        <v>0.8011731307556109</v>
      </c>
      <c r="AA526" t="n">
        <v>0</v>
      </c>
    </row>
    <row r="527">
      <c r="A527" t="inlineStr">
        <is>
          <t>2024-06-20</t>
        </is>
      </c>
      <c r="B527" t="inlineStr">
        <is>
          <t>CW</t>
        </is>
      </c>
      <c r="C527" t="inlineStr">
        <is>
          <t>09:17</t>
        </is>
      </c>
      <c r="D527" t="n">
        <v>-49.12169850784694</v>
      </c>
      <c r="E527" t="n">
        <v>0.3379917685514423</v>
      </c>
      <c r="F527" t="n">
        <v>10.49168312862681</v>
      </c>
      <c r="G527" t="n">
        <v>0.7772215269086358</v>
      </c>
      <c r="H527" t="n">
        <v>0.8410513141426783</v>
      </c>
      <c r="I527" t="n">
        <v>0.3556485355648535</v>
      </c>
      <c r="J527" t="n">
        <v>0.7184388435334964</v>
      </c>
      <c r="K527" t="n">
        <v>0.6677157174036119</v>
      </c>
      <c r="L527" t="b">
        <v>1</v>
      </c>
      <c r="M527" t="inlineStr">
        <is>
          <t>top_quartile_risk</t>
        </is>
      </c>
      <c r="N527" t="n">
        <v>43.78953501036358</v>
      </c>
      <c r="O527" t="n">
        <v>1</v>
      </c>
      <c r="P527" t="n">
        <v>1</v>
      </c>
      <c r="Q527" t="n">
        <v>49.12169850784694</v>
      </c>
      <c r="R527" t="n">
        <v>7.543529351768006</v>
      </c>
      <c r="S527" t="n">
        <v>4.885877318116972</v>
      </c>
      <c r="T527" t="n">
        <v>0.1069900142653393</v>
      </c>
      <c r="U527" t="n">
        <v>0.3570432357043236</v>
      </c>
      <c r="V527" t="n">
        <v>0.6847977684797768</v>
      </c>
      <c r="W527" t="n">
        <v>0.02510460251046025</v>
      </c>
      <c r="X527" t="n">
        <v>0.3379917685514423</v>
      </c>
      <c r="Y527" t="n">
        <v>10.49168312862681</v>
      </c>
      <c r="Z527" t="n">
        <v>0.7184388435334964</v>
      </c>
      <c r="AA527" t="n">
        <v>0</v>
      </c>
    </row>
    <row r="528">
      <c r="A528" t="inlineStr">
        <is>
          <t>2024-06-24</t>
        </is>
      </c>
      <c r="B528" t="inlineStr">
        <is>
          <t>CW</t>
        </is>
      </c>
      <c r="C528" t="inlineStr">
        <is>
          <t>09:17</t>
        </is>
      </c>
      <c r="D528" t="n">
        <v>-7.28909653740275</v>
      </c>
      <c r="E528" t="n">
        <v>0.2895034543671978</v>
      </c>
      <c r="F528" t="n">
        <v>4.029983964420748</v>
      </c>
      <c r="G528" t="n">
        <v>0.5219023779724656</v>
      </c>
      <c r="H528" t="n">
        <v>0.05381727158948686</v>
      </c>
      <c r="I528" t="n">
        <v>0.3356578335657834</v>
      </c>
      <c r="J528" t="n">
        <v>0.2974194265379377</v>
      </c>
      <c r="K528" t="n">
        <v>0.6677157174036119</v>
      </c>
      <c r="L528" t="b">
        <v>0</v>
      </c>
      <c r="N528" t="n">
        <v>92.91123351821079</v>
      </c>
      <c r="O528" t="n">
        <v>2</v>
      </c>
      <c r="P528" t="n">
        <v>1</v>
      </c>
      <c r="Q528" t="n">
        <v>7.28909653740275</v>
      </c>
      <c r="R528" t="n">
        <v>9.79848914999083</v>
      </c>
      <c r="S528" t="n">
        <v>2.268794462603337</v>
      </c>
      <c r="T528" t="n">
        <v>0.1730436454527986</v>
      </c>
      <c r="U528" t="n">
        <v>0.495118549511855</v>
      </c>
      <c r="V528" t="n">
        <v>0.3291492329149233</v>
      </c>
      <c r="W528" t="n">
        <v>0.1827057182705718</v>
      </c>
      <c r="X528" t="n">
        <v>0.2895034543671978</v>
      </c>
      <c r="Y528" t="n">
        <v>4.029983964420746</v>
      </c>
      <c r="Z528" t="n">
        <v>0.2974194265379377</v>
      </c>
      <c r="AA528" t="n">
        <v>0</v>
      </c>
    </row>
    <row r="529">
      <c r="A529" t="inlineStr">
        <is>
          <t>2024-06-25</t>
        </is>
      </c>
      <c r="B529" t="inlineStr">
        <is>
          <t>CW</t>
        </is>
      </c>
      <c r="C529" t="inlineStr">
        <is>
          <t>09:18</t>
        </is>
      </c>
      <c r="D529" t="n">
        <v>-8.890042852092618</v>
      </c>
      <c r="E529" t="n">
        <v>0.3227669211558907</v>
      </c>
      <c r="F529" t="n">
        <v>5.146824985311299</v>
      </c>
      <c r="G529" t="n">
        <v>0.6883604505632041</v>
      </c>
      <c r="H529" t="n">
        <v>0.1514392991239049</v>
      </c>
      <c r="I529" t="n">
        <v>0.298930729893073</v>
      </c>
      <c r="J529" t="n">
        <v>0.3957060458534582</v>
      </c>
      <c r="K529" t="n">
        <v>0.6677157174036119</v>
      </c>
      <c r="L529" t="b">
        <v>0</v>
      </c>
      <c r="N529" t="n">
        <v>100.2003300556134</v>
      </c>
      <c r="O529" t="n">
        <v>3</v>
      </c>
      <c r="P529" t="n">
        <v>1</v>
      </c>
      <c r="Q529" t="n">
        <v>8.890042852092618</v>
      </c>
      <c r="R529" t="n">
        <v>7.376835464773048</v>
      </c>
      <c r="S529" t="n">
        <v>1.147578609134726</v>
      </c>
      <c r="T529" t="n">
        <v>0.2295157218269451</v>
      </c>
      <c r="U529" t="n">
        <v>0.3458856345885635</v>
      </c>
      <c r="V529" t="n">
        <v>0.05160390516039052</v>
      </c>
      <c r="W529" t="n">
        <v>0.499302649930265</v>
      </c>
      <c r="X529" t="n">
        <v>0.3227669211558907</v>
      </c>
      <c r="Y529" t="n">
        <v>5.146824985311302</v>
      </c>
      <c r="Z529" t="n">
        <v>0.3957060458534582</v>
      </c>
      <c r="AA529" t="n">
        <v>0</v>
      </c>
    </row>
    <row r="530">
      <c r="A530" t="inlineStr">
        <is>
          <t>2024-06-26</t>
        </is>
      </c>
      <c r="B530" t="inlineStr">
        <is>
          <t>CW</t>
        </is>
      </c>
      <c r="C530" t="inlineStr">
        <is>
          <t>09:16</t>
        </is>
      </c>
      <c r="D530" t="n">
        <v>20.41199282223619</v>
      </c>
      <c r="E530" t="n">
        <v>0.3028368476557423</v>
      </c>
      <c r="F530" t="n">
        <v>6.906464692159</v>
      </c>
      <c r="G530" t="n">
        <v>0.5819774718397998</v>
      </c>
      <c r="H530" t="n">
        <v>0.4080100125156446</v>
      </c>
      <c r="I530" t="n">
        <v>0.6754997675499768</v>
      </c>
      <c r="J530" t="n">
        <v>0.5310949472521731</v>
      </c>
      <c r="K530" t="n">
        <v>0.6677157174036119</v>
      </c>
      <c r="L530" t="b">
        <v>0</v>
      </c>
      <c r="N530" t="n">
        <v>109.0903729077063</v>
      </c>
      <c r="O530" t="n">
        <v>4</v>
      </c>
      <c r="P530" t="n">
        <v>0</v>
      </c>
      <c r="Q530" t="n">
        <v>0</v>
      </c>
      <c r="R530" t="n">
        <v>11.04734758244277</v>
      </c>
      <c r="S530" t="n">
        <v>10.22556390977444</v>
      </c>
      <c r="T530" t="n">
        <v>0.2506265664160401</v>
      </c>
      <c r="U530" t="n">
        <v>0.5453277545327755</v>
      </c>
      <c r="V530" t="n">
        <v>0.8884239888423989</v>
      </c>
      <c r="W530" t="n">
        <v>0.592747559274756</v>
      </c>
      <c r="X530" t="n">
        <v>0.3028368476557422</v>
      </c>
      <c r="Y530" t="n">
        <v>6.906464692158998</v>
      </c>
      <c r="Z530" t="n">
        <v>0.5310949472521731</v>
      </c>
      <c r="AA530" t="n">
        <v>0</v>
      </c>
    </row>
    <row r="531">
      <c r="A531" t="inlineStr">
        <is>
          <t>2024-06-27</t>
        </is>
      </c>
      <c r="B531" t="inlineStr">
        <is>
          <t>CW</t>
        </is>
      </c>
      <c r="C531" t="inlineStr">
        <is>
          <t>09:16</t>
        </is>
      </c>
      <c r="D531" t="n">
        <v>11.26612255797156</v>
      </c>
      <c r="E531" t="n">
        <v>0.3916493616545644</v>
      </c>
      <c r="F531" t="n">
        <v>9.978668169720116</v>
      </c>
      <c r="G531" t="n">
        <v>0.9261576971214017</v>
      </c>
      <c r="H531" t="n">
        <v>0.7884856070087609</v>
      </c>
      <c r="I531" t="n">
        <v>0.6931659693165969</v>
      </c>
      <c r="J531" t="n">
        <v>0.8244905155153845</v>
      </c>
      <c r="K531" t="n">
        <v>0.6677157174036119</v>
      </c>
      <c r="L531" t="b">
        <v>1</v>
      </c>
      <c r="M531" t="inlineStr">
        <is>
          <t>top_quartile_risk</t>
        </is>
      </c>
      <c r="N531" t="n">
        <v>88.67838008547005</v>
      </c>
      <c r="O531" t="n">
        <v>0</v>
      </c>
      <c r="P531" t="n">
        <v>0</v>
      </c>
      <c r="Q531" t="n">
        <v>0</v>
      </c>
      <c r="R531" t="n">
        <v>15.82863092838787</v>
      </c>
      <c r="S531" t="n">
        <v>8.209459459459444</v>
      </c>
      <c r="T531" t="n">
        <v>0.2364864864864922</v>
      </c>
      <c r="U531" t="n">
        <v>0.7252440725244073</v>
      </c>
      <c r="V531" t="n">
        <v>0.8284518828451883</v>
      </c>
      <c r="W531" t="n">
        <v>0.5258019525801952</v>
      </c>
      <c r="X531" t="n">
        <v>0.3916493616545644</v>
      </c>
      <c r="Y531" t="n">
        <v>9.978668169720116</v>
      </c>
      <c r="Z531" t="n">
        <v>0.8244905155153845</v>
      </c>
      <c r="AA531" t="n">
        <v>0</v>
      </c>
    </row>
    <row r="532">
      <c r="A532" t="inlineStr">
        <is>
          <t>2024-06-28</t>
        </is>
      </c>
      <c r="B532" t="inlineStr">
        <is>
          <t>CW</t>
        </is>
      </c>
      <c r="C532" t="inlineStr">
        <is>
          <t>09:16</t>
        </is>
      </c>
      <c r="D532" t="n">
        <v>20.43849350174323</v>
      </c>
      <c r="E532" t="n">
        <v>0.22966587774786</v>
      </c>
      <c r="F532" t="n">
        <v>5.581660731835205</v>
      </c>
      <c r="G532" t="n">
        <v>0.1727158948685857</v>
      </c>
      <c r="H532" t="n">
        <v>0.214017521902378</v>
      </c>
      <c r="I532" t="n">
        <v>0.695025569502557</v>
      </c>
      <c r="J532" t="n">
        <v>0.2936984806088969</v>
      </c>
      <c r="K532" t="n">
        <v>0.6677157174036119</v>
      </c>
      <c r="L532" t="b">
        <v>0</v>
      </c>
      <c r="N532" t="n">
        <v>77.4122575274987</v>
      </c>
      <c r="O532" t="n">
        <v>0</v>
      </c>
      <c r="P532" t="n">
        <v>0</v>
      </c>
      <c r="Q532" t="n">
        <v>0</v>
      </c>
      <c r="R532" t="n">
        <v>25.42292044243468</v>
      </c>
      <c r="S532" t="n">
        <v>6.341390629662786</v>
      </c>
      <c r="T532" t="n">
        <v>0.2238137869292748</v>
      </c>
      <c r="U532" t="n">
        <v>0.8619246861924686</v>
      </c>
      <c r="V532" t="n">
        <v>0.7573221757322176</v>
      </c>
      <c r="W532" t="n">
        <v>0.4658298465829847</v>
      </c>
      <c r="X532" t="n">
        <v>0.2296658777478601</v>
      </c>
      <c r="Y532" t="n">
        <v>5.581660731835208</v>
      </c>
      <c r="Z532" t="n">
        <v>0.2936984806088969</v>
      </c>
      <c r="AA532" t="n">
        <v>0</v>
      </c>
    </row>
    <row r="533">
      <c r="A533" t="inlineStr">
        <is>
          <t>2024-07-01</t>
        </is>
      </c>
      <c r="B533" t="inlineStr">
        <is>
          <t>CW</t>
        </is>
      </c>
      <c r="C533" t="inlineStr">
        <is>
          <t>09:17</t>
        </is>
      </c>
      <c r="D533" t="n">
        <v>15.76737236580095</v>
      </c>
      <c r="E533" t="n">
        <v>0.3492895938531588</v>
      </c>
      <c r="F533" t="n">
        <v>6.633193695565168</v>
      </c>
      <c r="G533" t="n">
        <v>0.8122653316645807</v>
      </c>
      <c r="H533" t="n">
        <v>0.3667083854818523</v>
      </c>
      <c r="I533" t="n">
        <v>0.3059042305904231</v>
      </c>
      <c r="J533" t="n">
        <v>0.5327703329766579</v>
      </c>
      <c r="K533" t="n">
        <v>0.6677157174036119</v>
      </c>
      <c r="L533" t="b">
        <v>0</v>
      </c>
      <c r="N533" t="n">
        <v>56.97376402575537</v>
      </c>
      <c r="O533" t="n">
        <v>0</v>
      </c>
      <c r="P533" t="n">
        <v>0</v>
      </c>
      <c r="Q533" t="n">
        <v>0</v>
      </c>
      <c r="R533" t="n">
        <v>5.469503876485482</v>
      </c>
      <c r="S533" t="n">
        <v>2.381792519407218</v>
      </c>
      <c r="T533" t="n">
        <v>0.2117148906139712</v>
      </c>
      <c r="U533" t="n">
        <v>0.1659693165969316</v>
      </c>
      <c r="V533" t="n">
        <v>0.3626220362622036</v>
      </c>
      <c r="W533" t="n">
        <v>0.3891213389121339</v>
      </c>
      <c r="X533" t="n">
        <v>0.3492895938531588</v>
      </c>
      <c r="Y533" t="n">
        <v>6.633193695565168</v>
      </c>
      <c r="Z533" t="n">
        <v>0.5327703329766579</v>
      </c>
      <c r="AA533" t="n">
        <v>0</v>
      </c>
    </row>
    <row r="534">
      <c r="A534" t="inlineStr">
        <is>
          <t>2024-07-02</t>
        </is>
      </c>
      <c r="B534" t="inlineStr">
        <is>
          <t>CW</t>
        </is>
      </c>
      <c r="C534" t="inlineStr">
        <is>
          <t>09:17</t>
        </is>
      </c>
      <c r="D534" t="n">
        <v>-1.122454164116002</v>
      </c>
      <c r="E534" t="n">
        <v>0.3342682524170861</v>
      </c>
      <c r="F534" t="n">
        <v>6.302197724530081</v>
      </c>
      <c r="G534" t="n">
        <v>0.7571964956195244</v>
      </c>
      <c r="H534" t="n">
        <v>0.3128911138923655</v>
      </c>
      <c r="I534" t="n">
        <v>0.3119479311947931</v>
      </c>
      <c r="J534" t="n">
        <v>0.4904246300437146</v>
      </c>
      <c r="K534" t="n">
        <v>0.6677157174036119</v>
      </c>
      <c r="L534" t="b">
        <v>0</v>
      </c>
      <c r="N534" t="n">
        <v>41.20639165995453</v>
      </c>
      <c r="O534" t="n">
        <v>0</v>
      </c>
      <c r="P534" t="n">
        <v>1</v>
      </c>
      <c r="Q534" t="n">
        <v>1.122454164116002</v>
      </c>
      <c r="R534" t="n">
        <v>9.37927387066398</v>
      </c>
      <c r="S534" t="n">
        <v>2.983138780804141</v>
      </c>
      <c r="T534" t="n">
        <v>0.0432338953739707</v>
      </c>
      <c r="U534" t="n">
        <v>0.4658298465829847</v>
      </c>
      <c r="V534" t="n">
        <v>0.4686192468619247</v>
      </c>
      <c r="W534" t="n">
        <v>0.001394700139470014</v>
      </c>
      <c r="X534" t="n">
        <v>0.3342682524170861</v>
      </c>
      <c r="Y534" t="n">
        <v>6.302197724530082</v>
      </c>
      <c r="Z534" t="n">
        <v>0.4904246300437146</v>
      </c>
      <c r="AA534" t="n">
        <v>0</v>
      </c>
    </row>
    <row r="535">
      <c r="A535" t="inlineStr">
        <is>
          <t>2024-07-03</t>
        </is>
      </c>
      <c r="B535" t="inlineStr">
        <is>
          <t>CW</t>
        </is>
      </c>
      <c r="C535" t="inlineStr">
        <is>
          <t>09:17</t>
        </is>
      </c>
      <c r="D535" t="n">
        <v>-1.041546630802415</v>
      </c>
      <c r="E535" t="n">
        <v>0.3165486723799579</v>
      </c>
      <c r="F535" t="n">
        <v>8.131845802762946</v>
      </c>
      <c r="G535" t="n">
        <v>0.6483103879849812</v>
      </c>
      <c r="H535" t="n">
        <v>0.5569461827284106</v>
      </c>
      <c r="I535" t="n">
        <v>0.4904695490469549</v>
      </c>
      <c r="J535" t="n">
        <v>0.5801965380947477</v>
      </c>
      <c r="K535" t="n">
        <v>0.6677157174036119</v>
      </c>
      <c r="L535" t="b">
        <v>0</v>
      </c>
      <c r="N535" t="n">
        <v>42.32884582407041</v>
      </c>
      <c r="O535" t="n">
        <v>1</v>
      </c>
      <c r="P535" t="n">
        <v>1</v>
      </c>
      <c r="Q535" t="n">
        <v>1.041546630802415</v>
      </c>
      <c r="R535" t="n">
        <v>7.634769151405726</v>
      </c>
      <c r="S535" t="n">
        <v>4.58970792767733</v>
      </c>
      <c r="T535" t="n">
        <v>0.2225312934631464</v>
      </c>
      <c r="U535" t="n">
        <v>0.3640167364016736</v>
      </c>
      <c r="V535" t="n">
        <v>0.6499302649930265</v>
      </c>
      <c r="W535" t="n">
        <v>0.4574616457461645</v>
      </c>
      <c r="X535" t="n">
        <v>0.3165486723799579</v>
      </c>
      <c r="Y535" t="n">
        <v>8.131845802762946</v>
      </c>
      <c r="Z535" t="n">
        <v>0.5801965380947477</v>
      </c>
      <c r="AA535" t="n">
        <v>0</v>
      </c>
    </row>
    <row r="536">
      <c r="A536" t="inlineStr">
        <is>
          <t>2024-07-04</t>
        </is>
      </c>
      <c r="B536" t="inlineStr">
        <is>
          <t>CW</t>
        </is>
      </c>
      <c r="C536" t="inlineStr">
        <is>
          <t>09:16</t>
        </is>
      </c>
      <c r="D536" t="n">
        <v>50.34539586187093</v>
      </c>
      <c r="E536" t="n">
        <v>0.2628871075995481</v>
      </c>
      <c r="F536" t="n">
        <v>8.602048488216507</v>
      </c>
      <c r="G536" t="n">
        <v>0.3529411764705883</v>
      </c>
      <c r="H536" t="n">
        <v>0.6220275344180225</v>
      </c>
      <c r="I536" t="n">
        <v>0.6336587633658763</v>
      </c>
      <c r="J536" t="n">
        <v>0.5167192370286195</v>
      </c>
      <c r="K536" t="n">
        <v>0.6677157174036119</v>
      </c>
      <c r="L536" t="b">
        <v>0</v>
      </c>
      <c r="N536" t="n">
        <v>43.37039245487267</v>
      </c>
      <c r="O536" t="n">
        <v>2</v>
      </c>
      <c r="P536" t="n">
        <v>0</v>
      </c>
      <c r="Q536" t="n">
        <v>0</v>
      </c>
      <c r="R536" t="n">
        <v>14.01282522801601</v>
      </c>
      <c r="S536" t="n">
        <v>14.24625098658248</v>
      </c>
      <c r="T536" t="n">
        <v>0.1973164956590371</v>
      </c>
      <c r="U536" t="n">
        <v>0.6778242677824268</v>
      </c>
      <c r="V536" t="n">
        <v>0.9232914923291492</v>
      </c>
      <c r="W536" t="n">
        <v>0.299860529986053</v>
      </c>
      <c r="X536" t="n">
        <v>0.2628871075995481</v>
      </c>
      <c r="Y536" t="n">
        <v>8.602048488216507</v>
      </c>
      <c r="Z536" t="n">
        <v>0.5167192370286195</v>
      </c>
      <c r="AA536" t="n">
        <v>0</v>
      </c>
    </row>
    <row r="537">
      <c r="A537" t="inlineStr">
        <is>
          <t>2024-07-10</t>
        </is>
      </c>
      <c r="B537" t="inlineStr">
        <is>
          <t>CW</t>
        </is>
      </c>
      <c r="C537" t="inlineStr">
        <is>
          <t>09:20+</t>
        </is>
      </c>
      <c r="D537" t="n">
        <v>-36.64822318965132</v>
      </c>
      <c r="E537" t="n">
        <v>0.3812917999493728</v>
      </c>
      <c r="F537" t="n">
        <v>13.21665850367038</v>
      </c>
      <c r="G537" t="n">
        <v>0.9036295369211514</v>
      </c>
      <c r="H537" t="n">
        <v>0.9574468085106383</v>
      </c>
      <c r="I537" t="n">
        <v>0.7368665736866573</v>
      </c>
      <c r="J537" t="n">
        <v>0.8918038529100475</v>
      </c>
      <c r="K537" t="n">
        <v>0.6677157174036119</v>
      </c>
      <c r="L537" t="b">
        <v>1</v>
      </c>
      <c r="M537" t="inlineStr">
        <is>
          <t>top_quartile_risk</t>
        </is>
      </c>
      <c r="N537" t="n">
        <v>0</v>
      </c>
      <c r="O537" t="n">
        <v>0</v>
      </c>
      <c r="P537" t="n">
        <v>1</v>
      </c>
      <c r="Q537" t="n">
        <v>36.64822318965132</v>
      </c>
      <c r="R537" t="n">
        <v>16.49143658507938</v>
      </c>
      <c r="S537" t="n">
        <v>4.66571834992887</v>
      </c>
      <c r="T537" t="n">
        <v>0.3413940256045568</v>
      </c>
      <c r="U537" t="n">
        <v>0.7364016736401674</v>
      </c>
      <c r="V537" t="n">
        <v>0.6596931659693166</v>
      </c>
      <c r="W537" t="n">
        <v>0.8145048814504882</v>
      </c>
      <c r="X537" t="n">
        <v>0.3812917999493729</v>
      </c>
      <c r="Y537" t="n">
        <v>13.21665850367038</v>
      </c>
      <c r="Z537" t="n">
        <v>0.8918038529100475</v>
      </c>
      <c r="AA537" t="n">
        <v>0</v>
      </c>
    </row>
    <row r="538">
      <c r="A538" t="inlineStr">
        <is>
          <t>2024-07-15</t>
        </is>
      </c>
      <c r="B538" t="inlineStr">
        <is>
          <t>CW</t>
        </is>
      </c>
      <c r="C538" t="inlineStr">
        <is>
          <t>09:18</t>
        </is>
      </c>
      <c r="D538" t="n">
        <v>20.74617456707046</v>
      </c>
      <c r="E538" t="n">
        <v>0.3829719184371845</v>
      </c>
      <c r="F538" t="n">
        <v>10.27970227651359</v>
      </c>
      <c r="G538" t="n">
        <v>0.9098873591989988</v>
      </c>
      <c r="H538" t="n">
        <v>0.8210262828535669</v>
      </c>
      <c r="I538" t="n">
        <v>0.1715481171548117</v>
      </c>
      <c r="J538" t="n">
        <v>0.7266750802519886</v>
      </c>
      <c r="K538" t="n">
        <v>0.6677157174036119</v>
      </c>
      <c r="L538" t="b">
        <v>1</v>
      </c>
      <c r="M538" t="inlineStr">
        <is>
          <t>top_quartile_risk</t>
        </is>
      </c>
      <c r="N538" t="n">
        <v>36.64822318965162</v>
      </c>
      <c r="O538" t="n">
        <v>1</v>
      </c>
      <c r="P538" t="n">
        <v>0</v>
      </c>
      <c r="Q538" t="n">
        <v>0</v>
      </c>
      <c r="R538" t="n">
        <v>4.536383627519297</v>
      </c>
      <c r="S538" t="n">
        <v>2.049088043233511</v>
      </c>
      <c r="T538" t="n">
        <v>0.1576221571718055</v>
      </c>
      <c r="U538" t="n">
        <v>0.101813110181311</v>
      </c>
      <c r="V538" t="n">
        <v>0.2873082287308228</v>
      </c>
      <c r="W538" t="n">
        <v>0.1255230125523012</v>
      </c>
      <c r="X538" t="n">
        <v>0.3829719184371845</v>
      </c>
      <c r="Y538" t="n">
        <v>10.27970227651359</v>
      </c>
      <c r="Z538" t="n">
        <v>0.7266750802519886</v>
      </c>
      <c r="AA538" t="n">
        <v>0</v>
      </c>
    </row>
    <row r="539">
      <c r="A539" t="inlineStr">
        <is>
          <t>2024-07-16</t>
        </is>
      </c>
      <c r="B539" t="inlineStr">
        <is>
          <t>CW</t>
        </is>
      </c>
      <c r="C539" t="inlineStr">
        <is>
          <t>09:17</t>
        </is>
      </c>
      <c r="D539" t="n">
        <v>37.87937761617429</v>
      </c>
      <c r="E539" t="n">
        <v>0.288589756518883</v>
      </c>
      <c r="F539" t="n">
        <v>7.759485219851563</v>
      </c>
      <c r="G539" t="n">
        <v>0.5156445556946183</v>
      </c>
      <c r="H539" t="n">
        <v>0.5181476846057572</v>
      </c>
      <c r="I539" t="n">
        <v>0.3454207345420734</v>
      </c>
      <c r="J539" t="n">
        <v>0.4826010430285649</v>
      </c>
      <c r="K539" t="n">
        <v>0.6677157174036119</v>
      </c>
      <c r="L539" t="b">
        <v>0</v>
      </c>
      <c r="N539" t="n">
        <v>15.90204862258088</v>
      </c>
      <c r="O539" t="n">
        <v>0</v>
      </c>
      <c r="P539" t="n">
        <v>0</v>
      </c>
      <c r="Q539" t="n">
        <v>0</v>
      </c>
      <c r="R539" t="n">
        <v>3.532779729153849</v>
      </c>
      <c r="S539" t="n">
        <v>2.622860298177802</v>
      </c>
      <c r="T539" t="n">
        <v>0.2484815019326355</v>
      </c>
      <c r="U539" t="n">
        <v>0.04323570432357043</v>
      </c>
      <c r="V539" t="n">
        <v>0.4128312412831242</v>
      </c>
      <c r="W539" t="n">
        <v>0.5801952580195258</v>
      </c>
      <c r="X539" t="n">
        <v>0.288589756518883</v>
      </c>
      <c r="Y539" t="n">
        <v>7.759485219851564</v>
      </c>
      <c r="Z539" t="n">
        <v>0.4826010430285649</v>
      </c>
      <c r="AA539" t="n">
        <v>5.551115123125783e-17</v>
      </c>
    </row>
    <row r="540">
      <c r="A540" t="inlineStr">
        <is>
          <t>2024-07-18</t>
        </is>
      </c>
      <c r="B540" t="inlineStr">
        <is>
          <t>NW</t>
        </is>
      </c>
      <c r="C540" t="inlineStr">
        <is>
          <t>NW</t>
        </is>
      </c>
      <c r="D540" t="n">
        <v>-27.71545999374472</v>
      </c>
      <c r="E540" t="n">
        <v>0.4649314860176744</v>
      </c>
      <c r="F540" t="n">
        <v>16.27716400400489</v>
      </c>
      <c r="G540" t="n">
        <v>0.986232790988736</v>
      </c>
      <c r="H540" t="n">
        <v>0.9899874843554443</v>
      </c>
      <c r="I540" t="n">
        <v>0.5</v>
      </c>
      <c r="J540" t="n">
        <v>0.8904881101376722</v>
      </c>
      <c r="K540" t="n">
        <v>0.6677157174036119</v>
      </c>
      <c r="L540" t="b">
        <v>1</v>
      </c>
      <c r="M540" t="inlineStr">
        <is>
          <t>top_quartile_risk</t>
        </is>
      </c>
      <c r="N540" t="n">
        <v>0</v>
      </c>
      <c r="O540" t="n">
        <v>0</v>
      </c>
      <c r="P540" t="n">
        <v>1</v>
      </c>
      <c r="Q540" t="n">
        <v>27.71545999374472</v>
      </c>
      <c r="U540" t="n">
        <v>0.5</v>
      </c>
      <c r="V540" t="n">
        <v>0.5</v>
      </c>
      <c r="W540" t="n">
        <v>0.5</v>
      </c>
      <c r="X540" t="n">
        <v>0.4649314860176744</v>
      </c>
      <c r="Y540" t="n">
        <v>16.27716400400488</v>
      </c>
      <c r="Z540" t="n">
        <v>0.8904881101376722</v>
      </c>
      <c r="AA540" t="n">
        <v>0</v>
      </c>
    </row>
    <row r="541">
      <c r="A541" t="inlineStr">
        <is>
          <t>2024-07-19</t>
        </is>
      </c>
      <c r="B541" t="inlineStr">
        <is>
          <t>CW</t>
        </is>
      </c>
      <c r="C541" t="inlineStr">
        <is>
          <t>09:17</t>
        </is>
      </c>
      <c r="D541" t="n">
        <v>-41.08964780551291</v>
      </c>
      <c r="E541" t="n">
        <v>0.3449532630369383</v>
      </c>
      <c r="F541" t="n">
        <v>13.16258689952177</v>
      </c>
      <c r="G541" t="n">
        <v>0.8022528160200251</v>
      </c>
      <c r="H541" t="n">
        <v>0.9561952440550688</v>
      </c>
      <c r="I541" t="n">
        <v>0.06043700604370061</v>
      </c>
      <c r="J541" t="n">
        <v>0.7154666252387777</v>
      </c>
      <c r="K541" t="n">
        <v>0.6677157174036119</v>
      </c>
      <c r="L541" t="b">
        <v>1</v>
      </c>
      <c r="M541" t="inlineStr">
        <is>
          <t>top_quartile_risk</t>
        </is>
      </c>
      <c r="N541" t="n">
        <v>27.71545999374484</v>
      </c>
      <c r="O541" t="n">
        <v>1</v>
      </c>
      <c r="P541" t="n">
        <v>1</v>
      </c>
      <c r="Q541" t="n">
        <v>41.08964780551291</v>
      </c>
      <c r="R541" t="n">
        <v>4.460087264332989</v>
      </c>
      <c r="S541" t="n">
        <v>0.7434106780806385</v>
      </c>
      <c r="T541" t="n">
        <v>0.1351655778328375</v>
      </c>
      <c r="U541" t="n">
        <v>0.09623430962343096</v>
      </c>
      <c r="V541" t="n">
        <v>0.00697350069735007</v>
      </c>
      <c r="W541" t="n">
        <v>0.07810320781032078</v>
      </c>
      <c r="X541" t="n">
        <v>0.3449532630369383</v>
      </c>
      <c r="Y541" t="n">
        <v>13.16258689952177</v>
      </c>
      <c r="Z541" t="n">
        <v>0.7154666252387777</v>
      </c>
      <c r="AA541" t="n">
        <v>0</v>
      </c>
    </row>
    <row r="542">
      <c r="A542" t="inlineStr">
        <is>
          <t>2024-07-22</t>
        </is>
      </c>
      <c r="B542" t="inlineStr">
        <is>
          <t>CW</t>
        </is>
      </c>
      <c r="C542" t="inlineStr">
        <is>
          <t>09:16</t>
        </is>
      </c>
      <c r="D542" t="n">
        <v>16.48122546999994</v>
      </c>
      <c r="E542" t="n">
        <v>0.3689974983152066</v>
      </c>
      <c r="F542" t="n">
        <v>12.8034302243308</v>
      </c>
      <c r="G542" t="n">
        <v>0.869837296620776</v>
      </c>
      <c r="H542" t="n">
        <v>0.9474342928660826</v>
      </c>
      <c r="I542" t="n">
        <v>0.6596931659693166</v>
      </c>
      <c r="J542" t="n">
        <v>0.8588472689886069</v>
      </c>
      <c r="K542" t="n">
        <v>0.6677157174036119</v>
      </c>
      <c r="L542" t="b">
        <v>1</v>
      </c>
      <c r="M542" t="inlineStr">
        <is>
          <t>top_quartile_risk</t>
        </is>
      </c>
      <c r="N542" t="n">
        <v>68.80510779925771</v>
      </c>
      <c r="O542" t="n">
        <v>2</v>
      </c>
      <c r="P542" t="n">
        <v>0</v>
      </c>
      <c r="Q542" t="n">
        <v>0</v>
      </c>
      <c r="R542" t="n">
        <v>26.83447431059833</v>
      </c>
      <c r="S542" t="n">
        <v>7.24573941726223</v>
      </c>
      <c r="T542" t="n">
        <v>0.1979109400769666</v>
      </c>
      <c r="U542" t="n">
        <v>0.8786610878661087</v>
      </c>
      <c r="V542" t="n">
        <v>0.796373779637378</v>
      </c>
      <c r="W542" t="n">
        <v>0.3040446304044631</v>
      </c>
      <c r="X542" t="n">
        <v>0.3689974983152066</v>
      </c>
      <c r="Y542" t="n">
        <v>12.80343022433079</v>
      </c>
      <c r="Z542" t="n">
        <v>0.8588472689886069</v>
      </c>
      <c r="AA542" t="n">
        <v>0</v>
      </c>
    </row>
    <row r="543">
      <c r="A543" t="inlineStr">
        <is>
          <t>2024-07-23</t>
        </is>
      </c>
      <c r="B543" t="inlineStr">
        <is>
          <t>CW</t>
        </is>
      </c>
      <c r="C543" t="inlineStr">
        <is>
          <t>09:18</t>
        </is>
      </c>
      <c r="D543" t="n">
        <v>-13.26431724959482</v>
      </c>
      <c r="E543" t="n">
        <v>0.436897180288789</v>
      </c>
      <c r="F543" t="n">
        <v>10.15663878504205</v>
      </c>
      <c r="G543" t="n">
        <v>0.9762202753441802</v>
      </c>
      <c r="H543" t="n">
        <v>0.8060075093867334</v>
      </c>
      <c r="I543" t="n">
        <v>0.2259414225941423</v>
      </c>
      <c r="J543" t="n">
        <v>0.758079398411194</v>
      </c>
      <c r="K543" t="n">
        <v>0.6677157174036119</v>
      </c>
      <c r="L543" t="b">
        <v>1</v>
      </c>
      <c r="M543" t="inlineStr">
        <is>
          <t>top_quartile_risk</t>
        </is>
      </c>
      <c r="N543" t="n">
        <v>52.32388232925769</v>
      </c>
      <c r="O543" t="n">
        <v>0</v>
      </c>
      <c r="P543" t="n">
        <v>1</v>
      </c>
      <c r="Q543" t="n">
        <v>13.26431724959482</v>
      </c>
      <c r="R543" t="n">
        <v>5.073887208914036</v>
      </c>
      <c r="S543" t="n">
        <v>2.279855247285884</v>
      </c>
      <c r="T543" t="n">
        <v>0.180940892641737</v>
      </c>
      <c r="U543" t="n">
        <v>0.1324965132496513</v>
      </c>
      <c r="V543" t="n">
        <v>0.3347280334728033</v>
      </c>
      <c r="W543" t="n">
        <v>0.2105997210599721</v>
      </c>
      <c r="X543" t="n">
        <v>0.436897180288789</v>
      </c>
      <c r="Y543" t="n">
        <v>10.15663878504205</v>
      </c>
      <c r="Z543" t="n">
        <v>0.758079398411194</v>
      </c>
      <c r="AA543" t="n">
        <v>0</v>
      </c>
    </row>
    <row r="544">
      <c r="A544" t="inlineStr">
        <is>
          <t>2024-07-24</t>
        </is>
      </c>
      <c r="B544" t="inlineStr">
        <is>
          <t>NW</t>
        </is>
      </c>
      <c r="C544" t="inlineStr">
        <is>
          <t>NW</t>
        </is>
      </c>
      <c r="D544" t="n">
        <v>-43.87973219074794</v>
      </c>
      <c r="E544" t="n">
        <v>0.3676369733699589</v>
      </c>
      <c r="F544" t="n">
        <v>11.3560957542829</v>
      </c>
      <c r="G544" t="n">
        <v>0.8635794743429287</v>
      </c>
      <c r="H544" t="n">
        <v>0.9011264080100125</v>
      </c>
      <c r="I544" t="n">
        <v>0.5</v>
      </c>
      <c r="J544" t="n">
        <v>0.8058823529411765</v>
      </c>
      <c r="K544" t="n">
        <v>0.6677157174036119</v>
      </c>
      <c r="L544" t="b">
        <v>1</v>
      </c>
      <c r="M544" t="inlineStr">
        <is>
          <t>top_quartile_risk</t>
        </is>
      </c>
      <c r="N544" t="n">
        <v>65.58819957885225</v>
      </c>
      <c r="O544" t="n">
        <v>1</v>
      </c>
      <c r="P544" t="n">
        <v>1</v>
      </c>
      <c r="Q544" t="n">
        <v>43.87973219074794</v>
      </c>
      <c r="U544" t="n">
        <v>0.5</v>
      </c>
      <c r="V544" t="n">
        <v>0.5</v>
      </c>
      <c r="W544" t="n">
        <v>0.5</v>
      </c>
      <c r="X544" t="n">
        <v>0.3676369733699589</v>
      </c>
      <c r="Y544" t="n">
        <v>11.3560957542829</v>
      </c>
      <c r="Z544" t="n">
        <v>0.8058823529411765</v>
      </c>
      <c r="AA544" t="n">
        <v>0</v>
      </c>
    </row>
    <row r="545">
      <c r="A545" t="inlineStr">
        <is>
          <t>2024-07-25</t>
        </is>
      </c>
      <c r="B545" t="inlineStr">
        <is>
          <t>CW</t>
        </is>
      </c>
      <c r="C545" t="inlineStr">
        <is>
          <t>09:16</t>
        </is>
      </c>
      <c r="D545" t="n">
        <v>39.24873662346216</v>
      </c>
      <c r="E545" t="n">
        <v>0.264494984852814</v>
      </c>
      <c r="F545" t="n">
        <v>8.310524451493711</v>
      </c>
      <c r="G545" t="n">
        <v>0.3642052565707134</v>
      </c>
      <c r="H545" t="n">
        <v>0.5807259073842302</v>
      </c>
      <c r="I545" t="n">
        <v>0.8410041841004183</v>
      </c>
      <c r="J545" t="n">
        <v>0.5461733024020612</v>
      </c>
      <c r="K545" t="n">
        <v>0.6677157174036119</v>
      </c>
      <c r="L545" t="b">
        <v>0</v>
      </c>
      <c r="N545" t="n">
        <v>109.4679317696</v>
      </c>
      <c r="O545" t="n">
        <v>2</v>
      </c>
      <c r="P545" t="n">
        <v>0</v>
      </c>
      <c r="Q545" t="n">
        <v>0</v>
      </c>
      <c r="R545" t="n">
        <v>22.77608263756969</v>
      </c>
      <c r="S545" t="n">
        <v>13.22632423756021</v>
      </c>
      <c r="T545" t="n">
        <v>0.3210272873194221</v>
      </c>
      <c r="U545" t="n">
        <v>0.8340306834030683</v>
      </c>
      <c r="V545" t="n">
        <v>0.9135285913528591</v>
      </c>
      <c r="W545" t="n">
        <v>0.7754532775453278</v>
      </c>
      <c r="X545" t="n">
        <v>0.2644949848528141</v>
      </c>
      <c r="Y545" t="n">
        <v>8.310524451493711</v>
      </c>
      <c r="Z545" t="n">
        <v>0.5461733024020612</v>
      </c>
      <c r="AA545" t="n">
        <v>0</v>
      </c>
    </row>
    <row r="546">
      <c r="A546" t="inlineStr">
        <is>
          <t>2024-07-26</t>
        </is>
      </c>
      <c r="B546" t="inlineStr">
        <is>
          <t>CW</t>
        </is>
      </c>
      <c r="C546" t="inlineStr">
        <is>
          <t>09:18</t>
        </is>
      </c>
      <c r="D546" t="n">
        <v>-39.42921674601953</v>
      </c>
      <c r="E546" t="n">
        <v>0.2434696475688406</v>
      </c>
      <c r="F546" t="n">
        <v>6.134112384501281</v>
      </c>
      <c r="G546" t="n">
        <v>0.2365456821026283</v>
      </c>
      <c r="H546" t="n">
        <v>0.2828535669586984</v>
      </c>
      <c r="I546" t="n">
        <v>0.195722919572292</v>
      </c>
      <c r="J546" t="n">
        <v>0.2469042835389891</v>
      </c>
      <c r="K546" t="n">
        <v>0.6677157174036119</v>
      </c>
      <c r="L546" t="b">
        <v>0</v>
      </c>
      <c r="N546" t="n">
        <v>70.21919514613819</v>
      </c>
      <c r="O546" t="n">
        <v>0</v>
      </c>
      <c r="P546" t="n">
        <v>1</v>
      </c>
      <c r="Q546" t="n">
        <v>39.42921674601953</v>
      </c>
      <c r="R546" t="n">
        <v>3.884027041005105</v>
      </c>
      <c r="S546" t="n">
        <v>2.093370991859135</v>
      </c>
      <c r="T546" t="n">
        <v>0.182754610400393</v>
      </c>
      <c r="U546" t="n">
        <v>0.06834030683403068</v>
      </c>
      <c r="V546" t="n">
        <v>0.295676429567643</v>
      </c>
      <c r="W546" t="n">
        <v>0.2231520223152022</v>
      </c>
      <c r="X546" t="n">
        <v>0.2434696475688407</v>
      </c>
      <c r="Y546" t="n">
        <v>6.134112384501284</v>
      </c>
      <c r="Z546" t="n">
        <v>0.2469042835389891</v>
      </c>
      <c r="AA546" t="n">
        <v>-2.775557561562891e-17</v>
      </c>
    </row>
    <row r="547">
      <c r="A547" t="inlineStr">
        <is>
          <t>2024-07-31</t>
        </is>
      </c>
      <c r="B547" t="inlineStr">
        <is>
          <t>CW</t>
        </is>
      </c>
      <c r="C547" t="inlineStr">
        <is>
          <t>09:17</t>
        </is>
      </c>
      <c r="D547" t="n">
        <v>-12.46184134845574</v>
      </c>
      <c r="E547" t="n">
        <v>0.303158900087103</v>
      </c>
      <c r="F547" t="n">
        <v>7.932168109432176</v>
      </c>
      <c r="G547" t="n">
        <v>0.5844806007509387</v>
      </c>
      <c r="H547" t="n">
        <v>0.5294117647058824</v>
      </c>
      <c r="I547" t="n">
        <v>0.1241283124128312</v>
      </c>
      <c r="J547" t="n">
        <v>0.4703826086652947</v>
      </c>
      <c r="K547" t="n">
        <v>0.6677157174036119</v>
      </c>
      <c r="L547" t="b">
        <v>0</v>
      </c>
      <c r="N547" t="n">
        <v>109.648411892158</v>
      </c>
      <c r="O547" t="n">
        <v>1</v>
      </c>
      <c r="P547" t="n">
        <v>1</v>
      </c>
      <c r="Q547" t="n">
        <v>12.46184134845574</v>
      </c>
      <c r="R547" t="n">
        <v>2.608875394092157</v>
      </c>
      <c r="S547" t="n">
        <v>2.241904234708005</v>
      </c>
      <c r="T547" t="n">
        <v>0.1107113202325032</v>
      </c>
      <c r="U547" t="n">
        <v>0.01673640167364017</v>
      </c>
      <c r="V547" t="n">
        <v>0.3221757322175732</v>
      </c>
      <c r="W547" t="n">
        <v>0.03347280334728033</v>
      </c>
      <c r="X547" t="n">
        <v>0.303158900087103</v>
      </c>
      <c r="Y547" t="n">
        <v>7.932168109432176</v>
      </c>
      <c r="Z547" t="n">
        <v>0.4703826086652947</v>
      </c>
      <c r="AA547" t="n">
        <v>0</v>
      </c>
    </row>
    <row r="548">
      <c r="A548" t="inlineStr">
        <is>
          <t>2024-08-01</t>
        </is>
      </c>
      <c r="B548" t="inlineStr">
        <is>
          <t>CW</t>
        </is>
      </c>
      <c r="C548" t="inlineStr">
        <is>
          <t>09:17</t>
        </is>
      </c>
      <c r="D548" t="n">
        <v>54.47939845423934</v>
      </c>
      <c r="E548" t="n">
        <v>0.2922294764547566</v>
      </c>
      <c r="F548" t="n">
        <v>10.84307968246049</v>
      </c>
      <c r="G548" t="n">
        <v>0.5369211514392991</v>
      </c>
      <c r="H548" t="n">
        <v>0.8648310387984981</v>
      </c>
      <c r="I548" t="n">
        <v>0.5127847512784751</v>
      </c>
      <c r="J548" t="n">
        <v>0.6632578263508139</v>
      </c>
      <c r="K548" t="n">
        <v>0.6677157174036119</v>
      </c>
      <c r="L548" t="b">
        <v>0</v>
      </c>
      <c r="N548" t="n">
        <v>122.1102532406139</v>
      </c>
      <c r="O548" t="n">
        <v>2</v>
      </c>
      <c r="P548" t="n">
        <v>0</v>
      </c>
      <c r="Q548" t="n">
        <v>0</v>
      </c>
      <c r="R548" t="n">
        <v>8.52654511181443</v>
      </c>
      <c r="S548" t="n">
        <v>4.845814977973544</v>
      </c>
      <c r="T548" t="n">
        <v>0.2202643171806146</v>
      </c>
      <c r="U548" t="n">
        <v>0.4211994421199442</v>
      </c>
      <c r="V548" t="n">
        <v>0.6792189679218968</v>
      </c>
      <c r="W548" t="n">
        <v>0.4379358437935844</v>
      </c>
      <c r="X548" t="n">
        <v>0.2922294764547566</v>
      </c>
      <c r="Y548" t="n">
        <v>10.84307968246049</v>
      </c>
      <c r="Z548" t="n">
        <v>0.6632578263508139</v>
      </c>
      <c r="AA548" t="n">
        <v>0</v>
      </c>
    </row>
    <row r="549">
      <c r="A549" t="inlineStr">
        <is>
          <t>2024-08-05</t>
        </is>
      </c>
      <c r="B549" t="inlineStr">
        <is>
          <t>CW</t>
        </is>
      </c>
      <c r="C549" t="inlineStr">
        <is>
          <t>09:18</t>
        </is>
      </c>
      <c r="D549" t="n">
        <v>-12.75849918967057</v>
      </c>
      <c r="E549" t="n">
        <v>0.3169995953226304</v>
      </c>
      <c r="F549" t="n">
        <v>1.901022242503383</v>
      </c>
      <c r="G549" t="n">
        <v>0.6520650813516896</v>
      </c>
      <c r="H549" t="n">
        <v>0.008760951188986232</v>
      </c>
      <c r="I549" t="n">
        <v>0.4569967456996746</v>
      </c>
      <c r="J549" t="n">
        <v>0.3557297621562053</v>
      </c>
      <c r="K549" t="n">
        <v>0.6677157174036119</v>
      </c>
      <c r="L549" t="b">
        <v>0</v>
      </c>
      <c r="N549" t="n">
        <v>67.63085478637458</v>
      </c>
      <c r="O549" t="n">
        <v>0</v>
      </c>
      <c r="P549" t="n">
        <v>1</v>
      </c>
      <c r="Q549" t="n">
        <v>12.75849918967057</v>
      </c>
      <c r="R549" t="n">
        <v>9.769983730407535</v>
      </c>
      <c r="S549" t="n">
        <v>5.33863410478488</v>
      </c>
      <c r="T549" t="n">
        <v>0.1703819395144179</v>
      </c>
      <c r="U549" t="n">
        <v>0.4923291492329149</v>
      </c>
      <c r="V549" t="n">
        <v>0.7112970711297071</v>
      </c>
      <c r="W549" t="n">
        <v>0.1673640167364017</v>
      </c>
      <c r="X549" t="n">
        <v>0.3169995953226304</v>
      </c>
      <c r="Y549" t="n">
        <v>1.901022242503381</v>
      </c>
      <c r="Z549" t="n">
        <v>0.3557297621562053</v>
      </c>
      <c r="AA549" t="n">
        <v>0</v>
      </c>
    </row>
    <row r="550">
      <c r="A550" t="inlineStr">
        <is>
          <t>2024-08-08</t>
        </is>
      </c>
      <c r="B550" t="inlineStr">
        <is>
          <t>CW</t>
        </is>
      </c>
      <c r="C550" t="inlineStr">
        <is>
          <t>09:17</t>
        </is>
      </c>
      <c r="D550" t="n">
        <v>-45.40070935866758</v>
      </c>
      <c r="E550" t="n">
        <v>0.2960662605794865</v>
      </c>
      <c r="F550" t="n">
        <v>7.053499104646059</v>
      </c>
      <c r="G550" t="n">
        <v>0.5519399249061326</v>
      </c>
      <c r="H550" t="n">
        <v>0.4217772215269087</v>
      </c>
      <c r="I550" t="n">
        <v>0.3649465364946536</v>
      </c>
      <c r="J550" t="n">
        <v>0.4624761658721472</v>
      </c>
      <c r="K550" t="n">
        <v>0.6677157174036119</v>
      </c>
      <c r="L550" t="b">
        <v>0</v>
      </c>
      <c r="N550" t="n">
        <v>80.38935397604473</v>
      </c>
      <c r="O550" t="n">
        <v>1</v>
      </c>
      <c r="P550" t="n">
        <v>1</v>
      </c>
      <c r="Q550" t="n">
        <v>45.40070935866758</v>
      </c>
      <c r="R550" t="n">
        <v>6.414659249587697</v>
      </c>
      <c r="S550" t="n">
        <v>6.962602614776539</v>
      </c>
      <c r="T550" t="n">
        <v>0.1216175129218538</v>
      </c>
      <c r="U550" t="n">
        <v>0.2663877266387726</v>
      </c>
      <c r="V550" t="n">
        <v>0.7852161785216178</v>
      </c>
      <c r="W550" t="n">
        <v>0.04323570432357043</v>
      </c>
      <c r="X550" t="n">
        <v>0.2960662605794865</v>
      </c>
      <c r="Y550" t="n">
        <v>7.053499104646058</v>
      </c>
      <c r="Z550" t="n">
        <v>0.4624761658721472</v>
      </c>
      <c r="AA550" t="n">
        <v>5.551115123125783e-17</v>
      </c>
    </row>
    <row r="551">
      <c r="A551" t="inlineStr">
        <is>
          <t>2024-08-12</t>
        </is>
      </c>
      <c r="B551" t="inlineStr">
        <is>
          <t>CW</t>
        </is>
      </c>
      <c r="C551" t="inlineStr">
        <is>
          <t>09:17</t>
        </is>
      </c>
      <c r="D551" t="n">
        <v>18.24474555348131</v>
      </c>
      <c r="E551" t="n">
        <v>0.2667657663987588</v>
      </c>
      <c r="F551" t="n">
        <v>4.795213122672118</v>
      </c>
      <c r="G551" t="n">
        <v>0.376720901126408</v>
      </c>
      <c r="H551" t="n">
        <v>0.1126408010012516</v>
      </c>
      <c r="I551" t="n">
        <v>0.2756857275685727</v>
      </c>
      <c r="J551" t="n">
        <v>0.2508818263647784</v>
      </c>
      <c r="K551" t="n">
        <v>0.6677157174036119</v>
      </c>
      <c r="L551" t="b">
        <v>0</v>
      </c>
      <c r="N551" t="n">
        <v>125.7900633347126</v>
      </c>
      <c r="O551" t="n">
        <v>2</v>
      </c>
      <c r="P551" t="n">
        <v>0</v>
      </c>
      <c r="Q551" t="n">
        <v>0</v>
      </c>
      <c r="R551" t="n">
        <v>10.24583839967321</v>
      </c>
      <c r="S551" t="n">
        <v>2.107051826677991</v>
      </c>
      <c r="T551" t="n">
        <v>0.0849617672047578</v>
      </c>
      <c r="U551" t="n">
        <v>0.5188284518828452</v>
      </c>
      <c r="V551" t="n">
        <v>0.298465829846583</v>
      </c>
      <c r="W551" t="n">
        <v>0.009762900976290097</v>
      </c>
      <c r="X551" t="n">
        <v>0.2667657663987588</v>
      </c>
      <c r="Y551" t="n">
        <v>4.795213122672116</v>
      </c>
      <c r="Z551" t="n">
        <v>0.2508818263647784</v>
      </c>
      <c r="AA551" t="n">
        <v>0</v>
      </c>
    </row>
    <row r="552">
      <c r="A552" t="inlineStr">
        <is>
          <t>2024-08-13</t>
        </is>
      </c>
      <c r="B552" t="inlineStr">
        <is>
          <t>CW</t>
        </is>
      </c>
      <c r="C552" t="inlineStr">
        <is>
          <t>09:17</t>
        </is>
      </c>
      <c r="D552" t="n">
        <v>26.56359591781224</v>
      </c>
      <c r="E552" t="n">
        <v>0.2564232559580646</v>
      </c>
      <c r="F552" t="n">
        <v>5.585432661603637</v>
      </c>
      <c r="G552" t="n">
        <v>0.3028785982478098</v>
      </c>
      <c r="H552" t="n">
        <v>0.2152690863579474</v>
      </c>
      <c r="I552" t="n">
        <v>0.3430962343096234</v>
      </c>
      <c r="J552" t="n">
        <v>0.2758783207042276</v>
      </c>
      <c r="K552" t="n">
        <v>0.6677157174036119</v>
      </c>
      <c r="L552" t="b">
        <v>0</v>
      </c>
      <c r="N552" t="n">
        <v>107.5453177812315</v>
      </c>
      <c r="O552" t="n">
        <v>0</v>
      </c>
      <c r="P552" t="n">
        <v>0</v>
      </c>
      <c r="Q552" t="n">
        <v>0</v>
      </c>
      <c r="R552" t="n">
        <v>11.9640584882111</v>
      </c>
      <c r="S552" t="n">
        <v>2.359020444843855</v>
      </c>
      <c r="T552" t="n">
        <v>0.1348011682767968</v>
      </c>
      <c r="U552" t="n">
        <v>0.599721059972106</v>
      </c>
      <c r="V552" t="n">
        <v>0.3528591352859135</v>
      </c>
      <c r="W552" t="n">
        <v>0.07670850767085077</v>
      </c>
      <c r="X552" t="n">
        <v>0.2564232559580646</v>
      </c>
      <c r="Y552" t="n">
        <v>5.585432661603638</v>
      </c>
      <c r="Z552" t="n">
        <v>0.2758783207042276</v>
      </c>
      <c r="AA552" t="n">
        <v>0</v>
      </c>
    </row>
    <row r="553">
      <c r="A553" t="inlineStr">
        <is>
          <t>2024-08-14</t>
        </is>
      </c>
      <c r="B553" t="inlineStr">
        <is>
          <t>CW</t>
        </is>
      </c>
      <c r="C553" t="inlineStr">
        <is>
          <t>09:17</t>
        </is>
      </c>
      <c r="D553" t="n">
        <v>53.8528299133315</v>
      </c>
      <c r="E553" t="n">
        <v>0.2297975097046511</v>
      </c>
      <c r="F553" t="n">
        <v>5.881302822154183</v>
      </c>
      <c r="G553" t="n">
        <v>0.1739674593241552</v>
      </c>
      <c r="H553" t="n">
        <v>0.2478097622027534</v>
      </c>
      <c r="I553" t="n">
        <v>0.5202231520223152</v>
      </c>
      <c r="J553" t="n">
        <v>0.2727555190152265</v>
      </c>
      <c r="K553" t="n">
        <v>0.6677157174036119</v>
      </c>
      <c r="L553" t="b">
        <v>0</v>
      </c>
      <c r="N553" t="n">
        <v>80.9817218634189</v>
      </c>
      <c r="O553" t="n">
        <v>0</v>
      </c>
      <c r="P553" t="n">
        <v>0</v>
      </c>
      <c r="Q553" t="n">
        <v>0</v>
      </c>
      <c r="R553" t="n">
        <v>6.376639966212691</v>
      </c>
      <c r="S553" t="n">
        <v>4.618850920015047</v>
      </c>
      <c r="T553" t="n">
        <v>0.2628614344724059</v>
      </c>
      <c r="U553" t="n">
        <v>0.2608089260808926</v>
      </c>
      <c r="V553" t="n">
        <v>0.6555090655509066</v>
      </c>
      <c r="W553" t="n">
        <v>0.6443514644351465</v>
      </c>
      <c r="X553" t="n">
        <v>0.2297975097046511</v>
      </c>
      <c r="Y553" t="n">
        <v>5.881302822154183</v>
      </c>
      <c r="Z553" t="n">
        <v>0.2727555190152265</v>
      </c>
      <c r="AA553" t="n">
        <v>5.551115123125783e-17</v>
      </c>
    </row>
    <row r="554">
      <c r="A554" t="inlineStr">
        <is>
          <t>2024-08-23</t>
        </is>
      </c>
      <c r="B554" t="inlineStr">
        <is>
          <t>CW</t>
        </is>
      </c>
      <c r="C554" t="inlineStr">
        <is>
          <t>09:17</t>
        </is>
      </c>
      <c r="D554" t="n">
        <v>24.9139433952085</v>
      </c>
      <c r="E554" t="n">
        <v>0.2322543806296764</v>
      </c>
      <c r="F554" t="n">
        <v>5.062500409558586</v>
      </c>
      <c r="G554" t="n">
        <v>0.1864831038798498</v>
      </c>
      <c r="H554" t="n">
        <v>0.1451814768460576</v>
      </c>
      <c r="I554" t="n">
        <v>0.2259414225941423</v>
      </c>
      <c r="J554" t="n">
        <v>0.1778541168091914</v>
      </c>
      <c r="K554" t="n">
        <v>0.6677157174036119</v>
      </c>
      <c r="L554" t="b">
        <v>0</v>
      </c>
      <c r="N554" t="n">
        <v>27.12889195008756</v>
      </c>
      <c r="O554" t="n">
        <v>0</v>
      </c>
      <c r="P554" t="n">
        <v>0</v>
      </c>
      <c r="Q554" t="n">
        <v>0</v>
      </c>
      <c r="R554" t="n">
        <v>4.311178442496425</v>
      </c>
      <c r="S554" t="n">
        <v>2.839683680805209</v>
      </c>
      <c r="T554" t="n">
        <v>0.1617541337167464</v>
      </c>
      <c r="U554" t="n">
        <v>0.08786610878661087</v>
      </c>
      <c r="V554" t="n">
        <v>0.4476987447698745</v>
      </c>
      <c r="W554" t="n">
        <v>0.1422594142259414</v>
      </c>
      <c r="X554" t="n">
        <v>0.2322543806296764</v>
      </c>
      <c r="Y554" t="n">
        <v>5.062500409558586</v>
      </c>
      <c r="Z554" t="n">
        <v>0.1778541168091914</v>
      </c>
      <c r="AA554" t="n">
        <v>0</v>
      </c>
    </row>
    <row r="555">
      <c r="A555" t="inlineStr">
        <is>
          <t>2024-08-26</t>
        </is>
      </c>
      <c r="B555" t="inlineStr">
        <is>
          <t>CW</t>
        </is>
      </c>
      <c r="C555" t="inlineStr">
        <is>
          <t>09:18</t>
        </is>
      </c>
      <c r="D555" t="n">
        <v>1.416653867855006</v>
      </c>
      <c r="E555" t="n">
        <v>0.3315672446577979</v>
      </c>
      <c r="F555" t="n">
        <v>6.706483260632304</v>
      </c>
      <c r="G555" t="n">
        <v>0.7434292866082604</v>
      </c>
      <c r="H555" t="n">
        <v>0.3779724655819774</v>
      </c>
      <c r="I555" t="n">
        <v>0.1218038121803812</v>
      </c>
      <c r="J555" t="n">
        <v>0.4729214633121714</v>
      </c>
      <c r="K555" t="n">
        <v>0.6677157174036119</v>
      </c>
      <c r="L555" t="b">
        <v>0</v>
      </c>
      <c r="N555" t="n">
        <v>2.214948554878902</v>
      </c>
      <c r="O555" t="n">
        <v>0</v>
      </c>
      <c r="P555" t="n">
        <v>0</v>
      </c>
      <c r="Q555" t="n">
        <v>0</v>
      </c>
      <c r="R555" t="n">
        <v>2.268976069329394</v>
      </c>
      <c r="S555" t="n">
        <v>1.192799826501843</v>
      </c>
      <c r="T555" t="n">
        <v>0.1951854261548421</v>
      </c>
      <c r="U555" t="n">
        <v>0.01115760111576011</v>
      </c>
      <c r="V555" t="n">
        <v>0.06694560669456066</v>
      </c>
      <c r="W555" t="n">
        <v>0.2873082287308228</v>
      </c>
      <c r="X555" t="n">
        <v>0.3315672446577978</v>
      </c>
      <c r="Y555" t="n">
        <v>6.706483260632303</v>
      </c>
      <c r="Z555" t="n">
        <v>0.4729214633121714</v>
      </c>
      <c r="AA555" t="n">
        <v>0</v>
      </c>
    </row>
    <row r="556">
      <c r="A556" t="inlineStr">
        <is>
          <t>2024-09-02</t>
        </is>
      </c>
      <c r="B556" t="inlineStr">
        <is>
          <t>CW</t>
        </is>
      </c>
      <c r="C556" t="inlineStr">
        <is>
          <t>09:17</t>
        </is>
      </c>
      <c r="D556" t="n">
        <v>16.82388591661203</v>
      </c>
      <c r="E556" t="n">
        <v>0.3178390127150604</v>
      </c>
      <c r="F556" t="n">
        <v>6.76685979162669</v>
      </c>
      <c r="G556" t="n">
        <v>0.6583229036295369</v>
      </c>
      <c r="H556" t="n">
        <v>0.3879849812265332</v>
      </c>
      <c r="I556" t="n">
        <v>0.08740120874012088</v>
      </c>
      <c r="J556" t="n">
        <v>0.4360033956904522</v>
      </c>
      <c r="K556" t="n">
        <v>0.6677157174036119</v>
      </c>
      <c r="L556" t="b">
        <v>0</v>
      </c>
      <c r="N556" t="n">
        <v>0.7982946870242813</v>
      </c>
      <c r="O556" t="n">
        <v>0</v>
      </c>
      <c r="P556" t="n">
        <v>0</v>
      </c>
      <c r="Q556" t="n">
        <v>0</v>
      </c>
      <c r="R556" t="n">
        <v>4.818639445303792</v>
      </c>
      <c r="S556" t="n">
        <v>1.533808597969329</v>
      </c>
      <c r="T556" t="n">
        <v>0.0648088139987001</v>
      </c>
      <c r="U556" t="n">
        <v>0.1185495118549512</v>
      </c>
      <c r="V556" t="n">
        <v>0.1408647140864714</v>
      </c>
      <c r="W556" t="n">
        <v>0.002789400278940028</v>
      </c>
      <c r="X556" t="n">
        <v>0.3178390127150603</v>
      </c>
      <c r="Y556" t="n">
        <v>6.766859791626689</v>
      </c>
      <c r="Z556" t="n">
        <v>0.4360033956904522</v>
      </c>
      <c r="AA556" t="n">
        <v>0</v>
      </c>
    </row>
    <row r="557">
      <c r="A557" t="inlineStr">
        <is>
          <t>2024-09-03</t>
        </is>
      </c>
      <c r="B557" t="inlineStr">
        <is>
          <t>CW</t>
        </is>
      </c>
      <c r="C557" t="inlineStr">
        <is>
          <t>09:17</t>
        </is>
      </c>
      <c r="D557" t="n">
        <v>21.52783929756865</v>
      </c>
      <c r="E557" t="n">
        <v>0.2458442281428508</v>
      </c>
      <c r="F557" t="n">
        <v>4.313051222299469</v>
      </c>
      <c r="G557" t="n">
        <v>0.246558197747184</v>
      </c>
      <c r="H557" t="n">
        <v>0.07509386733416772</v>
      </c>
      <c r="I557" t="n">
        <v>0.2110646211064621</v>
      </c>
      <c r="J557" t="n">
        <v>0.1708737502538331</v>
      </c>
      <c r="K557" t="n">
        <v>0.6677157174036119</v>
      </c>
      <c r="L557" t="b">
        <v>0</v>
      </c>
      <c r="N557" t="n">
        <v>0</v>
      </c>
      <c r="O557" t="n">
        <v>0</v>
      </c>
      <c r="P557" t="n">
        <v>0</v>
      </c>
      <c r="Q557" t="n">
        <v>0</v>
      </c>
      <c r="R557" t="n">
        <v>5.660552873719903</v>
      </c>
      <c r="S557" t="n">
        <v>1.463537723946523</v>
      </c>
      <c r="T557" t="n">
        <v>0.2018672722684864</v>
      </c>
      <c r="U557" t="n">
        <v>0.1868898186889819</v>
      </c>
      <c r="V557" t="n">
        <v>0.1241283124128312</v>
      </c>
      <c r="W557" t="n">
        <v>0.3221757322175732</v>
      </c>
      <c r="X557" t="n">
        <v>0.2458442281428508</v>
      </c>
      <c r="Y557" t="n">
        <v>4.313051222299469</v>
      </c>
      <c r="Z557" t="n">
        <v>0.1708737502538331</v>
      </c>
      <c r="AA557" t="n">
        <v>0</v>
      </c>
    </row>
    <row r="558">
      <c r="A558" t="inlineStr">
        <is>
          <t>2024-09-04</t>
        </is>
      </c>
      <c r="B558" t="inlineStr">
        <is>
          <t>CW</t>
        </is>
      </c>
      <c r="C558" t="inlineStr">
        <is>
          <t>09:17</t>
        </is>
      </c>
      <c r="D558" t="n">
        <v>38.97655282973101</v>
      </c>
      <c r="E558" t="n">
        <v>0.3806613608760301</v>
      </c>
      <c r="F558" t="n">
        <v>8.107393716476105</v>
      </c>
      <c r="G558" t="n">
        <v>0.9011264080100125</v>
      </c>
      <c r="H558" t="n">
        <v>0.5556946182728411</v>
      </c>
      <c r="I558" t="n">
        <v>0.2938168293816829</v>
      </c>
      <c r="J558" t="n">
        <v>0.6414917763894781</v>
      </c>
      <c r="K558" t="n">
        <v>0.6677157174036119</v>
      </c>
      <c r="L558" t="b">
        <v>0</v>
      </c>
      <c r="N558" t="n">
        <v>0</v>
      </c>
      <c r="O558" t="n">
        <v>0</v>
      </c>
      <c r="P558" t="n">
        <v>0</v>
      </c>
      <c r="Q558" t="n">
        <v>0</v>
      </c>
      <c r="R558" t="n">
        <v>7.088061196249409</v>
      </c>
      <c r="S558" t="n">
        <v>3.519781718963159</v>
      </c>
      <c r="T558" t="n">
        <v>0.109140518417464</v>
      </c>
      <c r="U558" t="n">
        <v>0.3235704323570432</v>
      </c>
      <c r="V558" t="n">
        <v>0.5285913528591353</v>
      </c>
      <c r="W558" t="n">
        <v>0.02928870292887029</v>
      </c>
      <c r="X558" t="n">
        <v>0.3806613608760301</v>
      </c>
      <c r="Y558" t="n">
        <v>8.107393716476103</v>
      </c>
      <c r="Z558" t="n">
        <v>0.6414917763894781</v>
      </c>
      <c r="AA558" t="n">
        <v>0</v>
      </c>
    </row>
    <row r="559">
      <c r="A559" t="inlineStr">
        <is>
          <t>2024-09-05</t>
        </is>
      </c>
      <c r="B559" t="inlineStr">
        <is>
          <t>CW</t>
        </is>
      </c>
      <c r="C559" t="inlineStr">
        <is>
          <t>09:20+</t>
        </is>
      </c>
      <c r="D559" t="n">
        <v>51.56115793359736</v>
      </c>
      <c r="E559" t="n">
        <v>0.4091617986953102</v>
      </c>
      <c r="F559" t="n">
        <v>14.31809571769243</v>
      </c>
      <c r="G559" t="n">
        <v>0.9561952440550688</v>
      </c>
      <c r="H559" t="n">
        <v>0.9774718397997497</v>
      </c>
      <c r="I559" t="n">
        <v>0.4151557415155742</v>
      </c>
      <c r="J559" t="n">
        <v>0.8564979818450423</v>
      </c>
      <c r="K559" t="n">
        <v>0.6677157174036119</v>
      </c>
      <c r="L559" t="b">
        <v>1</v>
      </c>
      <c r="M559" t="inlineStr">
        <is>
          <t>top_quartile_risk</t>
        </is>
      </c>
      <c r="N559" t="n">
        <v>0</v>
      </c>
      <c r="O559" t="n">
        <v>0</v>
      </c>
      <c r="P559" t="n">
        <v>0</v>
      </c>
      <c r="Q559" t="n">
        <v>0</v>
      </c>
      <c r="R559" t="n">
        <v>6.011153367732929</v>
      </c>
      <c r="S559" t="n">
        <v>5.522914218566379</v>
      </c>
      <c r="T559" t="n">
        <v>0.1958480219349729</v>
      </c>
      <c r="U559" t="n">
        <v>0.2287308228730823</v>
      </c>
      <c r="V559" t="n">
        <v>0.7210599721059973</v>
      </c>
      <c r="W559" t="n">
        <v>0.295676429567643</v>
      </c>
      <c r="X559" t="n">
        <v>0.4091617986953104</v>
      </c>
      <c r="Y559" t="n">
        <v>14.31809571769243</v>
      </c>
      <c r="Z559" t="n">
        <v>0.8564979818450423</v>
      </c>
      <c r="AA559" t="n">
        <v>0</v>
      </c>
    </row>
    <row r="560">
      <c r="A560" t="inlineStr">
        <is>
          <t>2024-09-16</t>
        </is>
      </c>
      <c r="B560" t="inlineStr">
        <is>
          <t>CW</t>
        </is>
      </c>
      <c r="C560" t="inlineStr">
        <is>
          <t>09:18</t>
        </is>
      </c>
      <c r="D560" t="n">
        <v>7.99069777003608</v>
      </c>
      <c r="E560" t="n">
        <v>0.354016691214155</v>
      </c>
      <c r="F560" t="n">
        <v>7.300120931067335</v>
      </c>
      <c r="G560" t="n">
        <v>0.8297872340425532</v>
      </c>
      <c r="H560" t="n">
        <v>0.4505632040050063</v>
      </c>
      <c r="I560" t="n">
        <v>0.02649930264993026</v>
      </c>
      <c r="J560" t="n">
        <v>0.5174400357490099</v>
      </c>
      <c r="K560" t="n">
        <v>0.6677157174036119</v>
      </c>
      <c r="L560" t="b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1.654070786353415</v>
      </c>
      <c r="S560" t="n">
        <v>0.8879492600422809</v>
      </c>
      <c r="T560" t="n">
        <v>0.1268498942917595</v>
      </c>
      <c r="U560" t="n">
        <v>0.002789400278940028</v>
      </c>
      <c r="V560" t="n">
        <v>0.01813110181311018</v>
      </c>
      <c r="W560" t="n">
        <v>0.05857740585774059</v>
      </c>
      <c r="X560" t="n">
        <v>0.354016691214155</v>
      </c>
      <c r="Y560" t="n">
        <v>7.300120931067335</v>
      </c>
      <c r="Z560" t="n">
        <v>0.5174400357490099</v>
      </c>
      <c r="AA560" t="n">
        <v>0</v>
      </c>
    </row>
    <row r="561">
      <c r="A561" t="inlineStr">
        <is>
          <t>2024-09-17</t>
        </is>
      </c>
      <c r="B561" t="inlineStr">
        <is>
          <t>CW</t>
        </is>
      </c>
      <c r="C561" t="inlineStr">
        <is>
          <t>09:17</t>
        </is>
      </c>
      <c r="D561" t="n">
        <v>11.15746047489406</v>
      </c>
      <c r="E561" t="n">
        <v>0.2522987588039043</v>
      </c>
      <c r="F561" t="n">
        <v>4.915911234356269</v>
      </c>
      <c r="G561" t="n">
        <v>0.2816020025031289</v>
      </c>
      <c r="H561" t="n">
        <v>0.130162703379224</v>
      </c>
      <c r="I561" t="n">
        <v>0.3193863319386332</v>
      </c>
      <c r="J561" t="n">
        <v>0.2285831487406678</v>
      </c>
      <c r="K561" t="n">
        <v>0.6677157174036119</v>
      </c>
      <c r="L561" t="b">
        <v>0</v>
      </c>
      <c r="N561" t="n">
        <v>0</v>
      </c>
      <c r="O561" t="n">
        <v>0</v>
      </c>
      <c r="P561" t="n">
        <v>0</v>
      </c>
      <c r="Q561" t="n">
        <v>0</v>
      </c>
      <c r="R561" t="n">
        <v>4.215046138998327</v>
      </c>
      <c r="S561" t="n">
        <v>3.276783639321409</v>
      </c>
      <c r="T561" t="n">
        <v>0.2091564025098781</v>
      </c>
      <c r="U561" t="n">
        <v>0.08368200836820083</v>
      </c>
      <c r="V561" t="n">
        <v>0.5062761506276151</v>
      </c>
      <c r="W561" t="n">
        <v>0.3682008368200837</v>
      </c>
      <c r="X561" t="n">
        <v>0.2522987588039042</v>
      </c>
      <c r="Y561" t="n">
        <v>4.915911234356267</v>
      </c>
      <c r="Z561" t="n">
        <v>0.2285831487406678</v>
      </c>
      <c r="AA561" t="n">
        <v>2.775557561562891e-17</v>
      </c>
    </row>
    <row r="562">
      <c r="A562" t="inlineStr">
        <is>
          <t>2024-09-18</t>
        </is>
      </c>
      <c r="B562" t="inlineStr">
        <is>
          <t>CW</t>
        </is>
      </c>
      <c r="C562" t="inlineStr">
        <is>
          <t>09:17</t>
        </is>
      </c>
      <c r="D562" t="n">
        <v>-38.6321614897364</v>
      </c>
      <c r="E562" t="n">
        <v>0.3684354982903683</v>
      </c>
      <c r="F562" t="n">
        <v>10.97449209180303</v>
      </c>
      <c r="G562" t="n">
        <v>0.867334167709637</v>
      </c>
      <c r="H562" t="n">
        <v>0.8773466833541927</v>
      </c>
      <c r="I562" t="n">
        <v>0.09390980939098094</v>
      </c>
      <c r="J562" t="n">
        <v>0.7166543023037281</v>
      </c>
      <c r="K562" t="n">
        <v>0.6677157174036119</v>
      </c>
      <c r="L562" t="b">
        <v>1</v>
      </c>
      <c r="M562" t="inlineStr">
        <is>
          <t>top_quartile_risk</t>
        </is>
      </c>
      <c r="N562" t="n">
        <v>0</v>
      </c>
      <c r="O562" t="n">
        <v>0</v>
      </c>
      <c r="P562" t="n">
        <v>1</v>
      </c>
      <c r="Q562" t="n">
        <v>38.6321614897364</v>
      </c>
      <c r="R562" t="n">
        <v>2.973043747058664</v>
      </c>
      <c r="S562" t="n">
        <v>1.044659179942544</v>
      </c>
      <c r="T562" t="n">
        <v>0.1828153564899422</v>
      </c>
      <c r="U562" t="n">
        <v>0.02510460251046025</v>
      </c>
      <c r="V562" t="n">
        <v>0.03207810320781032</v>
      </c>
      <c r="W562" t="n">
        <v>0.2245467224546722</v>
      </c>
      <c r="X562" t="n">
        <v>0.3684354982903683</v>
      </c>
      <c r="Y562" t="n">
        <v>10.97449209180303</v>
      </c>
      <c r="Z562" t="n">
        <v>0.7166543023037281</v>
      </c>
      <c r="AA562" t="n">
        <v>0</v>
      </c>
    </row>
    <row r="563">
      <c r="A563" t="inlineStr">
        <is>
          <t>2024-09-23</t>
        </is>
      </c>
      <c r="B563" t="inlineStr">
        <is>
          <t>CW</t>
        </is>
      </c>
      <c r="C563" t="inlineStr">
        <is>
          <t>09:17</t>
        </is>
      </c>
      <c r="D563" t="n">
        <v>34.48435110960384</v>
      </c>
      <c r="E563" t="n">
        <v>0.2532413653365865</v>
      </c>
      <c r="F563" t="n">
        <v>7.110644287431022</v>
      </c>
      <c r="G563" t="n">
        <v>0.2891113892365457</v>
      </c>
      <c r="H563" t="n">
        <v>0.4305381727158949</v>
      </c>
      <c r="I563" t="n">
        <v>0.4160855416085542</v>
      </c>
      <c r="J563" t="n">
        <v>0.3710769331026871</v>
      </c>
      <c r="K563" t="n">
        <v>0.6677157174036119</v>
      </c>
      <c r="L563" t="b">
        <v>0</v>
      </c>
      <c r="N563" t="n">
        <v>38.63216148973606</v>
      </c>
      <c r="O563" t="n">
        <v>1</v>
      </c>
      <c r="P563" t="n">
        <v>0</v>
      </c>
      <c r="Q563" t="n">
        <v>0</v>
      </c>
      <c r="R563" t="n">
        <v>8.050410628859538</v>
      </c>
      <c r="S563" t="n">
        <v>5.631308659465194</v>
      </c>
      <c r="T563" t="n">
        <v>0.1593766601735394</v>
      </c>
      <c r="U563" t="n">
        <v>0.3891213389121339</v>
      </c>
      <c r="V563" t="n">
        <v>0.7280334728033473</v>
      </c>
      <c r="W563" t="n">
        <v>0.1311018131101813</v>
      </c>
      <c r="X563" t="n">
        <v>0.2532413653365865</v>
      </c>
      <c r="Y563" t="n">
        <v>7.110644287431024</v>
      </c>
      <c r="Z563" t="n">
        <v>0.3710769331026871</v>
      </c>
      <c r="AA563" t="n">
        <v>5.551115123125783e-17</v>
      </c>
    </row>
    <row r="564">
      <c r="A564" t="inlineStr">
        <is>
          <t>2024-09-24</t>
        </is>
      </c>
      <c r="B564" t="inlineStr">
        <is>
          <t>CW</t>
        </is>
      </c>
      <c r="C564" t="inlineStr">
        <is>
          <t>09:17</t>
        </is>
      </c>
      <c r="D564" t="n">
        <v>37.7459687326598</v>
      </c>
      <c r="E564" t="n">
        <v>0.262224615196274</v>
      </c>
      <c r="F564" t="n">
        <v>6.183903951908215</v>
      </c>
      <c r="G564" t="n">
        <v>0.3504380475594493</v>
      </c>
      <c r="H564" t="n">
        <v>0.2928660826032541</v>
      </c>
      <c r="I564" t="n">
        <v>0.1892143189214319</v>
      </c>
      <c r="J564" t="n">
        <v>0.2951645158493677</v>
      </c>
      <c r="K564" t="n">
        <v>0.6677157174036119</v>
      </c>
      <c r="L564" t="b">
        <v>0</v>
      </c>
      <c r="N564" t="n">
        <v>4.147810380131887</v>
      </c>
      <c r="O564" t="n">
        <v>0</v>
      </c>
      <c r="P564" t="n">
        <v>0</v>
      </c>
      <c r="Q564" t="n">
        <v>0</v>
      </c>
      <c r="R564" t="n">
        <v>4.686171166741474</v>
      </c>
      <c r="S564" t="n">
        <v>2.092580849714643</v>
      </c>
      <c r="T564" t="n">
        <v>0.169097442401186</v>
      </c>
      <c r="U564" t="n">
        <v>0.1129707112970711</v>
      </c>
      <c r="V564" t="n">
        <v>0.2942817294281729</v>
      </c>
      <c r="W564" t="n">
        <v>0.1603905160390516</v>
      </c>
      <c r="X564" t="n">
        <v>0.262224615196274</v>
      </c>
      <c r="Y564" t="n">
        <v>6.183903951908216</v>
      </c>
      <c r="Z564" t="n">
        <v>0.2951645158493677</v>
      </c>
      <c r="AA564" t="n">
        <v>0</v>
      </c>
    </row>
    <row r="565">
      <c r="A565" t="inlineStr">
        <is>
          <t>2024-09-25</t>
        </is>
      </c>
      <c r="B565" t="inlineStr">
        <is>
          <t>CW</t>
        </is>
      </c>
      <c r="C565" t="inlineStr">
        <is>
          <t>09:19</t>
        </is>
      </c>
      <c r="D565" t="n">
        <v>36.51978828631935</v>
      </c>
      <c r="E565" t="n">
        <v>0.3199074460711409</v>
      </c>
      <c r="F565" t="n">
        <v>8.590465715875972</v>
      </c>
      <c r="G565" t="n">
        <v>0.6695869837296621</v>
      </c>
      <c r="H565" t="n">
        <v>0.6182728410513142</v>
      </c>
      <c r="I565" t="n">
        <v>0.3128777312877731</v>
      </c>
      <c r="J565" t="n">
        <v>0.5777194761699451</v>
      </c>
      <c r="K565" t="n">
        <v>0.6677157174036119</v>
      </c>
      <c r="L565" t="b">
        <v>0</v>
      </c>
      <c r="N565" t="n">
        <v>0</v>
      </c>
      <c r="O565" t="n">
        <v>0</v>
      </c>
      <c r="P565" t="n">
        <v>0</v>
      </c>
      <c r="Q565" t="n">
        <v>0</v>
      </c>
      <c r="R565" t="n">
        <v>3.761421701667177</v>
      </c>
      <c r="S565" t="n">
        <v>2.198100407055637</v>
      </c>
      <c r="T565" t="n">
        <v>0.2442333785617306</v>
      </c>
      <c r="U565" t="n">
        <v>0.06136680613668061</v>
      </c>
      <c r="V565" t="n">
        <v>0.3138075313807531</v>
      </c>
      <c r="W565" t="n">
        <v>0.5634588563458857</v>
      </c>
      <c r="X565" t="n">
        <v>0.3199074460711409</v>
      </c>
      <c r="Y565" t="n">
        <v>8.59046571587597</v>
      </c>
      <c r="Z565" t="n">
        <v>0.5777194761699451</v>
      </c>
      <c r="AA565" t="n">
        <v>0</v>
      </c>
    </row>
    <row r="566">
      <c r="A566" t="inlineStr">
        <is>
          <t>2024-09-26</t>
        </is>
      </c>
      <c r="B566" t="inlineStr">
        <is>
          <t>CW</t>
        </is>
      </c>
      <c r="C566" t="inlineStr">
        <is>
          <t>09:18</t>
        </is>
      </c>
      <c r="D566" t="n">
        <v>-39.55111832986726</v>
      </c>
      <c r="E566" t="n">
        <v>0.3338520929268228</v>
      </c>
      <c r="F566" t="n">
        <v>9.644339707515359</v>
      </c>
      <c r="G566" t="n">
        <v>0.753441802252816</v>
      </c>
      <c r="H566" t="n">
        <v>0.7409261576971214</v>
      </c>
      <c r="I566" t="n">
        <v>0.602045560204556</v>
      </c>
      <c r="J566" t="n">
        <v>0.7181562960208863</v>
      </c>
      <c r="K566" t="n">
        <v>0.6677157174036119</v>
      </c>
      <c r="L566" t="b">
        <v>1</v>
      </c>
      <c r="M566" t="inlineStr">
        <is>
          <t>top_quartile_risk</t>
        </is>
      </c>
      <c r="N566" t="n">
        <v>0</v>
      </c>
      <c r="O566" t="n">
        <v>0</v>
      </c>
      <c r="P566" t="n">
        <v>1</v>
      </c>
      <c r="Q566" t="n">
        <v>39.55111832986726</v>
      </c>
      <c r="R566" t="n">
        <v>8.295169791757512</v>
      </c>
      <c r="S566" t="n">
        <v>6.851851851851873</v>
      </c>
      <c r="T566" t="n">
        <v>0.2592592592592656</v>
      </c>
      <c r="U566" t="n">
        <v>0.400278940027894</v>
      </c>
      <c r="V566" t="n">
        <v>0.7796373779637378</v>
      </c>
      <c r="W566" t="n">
        <v>0.6262203626220363</v>
      </c>
      <c r="X566" t="n">
        <v>0.3338520929268228</v>
      </c>
      <c r="Y566" t="n">
        <v>9.644339707515357</v>
      </c>
      <c r="Z566" t="n">
        <v>0.7181562960208863</v>
      </c>
      <c r="AA566" t="n">
        <v>0</v>
      </c>
    </row>
    <row r="567">
      <c r="A567" t="inlineStr">
        <is>
          <t>2024-09-27</t>
        </is>
      </c>
      <c r="B567" t="inlineStr">
        <is>
          <t>CW</t>
        </is>
      </c>
      <c r="C567" t="inlineStr">
        <is>
          <t>09:18</t>
        </is>
      </c>
      <c r="D567" t="n">
        <v>26.25537116491961</v>
      </c>
      <c r="E567" t="n">
        <v>0.2839299430995839</v>
      </c>
      <c r="F567" t="n">
        <v>6.875059853522064</v>
      </c>
      <c r="G567" t="n">
        <v>0.4818523153942428</v>
      </c>
      <c r="H567" t="n">
        <v>0.4055068836045057</v>
      </c>
      <c r="I567" t="n">
        <v>0.02603440260344026</v>
      </c>
      <c r="J567" t="n">
        <v>0.3601505601201874</v>
      </c>
      <c r="K567" t="n">
        <v>0.6677157174036119</v>
      </c>
      <c r="L567" t="b">
        <v>0</v>
      </c>
      <c r="N567" t="n">
        <v>39.55111832986768</v>
      </c>
      <c r="O567" t="n">
        <v>1</v>
      </c>
      <c r="P567" t="n">
        <v>0</v>
      </c>
      <c r="Q567" t="n">
        <v>0</v>
      </c>
      <c r="R567" t="n">
        <v>2.51601577465731</v>
      </c>
      <c r="S567" t="n">
        <v>1.113736078299025</v>
      </c>
      <c r="T567" t="n">
        <v>0.1012487343908143</v>
      </c>
      <c r="U567" t="n">
        <v>0.01255230125523013</v>
      </c>
      <c r="V567" t="n">
        <v>0.04463040446304044</v>
      </c>
      <c r="W567" t="n">
        <v>0.02092050209205021</v>
      </c>
      <c r="X567" t="n">
        <v>0.2839299430995839</v>
      </c>
      <c r="Y567" t="n">
        <v>6.875059853522064</v>
      </c>
      <c r="Z567" t="n">
        <v>0.3601505601201874</v>
      </c>
      <c r="AA567" t="n">
        <v>0</v>
      </c>
    </row>
    <row r="568">
      <c r="A568" t="inlineStr">
        <is>
          <t>2024-10-03</t>
        </is>
      </c>
      <c r="B568" t="inlineStr">
        <is>
          <t>CW</t>
        </is>
      </c>
      <c r="C568" t="inlineStr">
        <is>
          <t>09:16</t>
        </is>
      </c>
      <c r="D568" t="n">
        <v>-6.854465701123218</v>
      </c>
      <c r="E568" t="n">
        <v>0.2566316218396764</v>
      </c>
      <c r="F568" t="n">
        <v>5.321942075791448</v>
      </c>
      <c r="G568" t="n">
        <v>0.3053817271589487</v>
      </c>
      <c r="H568" t="n">
        <v>0.1777221526908636</v>
      </c>
      <c r="I568" t="n">
        <v>0.8196187819618782</v>
      </c>
      <c r="J568" t="n">
        <v>0.3571653083323006</v>
      </c>
      <c r="K568" t="n">
        <v>0.6677157174036119</v>
      </c>
      <c r="L568" t="b">
        <v>0</v>
      </c>
      <c r="N568" t="n">
        <v>13.2957471649479</v>
      </c>
      <c r="O568" t="n">
        <v>0</v>
      </c>
      <c r="P568" t="n">
        <v>1</v>
      </c>
      <c r="Q568" t="n">
        <v>6.854465701123218</v>
      </c>
      <c r="R568" t="n">
        <v>25.59661842839168</v>
      </c>
      <c r="S568" t="n">
        <v>27.93152639087018</v>
      </c>
      <c r="T568" t="n">
        <v>0.2567760342368061</v>
      </c>
      <c r="U568" t="n">
        <v>0.8647140864714087</v>
      </c>
      <c r="V568" t="n">
        <v>0.9818688981868898</v>
      </c>
      <c r="W568" t="n">
        <v>0.6122733612273361</v>
      </c>
      <c r="X568" t="n">
        <v>0.2566316218396765</v>
      </c>
      <c r="Y568" t="n">
        <v>5.321942075791445</v>
      </c>
      <c r="Z568" t="n">
        <v>0.3571653083323006</v>
      </c>
      <c r="AA568" t="n">
        <v>0</v>
      </c>
    </row>
    <row r="569">
      <c r="A569" t="inlineStr">
        <is>
          <t>2024-10-07</t>
        </is>
      </c>
      <c r="B569" t="inlineStr">
        <is>
          <t>CW</t>
        </is>
      </c>
      <c r="C569" t="inlineStr">
        <is>
          <t>09:20+</t>
        </is>
      </c>
      <c r="D569" t="n">
        <v>37.87638734944277</v>
      </c>
      <c r="E569" t="n">
        <v>0.4337604232756823</v>
      </c>
      <c r="F569" t="n">
        <v>14.50560681048708</v>
      </c>
      <c r="G569" t="n">
        <v>0.9737171464330413</v>
      </c>
      <c r="H569" t="n">
        <v>0.981226533166458</v>
      </c>
      <c r="I569" t="n">
        <v>0.1185495118549512</v>
      </c>
      <c r="J569" t="n">
        <v>0.8056873742107901</v>
      </c>
      <c r="K569" t="n">
        <v>0.6677157174036119</v>
      </c>
      <c r="L569" t="b">
        <v>1</v>
      </c>
      <c r="M569" t="inlineStr">
        <is>
          <t>top_quartile_risk</t>
        </is>
      </c>
      <c r="N569" t="n">
        <v>20.15021286607134</v>
      </c>
      <c r="O569" t="n">
        <v>1</v>
      </c>
      <c r="P569" t="n">
        <v>0</v>
      </c>
      <c r="Q569" t="n">
        <v>0</v>
      </c>
      <c r="R569" t="n">
        <v>5.116769102772817</v>
      </c>
      <c r="S569" t="n">
        <v>1.160714285714274</v>
      </c>
      <c r="T569" t="n">
        <v>0.1658163265306136</v>
      </c>
      <c r="U569" t="n">
        <v>0.1408647140864714</v>
      </c>
      <c r="V569" t="n">
        <v>0.05857740585774059</v>
      </c>
      <c r="W569" t="n">
        <v>0.1562064156206416</v>
      </c>
      <c r="X569" t="n">
        <v>0.4337604232756824</v>
      </c>
      <c r="Y569" t="n">
        <v>14.50560681048708</v>
      </c>
      <c r="Z569" t="n">
        <v>0.8056873742107901</v>
      </c>
      <c r="AA569" t="n">
        <v>0</v>
      </c>
    </row>
    <row r="570">
      <c r="A570" t="inlineStr">
        <is>
          <t>2024-10-08</t>
        </is>
      </c>
      <c r="B570" t="inlineStr">
        <is>
          <t>CW</t>
        </is>
      </c>
      <c r="C570" t="inlineStr">
        <is>
          <t>09:18</t>
        </is>
      </c>
      <c r="D570" t="n">
        <v>21.3851955739801</v>
      </c>
      <c r="E570" t="n">
        <v>0.3227045709931541</v>
      </c>
      <c r="F570" t="n">
        <v>5.649793967423586</v>
      </c>
      <c r="G570" t="n">
        <v>0.6871088861076345</v>
      </c>
      <c r="H570" t="n">
        <v>0.2215269086357947</v>
      </c>
      <c r="I570" t="n">
        <v>0.4611808461180846</v>
      </c>
      <c r="J570" t="n">
        <v>0.4556904871209886</v>
      </c>
      <c r="K570" t="n">
        <v>0.6677157174036119</v>
      </c>
      <c r="L570" t="b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14.76007329695246</v>
      </c>
      <c r="S570" t="n">
        <v>2.137704918032781</v>
      </c>
      <c r="T570" t="n">
        <v>0.2098360655737734</v>
      </c>
      <c r="U570" t="n">
        <v>0.702928870292887</v>
      </c>
      <c r="V570" t="n">
        <v>0.3040446304044631</v>
      </c>
      <c r="W570" t="n">
        <v>0.3765690376569037</v>
      </c>
      <c r="X570" t="n">
        <v>0.3227045709931541</v>
      </c>
      <c r="Y570" t="n">
        <v>5.649793967423586</v>
      </c>
      <c r="Z570" t="n">
        <v>0.4556904871209886</v>
      </c>
      <c r="AA570" t="n">
        <v>5.551115123125783e-17</v>
      </c>
    </row>
    <row r="571">
      <c r="A571" t="inlineStr">
        <is>
          <t>2024-10-09</t>
        </is>
      </c>
      <c r="B571" t="inlineStr">
        <is>
          <t>CW</t>
        </is>
      </c>
      <c r="C571" t="inlineStr">
        <is>
          <t>09:17</t>
        </is>
      </c>
      <c r="D571" t="n">
        <v>11.12878586529878</v>
      </c>
      <c r="E571" t="n">
        <v>0.3048453071736131</v>
      </c>
      <c r="F571" t="n">
        <v>8.823751318869483</v>
      </c>
      <c r="G571" t="n">
        <v>0.590738423028786</v>
      </c>
      <c r="H571" t="n">
        <v>0.655819774718398</v>
      </c>
      <c r="I571" t="n">
        <v>0.4291027429102743</v>
      </c>
      <c r="J571" t="n">
        <v>0.5844438276809285</v>
      </c>
      <c r="K571" t="n">
        <v>0.6677157174036119</v>
      </c>
      <c r="L571" t="b">
        <v>0</v>
      </c>
      <c r="N571" t="n">
        <v>0</v>
      </c>
      <c r="O571" t="n">
        <v>0</v>
      </c>
      <c r="P571" t="n">
        <v>0</v>
      </c>
      <c r="Q571" t="n">
        <v>0</v>
      </c>
      <c r="R571" t="n">
        <v>6.232558325360393</v>
      </c>
      <c r="S571" t="n">
        <v>3.896894662066164</v>
      </c>
      <c r="T571" t="n">
        <v>0.223259590014212</v>
      </c>
      <c r="U571" t="n">
        <v>0.2426778242677824</v>
      </c>
      <c r="V571" t="n">
        <v>0.5829846582984658</v>
      </c>
      <c r="W571" t="n">
        <v>0.4616457461645746</v>
      </c>
      <c r="X571" t="n">
        <v>0.3048453071736131</v>
      </c>
      <c r="Y571" t="n">
        <v>8.823751318869483</v>
      </c>
      <c r="Z571" t="n">
        <v>0.5844438276809285</v>
      </c>
      <c r="AA571" t="n">
        <v>0</v>
      </c>
    </row>
    <row r="572">
      <c r="A572" t="inlineStr">
        <is>
          <t>2024-10-10</t>
        </is>
      </c>
      <c r="B572" t="inlineStr">
        <is>
          <t>CW</t>
        </is>
      </c>
      <c r="C572" t="inlineStr">
        <is>
          <t>09:17</t>
        </is>
      </c>
      <c r="D572" t="n">
        <v>57.95156612872791</v>
      </c>
      <c r="E572" t="n">
        <v>0.299677431130877</v>
      </c>
      <c r="F572" t="n">
        <v>10.14042939623795</v>
      </c>
      <c r="G572" t="n">
        <v>0.5657071339173968</v>
      </c>
      <c r="H572" t="n">
        <v>0.804755944931164</v>
      </c>
      <c r="I572" t="n">
        <v>0.600185960018596</v>
      </c>
      <c r="J572" t="n">
        <v>0.6682224235431435</v>
      </c>
      <c r="K572" t="n">
        <v>0.6677157174036119</v>
      </c>
      <c r="L572" t="b">
        <v>1</v>
      </c>
      <c r="M572" t="inlineStr">
        <is>
          <t>top_quartile_risk</t>
        </is>
      </c>
      <c r="N572" t="n">
        <v>0</v>
      </c>
      <c r="O572" t="n">
        <v>0</v>
      </c>
      <c r="P572" t="n">
        <v>0</v>
      </c>
      <c r="Q572" t="n">
        <v>0</v>
      </c>
      <c r="R572" t="n">
        <v>6.683158440729362</v>
      </c>
      <c r="S572" t="n">
        <v>5.573558003888543</v>
      </c>
      <c r="T572" t="n">
        <v>0.3240440699935191</v>
      </c>
      <c r="U572" t="n">
        <v>0.2887029288702929</v>
      </c>
      <c r="V572" t="n">
        <v>0.7252440725244073</v>
      </c>
      <c r="W572" t="n">
        <v>0.7866108786610879</v>
      </c>
      <c r="X572" t="n">
        <v>0.299677431130877</v>
      </c>
      <c r="Y572" t="n">
        <v>10.14042939623795</v>
      </c>
      <c r="Z572" t="n">
        <v>0.6682224235431435</v>
      </c>
      <c r="AA572" t="n">
        <v>0</v>
      </c>
    </row>
    <row r="573">
      <c r="A573" t="inlineStr">
        <is>
          <t>2024-10-17</t>
        </is>
      </c>
      <c r="B573" t="inlineStr">
        <is>
          <t>NW</t>
        </is>
      </c>
      <c r="C573" t="inlineStr">
        <is>
          <t>NW</t>
        </is>
      </c>
      <c r="D573" t="n">
        <v>5.286098490156739</v>
      </c>
      <c r="E573" t="n">
        <v>0.3058136156681818</v>
      </c>
      <c r="F573" t="n">
        <v>8.059340927537509</v>
      </c>
      <c r="G573" t="n">
        <v>0.5957446808510638</v>
      </c>
      <c r="H573" t="n">
        <v>0.5506883604505632</v>
      </c>
      <c r="I573" t="n">
        <v>0.5</v>
      </c>
      <c r="J573" t="n">
        <v>0.5585732165206508</v>
      </c>
      <c r="K573" t="n">
        <v>0.6677157174036119</v>
      </c>
      <c r="L573" t="b">
        <v>0</v>
      </c>
      <c r="N573" t="n">
        <v>0</v>
      </c>
      <c r="O573" t="n">
        <v>0</v>
      </c>
      <c r="P573" t="n">
        <v>0</v>
      </c>
      <c r="Q573" t="n">
        <v>0</v>
      </c>
      <c r="U573" t="n">
        <v>0.5</v>
      </c>
      <c r="V573" t="n">
        <v>0.5</v>
      </c>
      <c r="W573" t="n">
        <v>0.5</v>
      </c>
      <c r="X573" t="n">
        <v>0.3058136156681818</v>
      </c>
      <c r="Y573" t="n">
        <v>8.059340927537509</v>
      </c>
      <c r="Z573" t="n">
        <v>0.5585732165206508</v>
      </c>
      <c r="AA573" t="n">
        <v>0</v>
      </c>
    </row>
    <row r="574">
      <c r="A574" t="inlineStr">
        <is>
          <t>2024-10-18</t>
        </is>
      </c>
      <c r="B574" t="inlineStr">
        <is>
          <t>CW</t>
        </is>
      </c>
      <c r="C574" t="inlineStr">
        <is>
          <t>09:17</t>
        </is>
      </c>
      <c r="D574" t="n">
        <v>32.77384675047859</v>
      </c>
      <c r="E574" t="n">
        <v>0.2106582817394518</v>
      </c>
      <c r="F574" t="n">
        <v>4.797625480956525</v>
      </c>
      <c r="G574" t="n">
        <v>0.1226533166458073</v>
      </c>
      <c r="H574" t="n">
        <v>0.113892365456821</v>
      </c>
      <c r="I574" t="n">
        <v>0.5448628544862854</v>
      </c>
      <c r="J574" t="n">
        <v>0.2035908437383084</v>
      </c>
      <c r="K574" t="n">
        <v>0.6677157174036119</v>
      </c>
      <c r="L574" t="b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11.80431607983214</v>
      </c>
      <c r="S574" t="n">
        <v>5.25246662797447</v>
      </c>
      <c r="T574" t="n">
        <v>0.2031340684852051</v>
      </c>
      <c r="U574" t="n">
        <v>0.595536959553696</v>
      </c>
      <c r="V574" t="n">
        <v>0.705718270571827</v>
      </c>
      <c r="W574" t="n">
        <v>0.3333333333333333</v>
      </c>
      <c r="X574" t="n">
        <v>0.2106582817394518</v>
      </c>
      <c r="Y574" t="n">
        <v>4.797625480956524</v>
      </c>
      <c r="Z574" t="n">
        <v>0.2035908437383084</v>
      </c>
      <c r="AA574" t="n">
        <v>-2.775557561562891e-17</v>
      </c>
    </row>
    <row r="575">
      <c r="A575" t="inlineStr">
        <is>
          <t>2024-10-22</t>
        </is>
      </c>
      <c r="B575" t="inlineStr">
        <is>
          <t>CW</t>
        </is>
      </c>
      <c r="C575" t="inlineStr">
        <is>
          <t>09:20+</t>
        </is>
      </c>
      <c r="D575" t="n">
        <v>-8.094837098310986</v>
      </c>
      <c r="E575" t="n">
        <v>0.3206807280337619</v>
      </c>
      <c r="F575" t="n">
        <v>8.812218794468039</v>
      </c>
      <c r="G575" t="n">
        <v>0.6745932415519399</v>
      </c>
      <c r="H575" t="n">
        <v>0.6545682102628285</v>
      </c>
      <c r="I575" t="n">
        <v>0.3263598326359833</v>
      </c>
      <c r="J575" t="n">
        <v>0.5969365472531041</v>
      </c>
      <c r="K575" t="n">
        <v>0.6677157174036119</v>
      </c>
      <c r="L575" t="b">
        <v>0</v>
      </c>
      <c r="N575" t="n">
        <v>0</v>
      </c>
      <c r="O575" t="n">
        <v>0</v>
      </c>
      <c r="P575" t="n">
        <v>1</v>
      </c>
      <c r="Q575" t="n">
        <v>8.094837098310986</v>
      </c>
      <c r="R575" t="n">
        <v>5.598899694493051</v>
      </c>
      <c r="S575" t="n">
        <v>2.338709677419359</v>
      </c>
      <c r="T575" t="n">
        <v>0.2217741935483859</v>
      </c>
      <c r="U575" t="n">
        <v>0.1785216178521618</v>
      </c>
      <c r="V575" t="n">
        <v>0.3500697350069735</v>
      </c>
      <c r="W575" t="n">
        <v>0.4504881450488145</v>
      </c>
      <c r="X575" t="n">
        <v>0.320680728033762</v>
      </c>
      <c r="Y575" t="n">
        <v>8.812218794468041</v>
      </c>
      <c r="Z575" t="n">
        <v>0.5969365472531041</v>
      </c>
      <c r="AA575" t="n">
        <v>0</v>
      </c>
    </row>
    <row r="576">
      <c r="A576" t="inlineStr">
        <is>
          <t>2024-10-23</t>
        </is>
      </c>
      <c r="B576" t="inlineStr">
        <is>
          <t>CW</t>
        </is>
      </c>
      <c r="C576" t="inlineStr">
        <is>
          <t>09:17</t>
        </is>
      </c>
      <c r="D576" t="n">
        <v>30.06200905333261</v>
      </c>
      <c r="E576" t="n">
        <v>0.3136845328789096</v>
      </c>
      <c r="F576" t="n">
        <v>10.41816682623537</v>
      </c>
      <c r="G576" t="n">
        <v>0.6345431789737171</v>
      </c>
      <c r="H576" t="n">
        <v>0.8310387984981227</v>
      </c>
      <c r="I576" t="n">
        <v>0.4393305439330544</v>
      </c>
      <c r="J576" t="n">
        <v>0.6740988997753468</v>
      </c>
      <c r="K576" t="n">
        <v>0.6677157174036119</v>
      </c>
      <c r="L576" t="b">
        <v>1</v>
      </c>
      <c r="M576" t="inlineStr">
        <is>
          <t>top_quartile_risk</t>
        </is>
      </c>
      <c r="N576" t="n">
        <v>8.094837098310563</v>
      </c>
      <c r="O576" t="n">
        <v>1</v>
      </c>
      <c r="P576" t="n">
        <v>0</v>
      </c>
      <c r="Q576" t="n">
        <v>0</v>
      </c>
      <c r="R576" t="n">
        <v>7.929031084661951</v>
      </c>
      <c r="S576" t="n">
        <v>3.492607670880641</v>
      </c>
      <c r="T576" t="n">
        <v>0.2142704092564816</v>
      </c>
      <c r="U576" t="n">
        <v>0.3821478382147838</v>
      </c>
      <c r="V576" t="n">
        <v>0.5271966527196653</v>
      </c>
      <c r="W576" t="n">
        <v>0.4086471408647141</v>
      </c>
      <c r="X576" t="n">
        <v>0.3136845328789096</v>
      </c>
      <c r="Y576" t="n">
        <v>10.41816682623537</v>
      </c>
      <c r="Z576" t="n">
        <v>0.6740988997753468</v>
      </c>
      <c r="AA576" t="n">
        <v>0</v>
      </c>
    </row>
    <row r="577">
      <c r="A577" t="inlineStr">
        <is>
          <t>2024-10-24</t>
        </is>
      </c>
      <c r="B577" t="inlineStr">
        <is>
          <t>CW</t>
        </is>
      </c>
      <c r="C577" t="inlineStr">
        <is>
          <t>09:16</t>
        </is>
      </c>
      <c r="D577" t="n">
        <v>34.43369562467912</v>
      </c>
      <c r="E577" t="n">
        <v>0.2416079580163196</v>
      </c>
      <c r="F577" t="n">
        <v>8.214647316821949</v>
      </c>
      <c r="G577" t="n">
        <v>0.2315394242803504</v>
      </c>
      <c r="H577" t="n">
        <v>0.5669586983729662</v>
      </c>
      <c r="I577" t="n">
        <v>0.7554625755462575</v>
      </c>
      <c r="J577" t="n">
        <v>0.4704917641705781</v>
      </c>
      <c r="K577" t="n">
        <v>0.6677157174036119</v>
      </c>
      <c r="L577" t="b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23.45216718044801</v>
      </c>
      <c r="S577" t="n">
        <v>16.94255111976631</v>
      </c>
      <c r="T577" t="n">
        <v>0.2271989613761728</v>
      </c>
      <c r="U577" t="n">
        <v>0.8382147838214784</v>
      </c>
      <c r="V577" t="n">
        <v>0.9456066945606695</v>
      </c>
      <c r="W577" t="n">
        <v>0.4825662482566248</v>
      </c>
      <c r="X577" t="n">
        <v>0.2416079580163196</v>
      </c>
      <c r="Y577" t="n">
        <v>8.214647316821949</v>
      </c>
      <c r="Z577" t="n">
        <v>0.4704917641705781</v>
      </c>
      <c r="AA577" t="n">
        <v>5.551115123125783e-17</v>
      </c>
    </row>
    <row r="578">
      <c r="A578" t="inlineStr">
        <is>
          <t>2024-10-28</t>
        </is>
      </c>
      <c r="B578" t="inlineStr">
        <is>
          <t>CW</t>
        </is>
      </c>
      <c r="C578" t="inlineStr">
        <is>
          <t>09:20+</t>
        </is>
      </c>
      <c r="D578" t="n">
        <v>27.20763306566657</v>
      </c>
      <c r="E578" t="n">
        <v>0.3646517692063749</v>
      </c>
      <c r="F578" t="n">
        <v>11.6871367739383</v>
      </c>
      <c r="G578" t="n">
        <v>0.8585732165206508</v>
      </c>
      <c r="H578" t="n">
        <v>0.9098873591989988</v>
      </c>
      <c r="I578" t="n">
        <v>0.4644351464435146</v>
      </c>
      <c r="J578" t="n">
        <v>0.8002712595765629</v>
      </c>
      <c r="K578" t="n">
        <v>0.6677157174036119</v>
      </c>
      <c r="L578" t="b">
        <v>1</v>
      </c>
      <c r="M578" t="inlineStr">
        <is>
          <t>top_quartile_risk</t>
        </is>
      </c>
      <c r="N578" t="n">
        <v>0</v>
      </c>
      <c r="O578" t="n">
        <v>0</v>
      </c>
      <c r="P578" t="n">
        <v>0</v>
      </c>
      <c r="Q578" t="n">
        <v>0</v>
      </c>
      <c r="R578" t="n">
        <v>8.430413958121282</v>
      </c>
      <c r="S578" t="n">
        <v>3.1157756641522</v>
      </c>
      <c r="T578" t="n">
        <v>0.2295834699901663</v>
      </c>
      <c r="U578" t="n">
        <v>0.4128312412831242</v>
      </c>
      <c r="V578" t="n">
        <v>0.4797768479776848</v>
      </c>
      <c r="W578" t="n">
        <v>0.500697350069735</v>
      </c>
      <c r="X578" t="n">
        <v>0.3646517692063749</v>
      </c>
      <c r="Y578" t="n">
        <v>11.6871367739383</v>
      </c>
      <c r="Z578" t="n">
        <v>0.8002712595765629</v>
      </c>
      <c r="AA578" t="n">
        <v>0</v>
      </c>
    </row>
    <row r="579">
      <c r="A579" t="inlineStr">
        <is>
          <t>2024-10-30</t>
        </is>
      </c>
      <c r="B579" t="inlineStr">
        <is>
          <t>CW</t>
        </is>
      </c>
      <c r="C579" t="inlineStr">
        <is>
          <t>09:16</t>
        </is>
      </c>
      <c r="D579" t="n">
        <v>16.73860109151699</v>
      </c>
      <c r="E579" t="n">
        <v>0.232320779320899</v>
      </c>
      <c r="F579" t="n">
        <v>4.663609014983528</v>
      </c>
      <c r="G579" t="n">
        <v>0.1877346683354193</v>
      </c>
      <c r="H579" t="n">
        <v>0.1001251564455569</v>
      </c>
      <c r="I579" t="n">
        <v>0.6806136680613668</v>
      </c>
      <c r="J579" t="n">
        <v>0.2512666635246639</v>
      </c>
      <c r="K579" t="n">
        <v>0.6677157174036119</v>
      </c>
      <c r="L579" t="b">
        <v>0</v>
      </c>
      <c r="N579" t="n">
        <v>0</v>
      </c>
      <c r="O579" t="n">
        <v>0</v>
      </c>
      <c r="P579" t="n">
        <v>0</v>
      </c>
      <c r="Q579" t="n">
        <v>0</v>
      </c>
      <c r="R579" t="n">
        <v>9.114930050592982</v>
      </c>
      <c r="S579" t="n">
        <v>9.224598930481283</v>
      </c>
      <c r="T579" t="n">
        <v>0.2941176470588296</v>
      </c>
      <c r="U579" t="n">
        <v>0.4532775453277545</v>
      </c>
      <c r="V579" t="n">
        <v>0.8591352859135286</v>
      </c>
      <c r="W579" t="n">
        <v>0.7294281729428173</v>
      </c>
      <c r="X579" t="n">
        <v>0.232320779320899</v>
      </c>
      <c r="Y579" t="n">
        <v>4.663609014983528</v>
      </c>
      <c r="Z579" t="n">
        <v>0.2512666635246639</v>
      </c>
      <c r="AA579" t="n">
        <v>-5.551115123125783e-17</v>
      </c>
    </row>
    <row r="580">
      <c r="A580" t="inlineStr">
        <is>
          <t>2024-10-31</t>
        </is>
      </c>
      <c r="B580" t="inlineStr">
        <is>
          <t>CW</t>
        </is>
      </c>
      <c r="C580" t="inlineStr">
        <is>
          <t>09:16</t>
        </is>
      </c>
      <c r="D580" t="n">
        <v>48.36890803108697</v>
      </c>
      <c r="E580" t="n">
        <v>0.185434214151252</v>
      </c>
      <c r="F580" t="n">
        <v>5.982129854911673</v>
      </c>
      <c r="G580" t="n">
        <v>0.07384230287859825</v>
      </c>
      <c r="H580" t="n">
        <v>0.262828535669587</v>
      </c>
      <c r="I580" t="n">
        <v>0.8777312877731287</v>
      </c>
      <c r="J580" t="n">
        <v>0.3102145929738999</v>
      </c>
      <c r="K580" t="n">
        <v>0.6677157174036119</v>
      </c>
      <c r="L580" t="b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19.18023036856178</v>
      </c>
      <c r="S580" t="n">
        <v>20.07005253940456</v>
      </c>
      <c r="T580" t="n">
        <v>0.4203152364273165</v>
      </c>
      <c r="U580" t="n">
        <v>0.7768479776847977</v>
      </c>
      <c r="V580" t="n">
        <v>0.9595536959553695</v>
      </c>
      <c r="W580" t="n">
        <v>0.8967921896792189</v>
      </c>
      <c r="X580" t="n">
        <v>0.1854342141512519</v>
      </c>
      <c r="Y580" t="n">
        <v>5.982129854911671</v>
      </c>
      <c r="Z580" t="n">
        <v>0.3102145929738999</v>
      </c>
      <c r="AA580" t="n">
        <v>-5.551115123125783e-17</v>
      </c>
    </row>
    <row r="581">
      <c r="A581" t="inlineStr">
        <is>
          <t>2024-11-04</t>
        </is>
      </c>
      <c r="B581" t="inlineStr">
        <is>
          <t>CW</t>
        </is>
      </c>
      <c r="C581" t="inlineStr">
        <is>
          <t>09:16</t>
        </is>
      </c>
      <c r="D581" t="n">
        <v>-36.932595819258</v>
      </c>
      <c r="E581" t="n">
        <v>0.3441535137509454</v>
      </c>
      <c r="F581" t="n">
        <v>12.25202012485419</v>
      </c>
      <c r="G581" t="n">
        <v>0.7997496871088861</v>
      </c>
      <c r="H581" t="n">
        <v>0.9311639549436797</v>
      </c>
      <c r="I581" t="n">
        <v>0.7261738726173873</v>
      </c>
      <c r="J581" t="n">
        <v>0.8376002313445037</v>
      </c>
      <c r="K581" t="n">
        <v>0.6677157174036119</v>
      </c>
      <c r="L581" t="b">
        <v>1</v>
      </c>
      <c r="M581" t="inlineStr">
        <is>
          <t>top_quartile_risk</t>
        </is>
      </c>
      <c r="N581" t="n">
        <v>0</v>
      </c>
      <c r="O581" t="n">
        <v>0</v>
      </c>
      <c r="P581" t="n">
        <v>1</v>
      </c>
      <c r="Q581" t="n">
        <v>36.932595819258</v>
      </c>
      <c r="R581" t="n">
        <v>28.49908926823275</v>
      </c>
      <c r="S581" t="n">
        <v>8.290282902829039</v>
      </c>
      <c r="T581" t="n">
        <v>0.2214022140221416</v>
      </c>
      <c r="U581" t="n">
        <v>0.899581589958159</v>
      </c>
      <c r="V581" t="n">
        <v>0.8326359832635983</v>
      </c>
      <c r="W581" t="n">
        <v>0.4463040446304045</v>
      </c>
      <c r="X581" t="n">
        <v>0.3441535137509455</v>
      </c>
      <c r="Y581" t="n">
        <v>12.25202012485419</v>
      </c>
      <c r="Z581" t="n">
        <v>0.8376002313445037</v>
      </c>
      <c r="AA581" t="n">
        <v>0</v>
      </c>
    </row>
    <row r="582">
      <c r="A582" t="inlineStr">
        <is>
          <t>2024-11-05</t>
        </is>
      </c>
      <c r="B582" t="inlineStr">
        <is>
          <t>CW</t>
        </is>
      </c>
      <c r="C582" t="inlineStr">
        <is>
          <t>09:16</t>
        </is>
      </c>
      <c r="D582" t="n">
        <v>26.05646883668331</v>
      </c>
      <c r="E582" t="n">
        <v>0.2841545893876885</v>
      </c>
      <c r="F582" t="n">
        <v>9.962313232500556</v>
      </c>
      <c r="G582" t="n">
        <v>0.4831038798498123</v>
      </c>
      <c r="H582" t="n">
        <v>0.7834793491864831</v>
      </c>
      <c r="I582" t="n">
        <v>0.699674569967457</v>
      </c>
      <c r="J582" t="n">
        <v>0.6465682056080096</v>
      </c>
      <c r="K582" t="n">
        <v>0.6677157174036119</v>
      </c>
      <c r="L582" t="b">
        <v>0</v>
      </c>
      <c r="N582" t="n">
        <v>36.93259581925759</v>
      </c>
      <c r="O582" t="n">
        <v>1</v>
      </c>
      <c r="P582" t="n">
        <v>0</v>
      </c>
      <c r="Q582" t="n">
        <v>0</v>
      </c>
      <c r="R582" t="n">
        <v>20.81536955110296</v>
      </c>
      <c r="S582" t="n">
        <v>13.16017316017316</v>
      </c>
      <c r="T582" t="n">
        <v>0.2102659245516374</v>
      </c>
      <c r="U582" t="n">
        <v>0.8075313807531381</v>
      </c>
      <c r="V582" t="n">
        <v>0.9121338912133892</v>
      </c>
      <c r="W582" t="n">
        <v>0.3793584379358438</v>
      </c>
      <c r="X582" t="n">
        <v>0.2841545893876885</v>
      </c>
      <c r="Y582" t="n">
        <v>9.962313232500556</v>
      </c>
      <c r="Z582" t="n">
        <v>0.6465682056080096</v>
      </c>
      <c r="AA582" t="n">
        <v>0</v>
      </c>
    </row>
    <row r="583">
      <c r="A583" t="inlineStr">
        <is>
          <t>2024-11-06</t>
        </is>
      </c>
      <c r="B583" t="inlineStr">
        <is>
          <t>CW</t>
        </is>
      </c>
      <c r="C583" t="inlineStr">
        <is>
          <t>09:18</t>
        </is>
      </c>
      <c r="D583" t="n">
        <v>20.144997161001</v>
      </c>
      <c r="E583" t="n">
        <v>0.3949518530624783</v>
      </c>
      <c r="F583" t="n">
        <v>10.05659497608744</v>
      </c>
      <c r="G583" t="n">
        <v>0.9311639549436797</v>
      </c>
      <c r="H583" t="n">
        <v>0.7947434292866082</v>
      </c>
      <c r="I583" t="n">
        <v>0.4630404463040446</v>
      </c>
      <c r="J583" t="n">
        <v>0.7829710429529241</v>
      </c>
      <c r="K583" t="n">
        <v>0.6677157174036119</v>
      </c>
      <c r="L583" t="b">
        <v>1</v>
      </c>
      <c r="M583" t="inlineStr">
        <is>
          <t>top_quartile_risk</t>
        </is>
      </c>
      <c r="N583" t="n">
        <v>10.87612698257453</v>
      </c>
      <c r="O583" t="n">
        <v>0</v>
      </c>
      <c r="P583" t="n">
        <v>0</v>
      </c>
      <c r="Q583" t="n">
        <v>0</v>
      </c>
      <c r="R583" t="n">
        <v>10.09277510036046</v>
      </c>
      <c r="S583" t="n">
        <v>1.530168666318933</v>
      </c>
      <c r="T583" t="n">
        <v>0.2956007650843411</v>
      </c>
      <c r="U583" t="n">
        <v>0.5118549511854951</v>
      </c>
      <c r="V583" t="n">
        <v>0.1394700139470014</v>
      </c>
      <c r="W583" t="n">
        <v>0.7377963737796374</v>
      </c>
      <c r="X583" t="n">
        <v>0.3949518530624783</v>
      </c>
      <c r="Y583" t="n">
        <v>10.05659497608745</v>
      </c>
      <c r="Z583" t="n">
        <v>0.7829710429529241</v>
      </c>
      <c r="AA583" t="n">
        <v>0</v>
      </c>
    </row>
    <row r="584">
      <c r="A584" t="inlineStr">
        <is>
          <t>2024-11-07</t>
        </is>
      </c>
      <c r="B584" t="inlineStr">
        <is>
          <t>CW</t>
        </is>
      </c>
      <c r="C584" t="inlineStr">
        <is>
          <t>09:18</t>
        </is>
      </c>
      <c r="D584" t="n">
        <v>-46.83944845987364</v>
      </c>
      <c r="E584" t="n">
        <v>0.3184259815917244</v>
      </c>
      <c r="F584" t="n">
        <v>6.889026872553513</v>
      </c>
      <c r="G584" t="n">
        <v>0.6608260325406758</v>
      </c>
      <c r="H584" t="n">
        <v>0.4067584480600751</v>
      </c>
      <c r="I584" t="n">
        <v>0.5274291027429102</v>
      </c>
      <c r="J584" t="n">
        <v>0.5325196127888825</v>
      </c>
      <c r="K584" t="n">
        <v>0.6677157174036119</v>
      </c>
      <c r="L584" t="b">
        <v>0</v>
      </c>
      <c r="N584" t="n">
        <v>0</v>
      </c>
      <c r="O584" t="n">
        <v>0</v>
      </c>
      <c r="P584" t="n">
        <v>1</v>
      </c>
      <c r="Q584" t="n">
        <v>46.83944845987364</v>
      </c>
      <c r="R584" t="n">
        <v>6.939838357039627</v>
      </c>
      <c r="S584" t="n">
        <v>4.267371601208463</v>
      </c>
      <c r="T584" t="n">
        <v>0.2643504531722118</v>
      </c>
      <c r="U584" t="n">
        <v>0.3068340306834031</v>
      </c>
      <c r="V584" t="n">
        <v>0.6248256624825662</v>
      </c>
      <c r="W584" t="n">
        <v>0.6506276150627615</v>
      </c>
      <c r="X584" t="n">
        <v>0.3184259815917244</v>
      </c>
      <c r="Y584" t="n">
        <v>6.889026872553513</v>
      </c>
      <c r="Z584" t="n">
        <v>0.5325196127888825</v>
      </c>
      <c r="AA584" t="n">
        <v>0</v>
      </c>
    </row>
    <row r="585">
      <c r="A585" t="inlineStr">
        <is>
          <t>2024-11-08</t>
        </is>
      </c>
      <c r="B585" t="inlineStr">
        <is>
          <t>CW</t>
        </is>
      </c>
      <c r="C585" t="inlineStr">
        <is>
          <t>09:16</t>
        </is>
      </c>
      <c r="D585" t="n">
        <v>29.56976926216913</v>
      </c>
      <c r="E585" t="n">
        <v>0.1764928654932395</v>
      </c>
      <c r="F585" t="n">
        <v>4.85226181329689</v>
      </c>
      <c r="G585" t="n">
        <v>0.05757196495619524</v>
      </c>
      <c r="H585" t="n">
        <v>0.1176470588235294</v>
      </c>
      <c r="I585" t="n">
        <v>0.8177591817759181</v>
      </c>
      <c r="J585" t="n">
        <v>0.2336394458670735</v>
      </c>
      <c r="K585" t="n">
        <v>0.6677157174036119</v>
      </c>
      <c r="L585" t="b">
        <v>0</v>
      </c>
      <c r="N585" t="n">
        <v>46.83944845987389</v>
      </c>
      <c r="O585" t="n">
        <v>1</v>
      </c>
      <c r="P585" t="n">
        <v>0</v>
      </c>
      <c r="Q585" t="n">
        <v>0</v>
      </c>
      <c r="R585" t="n">
        <v>37.80722252606109</v>
      </c>
      <c r="S585" t="n">
        <v>4.847645429362881</v>
      </c>
      <c r="T585" t="n">
        <v>0.3462603878116265</v>
      </c>
      <c r="U585" t="n">
        <v>0.9442119944211994</v>
      </c>
      <c r="V585" t="n">
        <v>0.6806136680613668</v>
      </c>
      <c r="W585" t="n">
        <v>0.8284518828451883</v>
      </c>
      <c r="X585" t="n">
        <v>0.1764928654932395</v>
      </c>
      <c r="Y585" t="n">
        <v>4.852261813296887</v>
      </c>
      <c r="Z585" t="n">
        <v>0.2336394458670735</v>
      </c>
      <c r="AA585" t="n">
        <v>0</v>
      </c>
    </row>
    <row r="586">
      <c r="A586" t="inlineStr">
        <is>
          <t>2024-11-13</t>
        </is>
      </c>
      <c r="B586" t="inlineStr">
        <is>
          <t>CW</t>
        </is>
      </c>
      <c r="C586" t="inlineStr">
        <is>
          <t>09:18</t>
        </is>
      </c>
      <c r="D586" t="n">
        <v>4.500746250138354</v>
      </c>
      <c r="E586" t="n">
        <v>0.3376101938721157</v>
      </c>
      <c r="F586" t="n">
        <v>8.297895050773388</v>
      </c>
      <c r="G586" t="n">
        <v>0.7734668335419274</v>
      </c>
      <c r="H586" t="n">
        <v>0.5782227784730913</v>
      </c>
      <c r="I586" t="n">
        <v>0.4170153417015341</v>
      </c>
      <c r="J586" t="n">
        <v>0.6240789131463144</v>
      </c>
      <c r="K586" t="n">
        <v>0.6677157174036119</v>
      </c>
      <c r="L586" t="b">
        <v>0</v>
      </c>
      <c r="N586" t="n">
        <v>17.26967919770505</v>
      </c>
      <c r="O586" t="n">
        <v>0</v>
      </c>
      <c r="P586" t="n">
        <v>0</v>
      </c>
      <c r="Q586" t="n">
        <v>0</v>
      </c>
      <c r="R586" t="n">
        <v>9.769822151497502</v>
      </c>
      <c r="S586" t="n">
        <v>1.654203489689543</v>
      </c>
      <c r="T586" t="n">
        <v>0.2492635395422602</v>
      </c>
      <c r="U586" t="n">
        <v>0.4909344490934449</v>
      </c>
      <c r="V586" t="n">
        <v>0.1757322175732217</v>
      </c>
      <c r="W586" t="n">
        <v>0.5843793584379359</v>
      </c>
      <c r="X586" t="n">
        <v>0.3376101938721157</v>
      </c>
      <c r="Y586" t="n">
        <v>8.29789505077339</v>
      </c>
      <c r="Z586" t="n">
        <v>0.6240789131463144</v>
      </c>
      <c r="AA586" t="n">
        <v>0</v>
      </c>
    </row>
    <row r="587">
      <c r="A587" t="inlineStr">
        <is>
          <t>2024-11-14</t>
        </is>
      </c>
      <c r="B587" t="inlineStr">
        <is>
          <t>CW</t>
        </is>
      </c>
      <c r="C587" t="inlineStr">
        <is>
          <t>09:16</t>
        </is>
      </c>
      <c r="D587" t="n">
        <v>53.00638741677206</v>
      </c>
      <c r="E587" t="n">
        <v>0.1791646293995563</v>
      </c>
      <c r="F587" t="n">
        <v>8.221513135281828</v>
      </c>
      <c r="G587" t="n">
        <v>0.06508135168961202</v>
      </c>
      <c r="H587" t="n">
        <v>0.5694618272841051</v>
      </c>
      <c r="I587" t="n">
        <v>0.902370990237099</v>
      </c>
      <c r="J587" t="n">
        <v>0.4342914696369067</v>
      </c>
      <c r="K587" t="n">
        <v>0.6677157174036119</v>
      </c>
      <c r="L587" t="b">
        <v>0</v>
      </c>
      <c r="N587" t="n">
        <v>12.76893294756701</v>
      </c>
      <c r="O587" t="n">
        <v>0</v>
      </c>
      <c r="P587" t="n">
        <v>0</v>
      </c>
      <c r="Q587" t="n">
        <v>0</v>
      </c>
      <c r="R587" t="n">
        <v>29.93624766520528</v>
      </c>
      <c r="S587" t="n">
        <v>21.93600867678958</v>
      </c>
      <c r="T587" t="n">
        <v>0.3524945770065106</v>
      </c>
      <c r="U587" t="n">
        <v>0.9037656903765691</v>
      </c>
      <c r="V587" t="n">
        <v>0.9693165969316597</v>
      </c>
      <c r="W587" t="n">
        <v>0.8340306834030683</v>
      </c>
      <c r="X587" t="n">
        <v>0.1791646293995563</v>
      </c>
      <c r="Y587" t="n">
        <v>8.22151313528183</v>
      </c>
      <c r="Z587" t="n">
        <v>0.4342914696369067</v>
      </c>
      <c r="AA587" t="n">
        <v>0</v>
      </c>
    </row>
    <row r="588">
      <c r="A588" t="inlineStr">
        <is>
          <t>2024-11-21</t>
        </is>
      </c>
      <c r="B588" t="inlineStr">
        <is>
          <t>CW</t>
        </is>
      </c>
      <c r="C588" t="inlineStr">
        <is>
          <t>09:16</t>
        </is>
      </c>
      <c r="D588" t="n">
        <v>78.24619375670868</v>
      </c>
      <c r="E588" t="n">
        <v>0.2299420434556582</v>
      </c>
      <c r="F588" t="n">
        <v>10.49434525611436</v>
      </c>
      <c r="G588" t="n">
        <v>0.1752190237797246</v>
      </c>
      <c r="H588" t="n">
        <v>0.8423028785982478</v>
      </c>
      <c r="I588" t="n">
        <v>0.9437470943747095</v>
      </c>
      <c r="J588" t="n">
        <v>0.5957581798261309</v>
      </c>
      <c r="K588" t="n">
        <v>0.6677157174036119</v>
      </c>
      <c r="L588" t="b">
        <v>0</v>
      </c>
      <c r="N588" t="n">
        <v>0</v>
      </c>
      <c r="O588" t="n">
        <v>0</v>
      </c>
      <c r="P588" t="n">
        <v>0</v>
      </c>
      <c r="Q588" t="n">
        <v>0</v>
      </c>
      <c r="R588" t="n">
        <v>79.32888406420822</v>
      </c>
      <c r="S588" t="n">
        <v>24.17480241748024</v>
      </c>
      <c r="T588" t="n">
        <v>0.371920037192009</v>
      </c>
      <c r="U588" t="n">
        <v>0.99860529986053</v>
      </c>
      <c r="V588" t="n">
        <v>0.9762900976290098</v>
      </c>
      <c r="W588" t="n">
        <v>0.8563458856345886</v>
      </c>
      <c r="X588" t="n">
        <v>0.2299420434556582</v>
      </c>
      <c r="Y588" t="n">
        <v>10.49434525611436</v>
      </c>
      <c r="Z588" t="n">
        <v>0.5957581798261309</v>
      </c>
      <c r="AA588" t="n">
        <v>0</v>
      </c>
    </row>
    <row r="589">
      <c r="A589" t="inlineStr">
        <is>
          <t>2024-11-22</t>
        </is>
      </c>
      <c r="B589" t="inlineStr">
        <is>
          <t>CW</t>
        </is>
      </c>
      <c r="C589" t="inlineStr">
        <is>
          <t>09:20+</t>
        </is>
      </c>
      <c r="D589" t="n">
        <v>-41.48997048225947</v>
      </c>
      <c r="E589" t="n">
        <v>0.3241434011651821</v>
      </c>
      <c r="F589" t="n">
        <v>12.61430592284092</v>
      </c>
      <c r="G589" t="n">
        <v>0.7008760951188986</v>
      </c>
      <c r="H589" t="n">
        <v>0.9449311639549437</v>
      </c>
      <c r="I589" t="n">
        <v>0.3147373314737332</v>
      </c>
      <c r="J589" t="n">
        <v>0.7212703699242836</v>
      </c>
      <c r="K589" t="n">
        <v>0.6677157174036119</v>
      </c>
      <c r="L589" t="b">
        <v>1</v>
      </c>
      <c r="M589" t="inlineStr">
        <is>
          <t>top_quartile_risk</t>
        </is>
      </c>
      <c r="N589" t="n">
        <v>0</v>
      </c>
      <c r="O589" t="n">
        <v>0</v>
      </c>
      <c r="P589" t="n">
        <v>1</v>
      </c>
      <c r="Q589" t="n">
        <v>41.48997048225947</v>
      </c>
      <c r="R589" t="n">
        <v>5.023948190007179</v>
      </c>
      <c r="S589" t="n">
        <v>2.39881904293271</v>
      </c>
      <c r="T589" t="n">
        <v>0.2214294501168669</v>
      </c>
      <c r="U589" t="n">
        <v>0.1283124128312413</v>
      </c>
      <c r="V589" t="n">
        <v>0.3682008368200837</v>
      </c>
      <c r="W589" t="n">
        <v>0.4476987447698745</v>
      </c>
      <c r="X589" t="n">
        <v>0.3241434011651821</v>
      </c>
      <c r="Y589" t="n">
        <v>12.61430592284092</v>
      </c>
      <c r="Z589" t="n">
        <v>0.7212703699242836</v>
      </c>
      <c r="AA589" t="n">
        <v>0</v>
      </c>
    </row>
    <row r="590">
      <c r="A590" t="inlineStr">
        <is>
          <t>2024-11-27</t>
        </is>
      </c>
      <c r="B590" t="inlineStr">
        <is>
          <t>CW</t>
        </is>
      </c>
      <c r="C590" t="inlineStr">
        <is>
          <t>09:17</t>
        </is>
      </c>
      <c r="D590" t="n">
        <v>47.99974506543152</v>
      </c>
      <c r="E590" t="n">
        <v>0.3085056561061237</v>
      </c>
      <c r="F590" t="n">
        <v>8.0140535292255</v>
      </c>
      <c r="G590" t="n">
        <v>0.6082603254067585</v>
      </c>
      <c r="H590" t="n">
        <v>0.5456821026282853</v>
      </c>
      <c r="I590" t="n">
        <v>0.1678289167828917</v>
      </c>
      <c r="J590" t="n">
        <v>0.4951427545705959</v>
      </c>
      <c r="K590" t="n">
        <v>0.6677157174036119</v>
      </c>
      <c r="L590" t="b">
        <v>0</v>
      </c>
      <c r="N590" t="n">
        <v>41.4899704822592</v>
      </c>
      <c r="O590" t="n">
        <v>1</v>
      </c>
      <c r="P590" t="n">
        <v>0</v>
      </c>
      <c r="Q590" t="n">
        <v>0</v>
      </c>
      <c r="R590" t="n">
        <v>6.092574081568769</v>
      </c>
      <c r="S590" t="n">
        <v>1.347048738672545</v>
      </c>
      <c r="T590" t="n">
        <v>0.1714425667401392</v>
      </c>
      <c r="U590" t="n">
        <v>0.2315202231520223</v>
      </c>
      <c r="V590" t="n">
        <v>0.09623430962343096</v>
      </c>
      <c r="W590" t="n">
        <v>0.1757322175732217</v>
      </c>
      <c r="X590" t="n">
        <v>0.3085056561061237</v>
      </c>
      <c r="Y590" t="n">
        <v>8.0140535292255</v>
      </c>
      <c r="Z590" t="n">
        <v>0.4951427545705959</v>
      </c>
      <c r="AA590" t="n">
        <v>-5.551115123125783e-17</v>
      </c>
    </row>
    <row r="591">
      <c r="A591" t="inlineStr">
        <is>
          <t>2024-11-28</t>
        </is>
      </c>
      <c r="B591" t="inlineStr">
        <is>
          <t>CW</t>
        </is>
      </c>
      <c r="C591" t="inlineStr">
        <is>
          <t>09:16</t>
        </is>
      </c>
      <c r="D591" t="n">
        <v>-48.62534969414602</v>
      </c>
      <c r="E591" t="n">
        <v>0.3203015368305802</v>
      </c>
      <c r="F591" t="n">
        <v>9.864752365879987</v>
      </c>
      <c r="G591" t="n">
        <v>0.6708385481852316</v>
      </c>
      <c r="H591" t="n">
        <v>0.7797246558197747</v>
      </c>
      <c r="I591" t="n">
        <v>0.6615527661552766</v>
      </c>
      <c r="J591" t="n">
        <v>0.7125358348330579</v>
      </c>
      <c r="K591" t="n">
        <v>0.6677157174036119</v>
      </c>
      <c r="L591" t="b">
        <v>1</v>
      </c>
      <c r="M591" t="inlineStr">
        <is>
          <t>top_quartile_risk</t>
        </is>
      </c>
      <c r="N591" t="n">
        <v>0</v>
      </c>
      <c r="O591" t="n">
        <v>0</v>
      </c>
      <c r="P591" t="n">
        <v>1</v>
      </c>
      <c r="Q591" t="n">
        <v>48.62534969414602</v>
      </c>
      <c r="R591" t="n">
        <v>7.381955539654149</v>
      </c>
      <c r="S591" t="n">
        <v>7.387769529869203</v>
      </c>
      <c r="T591" t="n">
        <v>0.3534817956875221</v>
      </c>
      <c r="U591" t="n">
        <v>0.3472803347280335</v>
      </c>
      <c r="V591" t="n">
        <v>0.799163179916318</v>
      </c>
      <c r="W591" t="n">
        <v>0.8382147838214784</v>
      </c>
      <c r="X591" t="n">
        <v>0.3203015368305802</v>
      </c>
      <c r="Y591" t="n">
        <v>9.864752365879985</v>
      </c>
      <c r="Z591" t="n">
        <v>0.7125358348330579</v>
      </c>
      <c r="AA591" t="n">
        <v>0</v>
      </c>
    </row>
    <row r="592">
      <c r="A592" t="inlineStr">
        <is>
          <t>2024-12-03</t>
        </is>
      </c>
      <c r="B592" t="inlineStr">
        <is>
          <t>CW</t>
        </is>
      </c>
      <c r="C592" t="inlineStr">
        <is>
          <t>09:18</t>
        </is>
      </c>
      <c r="D592" t="n">
        <v>13.47759678273116</v>
      </c>
      <c r="E592" t="n">
        <v>0.2962148071617667</v>
      </c>
      <c r="F592" t="n">
        <v>6.460006652845291</v>
      </c>
      <c r="G592" t="n">
        <v>0.5531914893617021</v>
      </c>
      <c r="H592" t="n">
        <v>0.3354192740926158</v>
      </c>
      <c r="I592" t="n">
        <v>0.2143189214318921</v>
      </c>
      <c r="J592" t="n">
        <v>0.3983080896681057</v>
      </c>
      <c r="K592" t="n">
        <v>0.6677157174036119</v>
      </c>
      <c r="L592" t="b">
        <v>0</v>
      </c>
      <c r="N592" t="n">
        <v>48.62534969414628</v>
      </c>
      <c r="O592" t="n">
        <v>1</v>
      </c>
      <c r="P592" t="n">
        <v>0</v>
      </c>
      <c r="Q592" t="n">
        <v>0</v>
      </c>
      <c r="R592" t="n">
        <v>3.678691947569691</v>
      </c>
      <c r="S592" t="n">
        <v>1.755241345685024</v>
      </c>
      <c r="T592" t="n">
        <v>0.2112790508694871</v>
      </c>
      <c r="U592" t="n">
        <v>0.05299860529986053</v>
      </c>
      <c r="V592" t="n">
        <v>0.203626220362622</v>
      </c>
      <c r="W592" t="n">
        <v>0.3863319386331939</v>
      </c>
      <c r="X592" t="n">
        <v>0.2962148071617667</v>
      </c>
      <c r="Y592" t="n">
        <v>6.460006652845292</v>
      </c>
      <c r="Z592" t="n">
        <v>0.3983080896681057</v>
      </c>
      <c r="AA592" t="n">
        <v>-5.551115123125783e-17</v>
      </c>
    </row>
    <row r="593">
      <c r="A593" t="inlineStr">
        <is>
          <t>2024-12-04</t>
        </is>
      </c>
      <c r="B593" t="inlineStr">
        <is>
          <t>CW</t>
        </is>
      </c>
      <c r="C593" t="inlineStr">
        <is>
          <t>09:16</t>
        </is>
      </c>
      <c r="D593" t="n">
        <v>-37.1142518967116</v>
      </c>
      <c r="E593" t="n">
        <v>0.2859481055506821</v>
      </c>
      <c r="F593" t="n">
        <v>8.316729586349895</v>
      </c>
      <c r="G593" t="n">
        <v>0.4981226533166458</v>
      </c>
      <c r="H593" t="n">
        <v>0.5819774718397998</v>
      </c>
      <c r="I593" t="n">
        <v>0.6806136680613668</v>
      </c>
      <c r="J593" t="n">
        <v>0.5681627836748516</v>
      </c>
      <c r="K593" t="n">
        <v>0.6677157174036119</v>
      </c>
      <c r="L593" t="b">
        <v>0</v>
      </c>
      <c r="N593" t="n">
        <v>35.14775291141541</v>
      </c>
      <c r="O593" t="n">
        <v>0</v>
      </c>
      <c r="P593" t="n">
        <v>1</v>
      </c>
      <c r="Q593" t="n">
        <v>37.1142518967116</v>
      </c>
      <c r="R593" t="n">
        <v>8.998617485131829</v>
      </c>
      <c r="S593" t="n">
        <v>10.59803179409538</v>
      </c>
      <c r="T593" t="n">
        <v>0.2838758516275441</v>
      </c>
      <c r="U593" t="n">
        <v>0.4449093444909344</v>
      </c>
      <c r="V593" t="n">
        <v>0.891213389121339</v>
      </c>
      <c r="W593" t="n">
        <v>0.705718270571827</v>
      </c>
      <c r="X593" t="n">
        <v>0.2859481055506821</v>
      </c>
      <c r="Y593" t="n">
        <v>8.316729586349897</v>
      </c>
      <c r="Z593" t="n">
        <v>0.5681627836748516</v>
      </c>
      <c r="AA593" t="n">
        <v>0</v>
      </c>
    </row>
    <row r="594">
      <c r="A594" t="inlineStr">
        <is>
          <t>2024-12-05</t>
        </is>
      </c>
      <c r="B594" t="inlineStr">
        <is>
          <t>CW</t>
        </is>
      </c>
      <c r="C594" t="inlineStr">
        <is>
          <t>09:16</t>
        </is>
      </c>
      <c r="D594" t="n">
        <v>-39.26889078590381</v>
      </c>
      <c r="E594" t="n">
        <v>0.2799436219434661</v>
      </c>
      <c r="F594" t="n">
        <v>11.03988122396852</v>
      </c>
      <c r="G594" t="n">
        <v>0.4618272841051314</v>
      </c>
      <c r="H594" t="n">
        <v>0.8823529411764706</v>
      </c>
      <c r="I594" t="n">
        <v>0.7866108786610878</v>
      </c>
      <c r="J594" t="n">
        <v>0.6949942658448585</v>
      </c>
      <c r="K594" t="n">
        <v>0.6677157174036119</v>
      </c>
      <c r="L594" t="b">
        <v>1</v>
      </c>
      <c r="M594" t="inlineStr">
        <is>
          <t>top_quartile_risk</t>
        </is>
      </c>
      <c r="N594" t="n">
        <v>72.26200480812713</v>
      </c>
      <c r="O594" t="n">
        <v>1</v>
      </c>
      <c r="P594" t="n">
        <v>1</v>
      </c>
      <c r="Q594" t="n">
        <v>39.26889078590381</v>
      </c>
      <c r="R594" t="n">
        <v>12.63941127705047</v>
      </c>
      <c r="S594" t="n">
        <v>11.91001323334804</v>
      </c>
      <c r="T594" t="n">
        <v>0.3528892809880887</v>
      </c>
      <c r="U594" t="n">
        <v>0.6192468619246861</v>
      </c>
      <c r="V594" t="n">
        <v>0.9037656903765691</v>
      </c>
      <c r="W594" t="n">
        <v>0.8368200836820083</v>
      </c>
      <c r="X594" t="n">
        <v>0.2799436219434661</v>
      </c>
      <c r="Y594" t="n">
        <v>11.03988122396852</v>
      </c>
      <c r="Z594" t="n">
        <v>0.6949942658448585</v>
      </c>
      <c r="AA594" t="n">
        <v>0</v>
      </c>
    </row>
    <row r="595">
      <c r="A595" t="inlineStr">
        <is>
          <t>2024-12-06</t>
        </is>
      </c>
      <c r="B595" t="inlineStr">
        <is>
          <t>CW</t>
        </is>
      </c>
      <c r="C595" t="inlineStr">
        <is>
          <t>09:16</t>
        </is>
      </c>
      <c r="D595" t="n">
        <v>38.1371782673783</v>
      </c>
      <c r="E595" t="n">
        <v>0.1902663321045016</v>
      </c>
      <c r="F595" t="n">
        <v>4.988064951131993</v>
      </c>
      <c r="G595" t="n">
        <v>0.08886107634543179</v>
      </c>
      <c r="H595" t="n">
        <v>0.1351689612015019</v>
      </c>
      <c r="I595" t="n">
        <v>0.4597861459786146</v>
      </c>
      <c r="J595" t="n">
        <v>0.1815692442144964</v>
      </c>
      <c r="K595" t="n">
        <v>0.6677157174036119</v>
      </c>
      <c r="L595" t="b">
        <v>0</v>
      </c>
      <c r="N595" t="n">
        <v>111.5308955940309</v>
      </c>
      <c r="O595" t="n">
        <v>2</v>
      </c>
      <c r="P595" t="n">
        <v>0</v>
      </c>
      <c r="Q595" t="n">
        <v>0</v>
      </c>
      <c r="R595" t="n">
        <v>8.643479739441466</v>
      </c>
      <c r="S595" t="n">
        <v>5.837941301573796</v>
      </c>
      <c r="T595" t="n">
        <v>0.1807741386643969</v>
      </c>
      <c r="U595" t="n">
        <v>0.4309623430962343</v>
      </c>
      <c r="V595" t="n">
        <v>0.7391910739191074</v>
      </c>
      <c r="W595" t="n">
        <v>0.2092050209205021</v>
      </c>
      <c r="X595" t="n">
        <v>0.1902663321045016</v>
      </c>
      <c r="Y595" t="n">
        <v>4.988064951131991</v>
      </c>
      <c r="Z595" t="n">
        <v>0.1815692442144964</v>
      </c>
      <c r="AA595" t="n">
        <v>-2.775557561562891e-17</v>
      </c>
    </row>
    <row r="596">
      <c r="A596" t="inlineStr">
        <is>
          <t>2024-12-09</t>
        </is>
      </c>
      <c r="B596" t="inlineStr">
        <is>
          <t>CW</t>
        </is>
      </c>
      <c r="C596" t="inlineStr">
        <is>
          <t>09:17</t>
        </is>
      </c>
      <c r="D596" t="n">
        <v>45.63786097214568</v>
      </c>
      <c r="E596" t="n">
        <v>0.2775242814035483</v>
      </c>
      <c r="F596" t="n">
        <v>5.593638120506901</v>
      </c>
      <c r="G596" t="n">
        <v>0.4480600750938674</v>
      </c>
      <c r="H596" t="n">
        <v>0.2165206508135169</v>
      </c>
      <c r="I596" t="n">
        <v>0.2584844258484426</v>
      </c>
      <c r="J596" t="n">
        <v>0.3175291755326422</v>
      </c>
      <c r="K596" t="n">
        <v>0.6677157174036119</v>
      </c>
      <c r="L596" t="b">
        <v>0</v>
      </c>
      <c r="N596" t="n">
        <v>73.39371732665222</v>
      </c>
      <c r="O596" t="n">
        <v>0</v>
      </c>
      <c r="P596" t="n">
        <v>0</v>
      </c>
      <c r="Q596" t="n">
        <v>0</v>
      </c>
      <c r="R596" t="n">
        <v>4.318515890312866</v>
      </c>
      <c r="S596" t="n">
        <v>1.760363429869373</v>
      </c>
      <c r="T596" t="n">
        <v>0.2271436683702393</v>
      </c>
      <c r="U596" t="n">
        <v>0.08926080892608089</v>
      </c>
      <c r="V596" t="n">
        <v>0.2050209205020921</v>
      </c>
      <c r="W596" t="n">
        <v>0.4811715481171548</v>
      </c>
      <c r="X596" t="n">
        <v>0.2775242814035482</v>
      </c>
      <c r="Y596" t="n">
        <v>5.593638120506901</v>
      </c>
      <c r="Z596" t="n">
        <v>0.3175291755326422</v>
      </c>
      <c r="AA596" t="n">
        <v>0</v>
      </c>
    </row>
    <row r="597">
      <c r="A597" t="inlineStr">
        <is>
          <t>2024-12-10</t>
        </is>
      </c>
      <c r="B597" t="inlineStr">
        <is>
          <t>CW</t>
        </is>
      </c>
      <c r="C597" t="inlineStr">
        <is>
          <t>09:17</t>
        </is>
      </c>
      <c r="D597" t="n">
        <v>31.50284681887258</v>
      </c>
      <c r="E597" t="n">
        <v>0.2567840779122893</v>
      </c>
      <c r="F597" t="n">
        <v>5.407472016921279</v>
      </c>
      <c r="G597" t="n">
        <v>0.3066332916145181</v>
      </c>
      <c r="H597" t="n">
        <v>0.1877346683354193</v>
      </c>
      <c r="I597" t="n">
        <v>0.3258949325894933</v>
      </c>
      <c r="J597" t="n">
        <v>0.2629261704978736</v>
      </c>
      <c r="K597" t="n">
        <v>0.6677157174036119</v>
      </c>
      <c r="L597" t="b">
        <v>0</v>
      </c>
      <c r="N597" t="n">
        <v>27.75585635450625</v>
      </c>
      <c r="O597" t="n">
        <v>0</v>
      </c>
      <c r="P597" t="n">
        <v>0</v>
      </c>
      <c r="Q597" t="n">
        <v>0</v>
      </c>
      <c r="R597" t="n">
        <v>4.001267406529655</v>
      </c>
      <c r="S597" t="n">
        <v>2.215076813147549</v>
      </c>
      <c r="T597" t="n">
        <v>0.2500893176134293</v>
      </c>
      <c r="U597" t="n">
        <v>0.07391910739191074</v>
      </c>
      <c r="V597" t="n">
        <v>0.3165969316596932</v>
      </c>
      <c r="W597" t="n">
        <v>0.5871687587168759</v>
      </c>
      <c r="X597" t="n">
        <v>0.2567840779122893</v>
      </c>
      <c r="Y597" t="n">
        <v>5.40747201692128</v>
      </c>
      <c r="Z597" t="n">
        <v>0.2629261704978736</v>
      </c>
      <c r="AA597" t="n">
        <v>5.551115123125783e-17</v>
      </c>
    </row>
    <row r="598">
      <c r="A598" t="inlineStr">
        <is>
          <t>2024-12-11</t>
        </is>
      </c>
      <c r="B598" t="inlineStr">
        <is>
          <t>CW</t>
        </is>
      </c>
      <c r="C598" t="inlineStr">
        <is>
          <t>09:17</t>
        </is>
      </c>
      <c r="D598" t="n">
        <v>47.42479416699496</v>
      </c>
      <c r="E598" t="n">
        <v>0.2733395864561752</v>
      </c>
      <c r="F598" t="n">
        <v>7.175186638011863</v>
      </c>
      <c r="G598" t="n">
        <v>0.4117647058823529</v>
      </c>
      <c r="H598" t="n">
        <v>0.4392991239048811</v>
      </c>
      <c r="I598" t="n">
        <v>0.3933054393305439</v>
      </c>
      <c r="J598" t="n">
        <v>0.4190866197810025</v>
      </c>
      <c r="K598" t="n">
        <v>0.6677157174036119</v>
      </c>
      <c r="L598" t="b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3.048588401948805</v>
      </c>
      <c r="S598" t="n">
        <v>3.875586274993826</v>
      </c>
      <c r="T598" t="n">
        <v>0.2468526289804986</v>
      </c>
      <c r="U598" t="n">
        <v>0.02789400278940028</v>
      </c>
      <c r="V598" t="n">
        <v>0.5815899581589958</v>
      </c>
      <c r="W598" t="n">
        <v>0.5704323570432357</v>
      </c>
      <c r="X598" t="n">
        <v>0.2733395864561752</v>
      </c>
      <c r="Y598" t="n">
        <v>7.175186638011863</v>
      </c>
      <c r="Z598" t="n">
        <v>0.4190866197810025</v>
      </c>
      <c r="AA598" t="n">
        <v>0</v>
      </c>
    </row>
    <row r="599">
      <c r="A599" t="inlineStr">
        <is>
          <t>2024-12-13</t>
        </is>
      </c>
      <c r="B599" t="inlineStr">
        <is>
          <t>CW</t>
        </is>
      </c>
      <c r="C599" t="inlineStr">
        <is>
          <t>09:16</t>
        </is>
      </c>
      <c r="D599" t="n">
        <v>-36.8020016177112</v>
      </c>
      <c r="E599" t="n">
        <v>0.2054673888535168</v>
      </c>
      <c r="F599" t="n">
        <v>5.353362669997402</v>
      </c>
      <c r="G599" t="n">
        <v>0.1126408010012516</v>
      </c>
      <c r="H599" t="n">
        <v>0.1839799749687109</v>
      </c>
      <c r="I599" t="n">
        <v>0.6815434681543467</v>
      </c>
      <c r="J599" t="n">
        <v>0.2549570040188543</v>
      </c>
      <c r="K599" t="n">
        <v>0.6677157174036119</v>
      </c>
      <c r="L599" t="b">
        <v>0</v>
      </c>
      <c r="N599" t="n">
        <v>0</v>
      </c>
      <c r="O599" t="n">
        <v>0</v>
      </c>
      <c r="P599" t="n">
        <v>1</v>
      </c>
      <c r="Q599" t="n">
        <v>36.8020016177112</v>
      </c>
      <c r="R599" t="n">
        <v>30.68554150295948</v>
      </c>
      <c r="S599" t="n">
        <v>3.694472951180185</v>
      </c>
      <c r="T599" t="n">
        <v>0.2492303181351691</v>
      </c>
      <c r="U599" t="n">
        <v>0.905160390516039</v>
      </c>
      <c r="V599" t="n">
        <v>0.5564853556485355</v>
      </c>
      <c r="W599" t="n">
        <v>0.5829846582984658</v>
      </c>
      <c r="X599" t="n">
        <v>0.2054673888535168</v>
      </c>
      <c r="Y599" t="n">
        <v>5.353362669997402</v>
      </c>
      <c r="Z599" t="n">
        <v>0.2549570040188543</v>
      </c>
      <c r="AA599" t="n">
        <v>5.551115123125783e-17</v>
      </c>
    </row>
    <row r="600">
      <c r="A600" t="inlineStr">
        <is>
          <t>2024-12-17</t>
        </is>
      </c>
      <c r="B600" t="inlineStr">
        <is>
          <t>CW</t>
        </is>
      </c>
      <c r="C600" t="inlineStr">
        <is>
          <t>09:17</t>
        </is>
      </c>
      <c r="D600" t="n">
        <v>-35.67762886138033</v>
      </c>
      <c r="E600" t="n">
        <v>0.3469761556562591</v>
      </c>
      <c r="F600" t="n">
        <v>9.573907536641114</v>
      </c>
      <c r="G600" t="n">
        <v>0.8060075093867334</v>
      </c>
      <c r="H600" t="n">
        <v>0.7334167709637046</v>
      </c>
      <c r="I600" t="n">
        <v>0.1933984193398419</v>
      </c>
      <c r="J600" t="n">
        <v>0.6544493960081437</v>
      </c>
      <c r="K600" t="n">
        <v>0.6677157174036119</v>
      </c>
      <c r="L600" t="b">
        <v>0</v>
      </c>
      <c r="N600" t="n">
        <v>36.80200161771154</v>
      </c>
      <c r="O600" t="n">
        <v>1</v>
      </c>
      <c r="P600" t="n">
        <v>1</v>
      </c>
      <c r="Q600" t="n">
        <v>35.67762886138033</v>
      </c>
      <c r="R600" t="n">
        <v>5.934826660378952</v>
      </c>
      <c r="S600" t="n">
        <v>2.315622521808074</v>
      </c>
      <c r="T600" t="n">
        <v>0.0951625693893681</v>
      </c>
      <c r="U600" t="n">
        <v>0.2217573221757322</v>
      </c>
      <c r="V600" t="n">
        <v>0.3430962343096234</v>
      </c>
      <c r="W600" t="n">
        <v>0.01534170153417015</v>
      </c>
      <c r="X600" t="n">
        <v>0.3469761556562591</v>
      </c>
      <c r="Y600" t="n">
        <v>9.573907536641112</v>
      </c>
      <c r="Z600" t="n">
        <v>0.6544493960081437</v>
      </c>
      <c r="AA600" t="n">
        <v>0</v>
      </c>
    </row>
    <row r="601">
      <c r="A601" t="inlineStr">
        <is>
          <t>2024-12-18</t>
        </is>
      </c>
      <c r="B601" t="inlineStr">
        <is>
          <t>CW</t>
        </is>
      </c>
      <c r="C601" t="inlineStr">
        <is>
          <t>09:17</t>
        </is>
      </c>
      <c r="D601" t="n">
        <v>36.34703333061881</v>
      </c>
      <c r="E601" t="n">
        <v>0.3128226109768176</v>
      </c>
      <c r="F601" t="n">
        <v>7.570878895522728</v>
      </c>
      <c r="G601" t="n">
        <v>0.6282853566958698</v>
      </c>
      <c r="H601" t="n">
        <v>0.493116395494368</v>
      </c>
      <c r="I601" t="n">
        <v>0.2770804277080428</v>
      </c>
      <c r="J601" t="n">
        <v>0.5039767864177037</v>
      </c>
      <c r="K601" t="n">
        <v>0.6677157174036119</v>
      </c>
      <c r="L601" t="b">
        <v>0</v>
      </c>
      <c r="N601" t="n">
        <v>72.47963047909161</v>
      </c>
      <c r="O601" t="n">
        <v>2</v>
      </c>
      <c r="P601" t="n">
        <v>0</v>
      </c>
      <c r="Q601" t="n">
        <v>0</v>
      </c>
      <c r="R601" t="n">
        <v>6.314806472778884</v>
      </c>
      <c r="S601" t="n">
        <v>3.662524525833868</v>
      </c>
      <c r="T601" t="n">
        <v>0.1090037061260144</v>
      </c>
      <c r="U601" t="n">
        <v>0.2510460251046025</v>
      </c>
      <c r="V601" t="n">
        <v>0.5536959553695955</v>
      </c>
      <c r="W601" t="n">
        <v>0.02649930264993026</v>
      </c>
      <c r="X601" t="n">
        <v>0.3128226109768176</v>
      </c>
      <c r="Y601" t="n">
        <v>7.570878895522728</v>
      </c>
      <c r="Z601" t="n">
        <v>0.5039767864177037</v>
      </c>
      <c r="AA601" t="n">
        <v>0</v>
      </c>
    </row>
    <row r="602">
      <c r="A602" t="inlineStr">
        <is>
          <t>2024-12-19</t>
        </is>
      </c>
      <c r="B602" t="inlineStr">
        <is>
          <t>CW</t>
        </is>
      </c>
      <c r="C602" t="inlineStr">
        <is>
          <t>09:16</t>
        </is>
      </c>
      <c r="D602" t="n">
        <v>73.61544879882123</v>
      </c>
      <c r="E602" t="n">
        <v>0.1364443725753042</v>
      </c>
      <c r="F602" t="n">
        <v>2.581060955291669</v>
      </c>
      <c r="G602" t="n">
        <v>0.01126408010012516</v>
      </c>
      <c r="H602" t="n">
        <v>0.01877346683354193</v>
      </c>
      <c r="I602" t="n">
        <v>0.9832635983263599</v>
      </c>
      <c r="J602" t="n">
        <v>0.2086677384387388</v>
      </c>
      <c r="K602" t="n">
        <v>0.6677157174036119</v>
      </c>
      <c r="L602" t="b">
        <v>0</v>
      </c>
      <c r="N602" t="n">
        <v>36.132597148473</v>
      </c>
      <c r="O602" t="n">
        <v>0</v>
      </c>
      <c r="P602" t="n">
        <v>0</v>
      </c>
      <c r="Q602" t="n">
        <v>0</v>
      </c>
      <c r="R602" t="n">
        <v>44.68998668897781</v>
      </c>
      <c r="S602" t="n">
        <v>38.4299640841457</v>
      </c>
      <c r="T602" t="n">
        <v>0.6670087224217532</v>
      </c>
      <c r="U602" t="n">
        <v>0.9679218967921897</v>
      </c>
      <c r="V602" t="n">
        <v>0.99721059972106</v>
      </c>
      <c r="W602" t="n">
        <v>0.9846582984658299</v>
      </c>
      <c r="X602" t="n">
        <v>0.1364443725753043</v>
      </c>
      <c r="Y602" t="n">
        <v>2.581060955291667</v>
      </c>
      <c r="Z602" t="n">
        <v>0.2086677384387388</v>
      </c>
      <c r="AA602" t="n">
        <v>2.775557561562891e-17</v>
      </c>
    </row>
    <row r="603">
      <c r="A603" t="inlineStr">
        <is>
          <t>2024-12-26</t>
        </is>
      </c>
      <c r="B603" t="inlineStr">
        <is>
          <t>CW</t>
        </is>
      </c>
      <c r="C603" t="inlineStr">
        <is>
          <t>09:17</t>
        </is>
      </c>
      <c r="D603" t="n">
        <v>40.24068702326907</v>
      </c>
      <c r="E603" t="n">
        <v>0.2889140337726551</v>
      </c>
      <c r="F603" t="n">
        <v>8.983603985533598</v>
      </c>
      <c r="G603" t="n">
        <v>0.5181476846057572</v>
      </c>
      <c r="H603" t="n">
        <v>0.6795994993742178</v>
      </c>
      <c r="I603" t="n">
        <v>0.6587633658763365</v>
      </c>
      <c r="J603" t="n">
        <v>0.6108515467672574</v>
      </c>
      <c r="K603" t="n">
        <v>0.6677157174036119</v>
      </c>
      <c r="L603" t="b">
        <v>0</v>
      </c>
      <c r="N603" t="n">
        <v>0</v>
      </c>
      <c r="O603" t="n">
        <v>0</v>
      </c>
      <c r="P603" t="n">
        <v>0</v>
      </c>
      <c r="Q603" t="n">
        <v>0</v>
      </c>
      <c r="R603" t="n">
        <v>7.364867275021312</v>
      </c>
      <c r="S603" t="n">
        <v>8.395061728395053</v>
      </c>
      <c r="T603" t="n">
        <v>0.3292181069958777</v>
      </c>
      <c r="U603" t="n">
        <v>0.3430962343096234</v>
      </c>
      <c r="V603" t="n">
        <v>0.8368200836820083</v>
      </c>
      <c r="W603" t="n">
        <v>0.796373779637378</v>
      </c>
      <c r="X603" t="n">
        <v>0.2889140337726552</v>
      </c>
      <c r="Y603" t="n">
        <v>8.983603985533598</v>
      </c>
      <c r="Z603" t="n">
        <v>0.6108515467672574</v>
      </c>
      <c r="AA603" t="n">
        <v>0</v>
      </c>
    </row>
    <row r="604">
      <c r="A604" t="inlineStr">
        <is>
          <t>2024-12-30</t>
        </is>
      </c>
      <c r="B604" t="inlineStr">
        <is>
          <t>CW</t>
        </is>
      </c>
      <c r="C604" t="inlineStr">
        <is>
          <t>09:20+</t>
        </is>
      </c>
      <c r="D604" t="n">
        <v>15.85133179361389</v>
      </c>
      <c r="E604" t="n">
        <v>0.4010117185226908</v>
      </c>
      <c r="F604" t="n">
        <v>10.68719849442562</v>
      </c>
      <c r="G604" t="n">
        <v>0.9499374217772215</v>
      </c>
      <c r="H604" t="n">
        <v>0.8573216520650814</v>
      </c>
      <c r="I604" t="n">
        <v>0.3630869363086937</v>
      </c>
      <c r="J604" t="n">
        <v>0.7955210167986599</v>
      </c>
      <c r="K604" t="n">
        <v>0.6677157174036119</v>
      </c>
      <c r="L604" t="b">
        <v>1</v>
      </c>
      <c r="M604" t="inlineStr">
        <is>
          <t>top_quartile_risk</t>
        </is>
      </c>
      <c r="N604" t="n">
        <v>0</v>
      </c>
      <c r="O604" t="n">
        <v>0</v>
      </c>
      <c r="P604" t="n">
        <v>0</v>
      </c>
      <c r="Q604" t="n">
        <v>0</v>
      </c>
      <c r="R604" t="n">
        <v>11.21348804453536</v>
      </c>
      <c r="S604" t="n">
        <v>1.976906927921636</v>
      </c>
      <c r="T604" t="n">
        <v>0.1924422673197981</v>
      </c>
      <c r="U604" t="n">
        <v>0.5550906555090656</v>
      </c>
      <c r="V604" t="n">
        <v>0.2622036262203626</v>
      </c>
      <c r="W604" t="n">
        <v>0.2719665271966527</v>
      </c>
      <c r="X604" t="n">
        <v>0.4010117185226908</v>
      </c>
      <c r="Y604" t="n">
        <v>10.68719849442562</v>
      </c>
      <c r="Z604" t="n">
        <v>0.7955210167986599</v>
      </c>
      <c r="AA604" t="n">
        <v>0</v>
      </c>
    </row>
    <row r="605">
      <c r="A605" t="inlineStr">
        <is>
          <t>2024-12-31</t>
        </is>
      </c>
      <c r="B605" t="inlineStr">
        <is>
          <t>CW</t>
        </is>
      </c>
      <c r="C605" t="inlineStr">
        <is>
          <t>09:20+</t>
        </is>
      </c>
      <c r="D605" t="n">
        <v>6.044343164897644</v>
      </c>
      <c r="E605" t="n">
        <v>0.3706192379875463</v>
      </c>
      <c r="F605" t="n">
        <v>10.49504594827271</v>
      </c>
      <c r="G605" t="n">
        <v>0.8760951188986232</v>
      </c>
      <c r="H605" t="n">
        <v>0.8435544430538173</v>
      </c>
      <c r="I605" t="n">
        <v>0.2310553231055323</v>
      </c>
      <c r="J605" t="n">
        <v>0.7340708894020826</v>
      </c>
      <c r="K605" t="n">
        <v>0.6677157174036119</v>
      </c>
      <c r="L605" t="b">
        <v>1</v>
      </c>
      <c r="M605" t="inlineStr">
        <is>
          <t>top_quartile_risk</t>
        </is>
      </c>
      <c r="N605" t="n">
        <v>0</v>
      </c>
      <c r="O605" t="n">
        <v>0</v>
      </c>
      <c r="P605" t="n">
        <v>0</v>
      </c>
      <c r="Q605" t="n">
        <v>0</v>
      </c>
      <c r="R605" t="n">
        <v>5.714309901840854</v>
      </c>
      <c r="S605" t="n">
        <v>0.4940885830245199</v>
      </c>
      <c r="T605" t="n">
        <v>0.2293982706899513</v>
      </c>
      <c r="U605" t="n">
        <v>0.1938633193863319</v>
      </c>
      <c r="V605" t="n">
        <v>0.001394700139470014</v>
      </c>
      <c r="W605" t="n">
        <v>0.497907949790795</v>
      </c>
      <c r="X605" t="n">
        <v>0.3706192379875463</v>
      </c>
      <c r="Y605" t="n">
        <v>10.49504594827271</v>
      </c>
      <c r="Z605" t="n">
        <v>0.7340708894020826</v>
      </c>
      <c r="AA605" t="n">
        <v>0</v>
      </c>
    </row>
    <row r="606">
      <c r="A606" t="inlineStr">
        <is>
          <t>2025-01-01</t>
        </is>
      </c>
      <c r="B606" t="inlineStr">
        <is>
          <t>NW</t>
        </is>
      </c>
      <c r="C606" t="inlineStr">
        <is>
          <t>NW</t>
        </is>
      </c>
      <c r="D606" t="n">
        <v>-39.84658473029325</v>
      </c>
      <c r="E606" t="n">
        <v>0.3638928703766127</v>
      </c>
      <c r="F606" t="n">
        <v>11.97770916014895</v>
      </c>
      <c r="G606" t="n">
        <v>0.8560700876095119</v>
      </c>
      <c r="H606" t="n">
        <v>0.918648310387985</v>
      </c>
      <c r="I606" t="n">
        <v>0.5</v>
      </c>
      <c r="J606" t="n">
        <v>0.8098873591989987</v>
      </c>
      <c r="K606" t="n">
        <v>0.6677157174036119</v>
      </c>
      <c r="L606" t="b">
        <v>1</v>
      </c>
      <c r="M606" t="inlineStr">
        <is>
          <t>top_quartile_risk</t>
        </is>
      </c>
      <c r="N606" t="n">
        <v>0</v>
      </c>
      <c r="O606" t="n">
        <v>0</v>
      </c>
      <c r="P606" t="n">
        <v>1</v>
      </c>
      <c r="Q606" t="n">
        <v>39.84658473029325</v>
      </c>
      <c r="U606" t="n">
        <v>0.5</v>
      </c>
      <c r="V606" t="n">
        <v>0.5</v>
      </c>
      <c r="W606" t="n">
        <v>0.5</v>
      </c>
      <c r="X606" t="n">
        <v>0.3638928703766127</v>
      </c>
      <c r="Y606" t="n">
        <v>11.97770916014895</v>
      </c>
      <c r="Z606" t="n">
        <v>0.8098873591989987</v>
      </c>
      <c r="AA606" t="n">
        <v>0</v>
      </c>
    </row>
    <row r="607">
      <c r="A607" t="inlineStr">
        <is>
          <t>2025-01-02</t>
        </is>
      </c>
      <c r="B607" t="inlineStr">
        <is>
          <t>CW</t>
        </is>
      </c>
      <c r="C607" t="inlineStr">
        <is>
          <t>09:16</t>
        </is>
      </c>
      <c r="D607" t="n">
        <v>-2.00868488762257</v>
      </c>
      <c r="E607" t="n">
        <v>0.3762263117824096</v>
      </c>
      <c r="F607" t="n">
        <v>15.36702291833046</v>
      </c>
      <c r="G607" t="n">
        <v>0.8911138923654568</v>
      </c>
      <c r="H607" t="n">
        <v>0.9874843554443054</v>
      </c>
      <c r="I607" t="n">
        <v>0.6657368665736866</v>
      </c>
      <c r="J607" t="n">
        <v>0.8845866724386423</v>
      </c>
      <c r="K607" t="n">
        <v>0.6677157174036119</v>
      </c>
      <c r="L607" t="b">
        <v>1</v>
      </c>
      <c r="M607" t="inlineStr">
        <is>
          <t>top_quartile_risk</t>
        </is>
      </c>
      <c r="N607" t="n">
        <v>39.84658473029322</v>
      </c>
      <c r="O607" t="n">
        <v>1</v>
      </c>
      <c r="P607" t="n">
        <v>1</v>
      </c>
      <c r="Q607" t="n">
        <v>2.00868488762257</v>
      </c>
      <c r="R607" t="n">
        <v>7.919901852036448</v>
      </c>
      <c r="S607" t="n">
        <v>7.05039297272307</v>
      </c>
      <c r="T607" t="n">
        <v>0.3467406380027739</v>
      </c>
      <c r="U607" t="n">
        <v>0.3793584379358438</v>
      </c>
      <c r="V607" t="n">
        <v>0.7880055788005579</v>
      </c>
      <c r="W607" t="n">
        <v>0.8298465829846583</v>
      </c>
      <c r="X607" t="n">
        <v>0.3762263117824096</v>
      </c>
      <c r="Y607" t="n">
        <v>15.36702291833046</v>
      </c>
      <c r="Z607" t="n">
        <v>0.8845866724386423</v>
      </c>
      <c r="AA607" t="n">
        <v>0</v>
      </c>
    </row>
    <row r="608">
      <c r="A608" t="inlineStr">
        <is>
          <t>2025-01-06</t>
        </is>
      </c>
      <c r="B608" t="inlineStr">
        <is>
          <t>CW</t>
        </is>
      </c>
      <c r="C608" t="inlineStr">
        <is>
          <t>09:20+</t>
        </is>
      </c>
      <c r="D608" t="n">
        <v>-39.69420164712552</v>
      </c>
      <c r="E608" t="n">
        <v>0.3921654590171307</v>
      </c>
      <c r="F608" t="n">
        <v>12.43025127938718</v>
      </c>
      <c r="G608" t="n">
        <v>0.9274092615769712</v>
      </c>
      <c r="H608" t="n">
        <v>0.9411764705882353</v>
      </c>
      <c r="I608" t="n">
        <v>0.4318921431892143</v>
      </c>
      <c r="J608" t="n">
        <v>0.8338127215039255</v>
      </c>
      <c r="K608" t="n">
        <v>0.6677157174036119</v>
      </c>
      <c r="L608" t="b">
        <v>1</v>
      </c>
      <c r="M608" t="inlineStr">
        <is>
          <t>top_quartile_risk</t>
        </is>
      </c>
      <c r="N608" t="n">
        <v>41.85526961791584</v>
      </c>
      <c r="O608" t="n">
        <v>2</v>
      </c>
      <c r="P608" t="n">
        <v>1</v>
      </c>
      <c r="Q608" t="n">
        <v>39.69420164712552</v>
      </c>
      <c r="R608" t="n">
        <v>15.38678504598266</v>
      </c>
      <c r="S608" t="n">
        <v>2.775343266140796</v>
      </c>
      <c r="T608" t="n">
        <v>0.1606777680397262</v>
      </c>
      <c r="U608" t="n">
        <v>0.7140864714086471</v>
      </c>
      <c r="V608" t="n">
        <v>0.4421199442119944</v>
      </c>
      <c r="W608" t="n">
        <v>0.1394700139470014</v>
      </c>
      <c r="X608" t="n">
        <v>0.3921654590171308</v>
      </c>
      <c r="Y608" t="n">
        <v>12.43025127938718</v>
      </c>
      <c r="Z608" t="n">
        <v>0.8338127215039255</v>
      </c>
      <c r="AA608" t="n">
        <v>0</v>
      </c>
    </row>
    <row r="609">
      <c r="A609" t="inlineStr">
        <is>
          <t>2025-01-09</t>
        </is>
      </c>
      <c r="B609" t="inlineStr">
        <is>
          <t>NW</t>
        </is>
      </c>
      <c r="C609" t="inlineStr">
        <is>
          <t>NW</t>
        </is>
      </c>
      <c r="D609" t="n">
        <v>-3.964716971005817</v>
      </c>
      <c r="E609" t="n">
        <v>0.3437389643129669</v>
      </c>
      <c r="F609" t="n">
        <v>10.06560968743133</v>
      </c>
      <c r="G609" t="n">
        <v>0.7972465581977471</v>
      </c>
      <c r="H609" t="n">
        <v>0.7972465581977471</v>
      </c>
      <c r="I609" t="n">
        <v>0.5</v>
      </c>
      <c r="J609" t="n">
        <v>0.7377972465581978</v>
      </c>
      <c r="K609" t="n">
        <v>0.6677157174036119</v>
      </c>
      <c r="L609" t="b">
        <v>1</v>
      </c>
      <c r="M609" t="inlineStr">
        <is>
          <t>top_quartile_risk</t>
        </is>
      </c>
      <c r="N609" t="n">
        <v>81.54947126504157</v>
      </c>
      <c r="O609" t="n">
        <v>3</v>
      </c>
      <c r="P609" t="n">
        <v>1</v>
      </c>
      <c r="Q609" t="n">
        <v>3.964716971005817</v>
      </c>
      <c r="U609" t="n">
        <v>0.5</v>
      </c>
      <c r="V609" t="n">
        <v>0.5</v>
      </c>
      <c r="W609" t="n">
        <v>0.5</v>
      </c>
      <c r="X609" t="n">
        <v>0.3437389643129669</v>
      </c>
      <c r="Y609" t="n">
        <v>10.06560968743133</v>
      </c>
      <c r="Z609" t="n">
        <v>0.7377972465581978</v>
      </c>
      <c r="AA609" t="n">
        <v>0</v>
      </c>
    </row>
    <row r="610">
      <c r="A610" t="inlineStr">
        <is>
          <t>2025-01-10</t>
        </is>
      </c>
      <c r="B610" t="inlineStr">
        <is>
          <t>CW</t>
        </is>
      </c>
      <c r="C610" t="inlineStr">
        <is>
          <t>09:17</t>
        </is>
      </c>
      <c r="D610" t="n">
        <v>-40.8738961983742</v>
      </c>
      <c r="E610" t="n">
        <v>0.2253712806229307</v>
      </c>
      <c r="F610" t="n">
        <v>6.794655634276683</v>
      </c>
      <c r="G610" t="n">
        <v>0.1576971214017522</v>
      </c>
      <c r="H610" t="n">
        <v>0.3942428035043805</v>
      </c>
      <c r="I610" t="n">
        <v>0.2115295211529521</v>
      </c>
      <c r="J610" t="n">
        <v>0.2630818741930435</v>
      </c>
      <c r="K610" t="n">
        <v>0.6677157174036119</v>
      </c>
      <c r="L610" t="b">
        <v>0</v>
      </c>
      <c r="N610" t="n">
        <v>85.51418823604763</v>
      </c>
      <c r="O610" t="n">
        <v>4</v>
      </c>
      <c r="P610" t="n">
        <v>1</v>
      </c>
      <c r="Q610" t="n">
        <v>40.8738961983742</v>
      </c>
      <c r="R610" t="n">
        <v>5.364272250599062</v>
      </c>
      <c r="S610" t="n">
        <v>1.893238434163711</v>
      </c>
      <c r="T610" t="n">
        <v>0.1850533807829197</v>
      </c>
      <c r="U610" t="n">
        <v>0.1576011157601116</v>
      </c>
      <c r="V610" t="n">
        <v>0.2440725244072524</v>
      </c>
      <c r="W610" t="n">
        <v>0.2329149232914923</v>
      </c>
      <c r="X610" t="n">
        <v>0.2253712806229307</v>
      </c>
      <c r="Y610" t="n">
        <v>6.794655634276682</v>
      </c>
      <c r="Z610" t="n">
        <v>0.2630818741930435</v>
      </c>
      <c r="AA610" t="n">
        <v>0</v>
      </c>
    </row>
    <row r="611">
      <c r="A611" t="inlineStr">
        <is>
          <t>2025-01-13</t>
        </is>
      </c>
      <c r="B611" t="inlineStr">
        <is>
          <t>CW</t>
        </is>
      </c>
      <c r="C611" t="inlineStr">
        <is>
          <t>09:17</t>
        </is>
      </c>
      <c r="D611" t="n">
        <v>45.23999400857437</v>
      </c>
      <c r="E611" t="n">
        <v>0.2178134847197951</v>
      </c>
      <c r="F611" t="n">
        <v>4.347004364185213</v>
      </c>
      <c r="G611" t="n">
        <v>0.1389236545682103</v>
      </c>
      <c r="H611" t="n">
        <v>0.07634543178973717</v>
      </c>
      <c r="I611" t="n">
        <v>0.6889818688981869</v>
      </c>
      <c r="J611" t="n">
        <v>0.2239040083228164</v>
      </c>
      <c r="K611" t="n">
        <v>0.6677157174036119</v>
      </c>
      <c r="L611" t="b">
        <v>0</v>
      </c>
      <c r="N611" t="n">
        <v>126.3880844344221</v>
      </c>
      <c r="O611" t="n">
        <v>5</v>
      </c>
      <c r="P611" t="n">
        <v>0</v>
      </c>
      <c r="Q611" t="n">
        <v>0</v>
      </c>
      <c r="R611" t="n">
        <v>20.11734399365926</v>
      </c>
      <c r="S611" t="n">
        <v>7.468996617812835</v>
      </c>
      <c r="T611" t="n">
        <v>0.2254791431792591</v>
      </c>
      <c r="U611" t="n">
        <v>0.7894002789400278</v>
      </c>
      <c r="V611" t="n">
        <v>0.8061366806136681</v>
      </c>
      <c r="W611" t="n">
        <v>0.4714086471408647</v>
      </c>
      <c r="X611" t="n">
        <v>0.2178134847197951</v>
      </c>
      <c r="Y611" t="n">
        <v>4.347004364185212</v>
      </c>
      <c r="Z611" t="n">
        <v>0.2239040083228164</v>
      </c>
      <c r="AA611" t="n">
        <v>-2.775557561562891e-17</v>
      </c>
    </row>
    <row r="612">
      <c r="A612" t="inlineStr">
        <is>
          <t>2025-01-15</t>
        </is>
      </c>
      <c r="B612" t="inlineStr">
        <is>
          <t>CW</t>
        </is>
      </c>
      <c r="C612" t="inlineStr">
        <is>
          <t>09:20+</t>
        </is>
      </c>
      <c r="D612" t="n">
        <v>45.09201959282085</v>
      </c>
      <c r="E612" t="n">
        <v>0.2755012181115986</v>
      </c>
      <c r="F612" t="n">
        <v>6.873398201563115</v>
      </c>
      <c r="G612" t="n">
        <v>0.4292866082603254</v>
      </c>
      <c r="H612" t="n">
        <v>0.4042553191489361</v>
      </c>
      <c r="I612" t="n">
        <v>0.5276615527661553</v>
      </c>
      <c r="J612" t="n">
        <v>0.4389490815169357</v>
      </c>
      <c r="K612" t="n">
        <v>0.6677157174036119</v>
      </c>
      <c r="L612" t="b">
        <v>0</v>
      </c>
      <c r="N612" t="n">
        <v>81.14809042584784</v>
      </c>
      <c r="O612" t="n">
        <v>0</v>
      </c>
      <c r="P612" t="n">
        <v>0</v>
      </c>
      <c r="Q612" t="n">
        <v>0</v>
      </c>
      <c r="R612" t="n">
        <v>7.050984873805562</v>
      </c>
      <c r="S612" t="n">
        <v>4.241006142146827</v>
      </c>
      <c r="T612" t="n">
        <v>0.2632348639953136</v>
      </c>
      <c r="U612" t="n">
        <v>0.3193863319386332</v>
      </c>
      <c r="V612" t="n">
        <v>0.6164574616457462</v>
      </c>
      <c r="W612" t="n">
        <v>0.6471408647140865</v>
      </c>
      <c r="X612" t="n">
        <v>0.2755012181115986</v>
      </c>
      <c r="Y612" t="n">
        <v>6.873398201563115</v>
      </c>
      <c r="Z612" t="n">
        <v>0.4389490815169357</v>
      </c>
      <c r="AA612" t="n">
        <v>5.551115123125783e-17</v>
      </c>
    </row>
    <row r="613">
      <c r="A613" t="inlineStr">
        <is>
          <t>2025-01-16</t>
        </is>
      </c>
      <c r="B613" t="inlineStr">
        <is>
          <t>NW</t>
        </is>
      </c>
      <c r="C613" t="inlineStr">
        <is>
          <t>NW</t>
        </is>
      </c>
      <c r="D613" t="n">
        <v>-37.81607693719047</v>
      </c>
      <c r="E613" t="n">
        <v>0.3193406232916707</v>
      </c>
      <c r="F613" t="n">
        <v>8.832078728548412</v>
      </c>
      <c r="G613" t="n">
        <v>0.6645807259073843</v>
      </c>
      <c r="H613" t="n">
        <v>0.6570713391739674</v>
      </c>
      <c r="I613" t="n">
        <v>0.5</v>
      </c>
      <c r="J613" t="n">
        <v>0.6286608260325407</v>
      </c>
      <c r="K613" t="n">
        <v>0.6677157174036119</v>
      </c>
      <c r="L613" t="b">
        <v>0</v>
      </c>
      <c r="N613" t="n">
        <v>36.05607083302675</v>
      </c>
      <c r="O613" t="n">
        <v>0</v>
      </c>
      <c r="P613" t="n">
        <v>1</v>
      </c>
      <c r="Q613" t="n">
        <v>37.81607693719047</v>
      </c>
      <c r="U613" t="n">
        <v>0.5</v>
      </c>
      <c r="V613" t="n">
        <v>0.5</v>
      </c>
      <c r="W613" t="n">
        <v>0.5</v>
      </c>
      <c r="X613" t="n">
        <v>0.3193406232916707</v>
      </c>
      <c r="Y613" t="n">
        <v>8.832078728548412</v>
      </c>
      <c r="Z613" t="n">
        <v>0.6286608260325407</v>
      </c>
      <c r="AA613" t="n">
        <v>0</v>
      </c>
    </row>
    <row r="614">
      <c r="A614" t="inlineStr">
        <is>
          <t>2025-01-17</t>
        </is>
      </c>
      <c r="B614" t="inlineStr">
        <is>
          <t>CW</t>
        </is>
      </c>
      <c r="C614" t="inlineStr">
        <is>
          <t>09:18</t>
        </is>
      </c>
      <c r="D614" t="n">
        <v>34.09186679918358</v>
      </c>
      <c r="E614" t="n">
        <v>0.2564894876719963</v>
      </c>
      <c r="F614" t="n">
        <v>5.314660899162001</v>
      </c>
      <c r="G614" t="n">
        <v>0.3041301627033792</v>
      </c>
      <c r="H614" t="n">
        <v>0.1764705882352941</v>
      </c>
      <c r="I614" t="n">
        <v>0.3342631334263134</v>
      </c>
      <c r="J614" t="n">
        <v>0.2590929270607321</v>
      </c>
      <c r="K614" t="n">
        <v>0.6677157174036119</v>
      </c>
      <c r="L614" t="b">
        <v>0</v>
      </c>
      <c r="N614" t="n">
        <v>73.87214777021745</v>
      </c>
      <c r="O614" t="n">
        <v>1</v>
      </c>
      <c r="P614" t="n">
        <v>0</v>
      </c>
      <c r="Q614" t="n">
        <v>0</v>
      </c>
      <c r="R614" t="n">
        <v>4.264860778143861</v>
      </c>
      <c r="S614" t="n">
        <v>2.166890982503368</v>
      </c>
      <c r="T614" t="n">
        <v>0.2557200538357977</v>
      </c>
      <c r="U614" t="n">
        <v>0.08647140864714087</v>
      </c>
      <c r="V614" t="n">
        <v>0.3068340306834031</v>
      </c>
      <c r="W614" t="n">
        <v>0.6094839609483961</v>
      </c>
      <c r="X614" t="n">
        <v>0.2564894876719963</v>
      </c>
      <c r="Y614" t="n">
        <v>5.314660899162</v>
      </c>
      <c r="Z614" t="n">
        <v>0.2590929270607321</v>
      </c>
      <c r="AA614" t="n">
        <v>-5.551115123125783e-17</v>
      </c>
    </row>
    <row r="615">
      <c r="A615" t="inlineStr">
        <is>
          <t>2025-01-20</t>
        </is>
      </c>
      <c r="B615" t="inlineStr">
        <is>
          <t>CW</t>
        </is>
      </c>
      <c r="C615" t="inlineStr">
        <is>
          <t>09:17</t>
        </is>
      </c>
      <c r="D615" t="n">
        <v>-42.93711349865944</v>
      </c>
      <c r="E615" t="n">
        <v>0.3096443342038483</v>
      </c>
      <c r="F615" t="n">
        <v>7.870551809092178</v>
      </c>
      <c r="G615" t="n">
        <v>0.6157697121401752</v>
      </c>
      <c r="H615" t="n">
        <v>0.5244055068836045</v>
      </c>
      <c r="I615" t="n">
        <v>0.2370990237099024</v>
      </c>
      <c r="J615" t="n">
        <v>0.5034898923514923</v>
      </c>
      <c r="K615" t="n">
        <v>0.6677157174036119</v>
      </c>
      <c r="L615" t="b">
        <v>0</v>
      </c>
      <c r="N615" t="n">
        <v>39.78028097103379</v>
      </c>
      <c r="O615" t="n">
        <v>0</v>
      </c>
      <c r="P615" t="n">
        <v>1</v>
      </c>
      <c r="Q615" t="n">
        <v>42.93711349865944</v>
      </c>
      <c r="R615" t="n">
        <v>5.758190381244394</v>
      </c>
      <c r="S615" t="n">
        <v>1.590836780146357</v>
      </c>
      <c r="T615" t="n">
        <v>0.2068087814190282</v>
      </c>
      <c r="U615" t="n">
        <v>0.200836820083682</v>
      </c>
      <c r="V615" t="n">
        <v>0.1548117154811715</v>
      </c>
      <c r="W615" t="n">
        <v>0.3556485355648535</v>
      </c>
      <c r="X615" t="n">
        <v>0.3096443342038483</v>
      </c>
      <c r="Y615" t="n">
        <v>7.870551809092179</v>
      </c>
      <c r="Z615" t="n">
        <v>0.5034898923514923</v>
      </c>
      <c r="AA615" t="n">
        <v>0</v>
      </c>
    </row>
    <row r="616">
      <c r="A616" t="inlineStr">
        <is>
          <t>2025-01-21</t>
        </is>
      </c>
      <c r="B616" t="inlineStr">
        <is>
          <t>CW</t>
        </is>
      </c>
      <c r="C616" t="inlineStr">
        <is>
          <t>09:17</t>
        </is>
      </c>
      <c r="D616" t="n">
        <v>-34.84451839795089</v>
      </c>
      <c r="E616" t="n">
        <v>0.2360934359095856</v>
      </c>
      <c r="F616" t="n">
        <v>5.090869931873867</v>
      </c>
      <c r="G616" t="n">
        <v>0.2052565707133917</v>
      </c>
      <c r="H616" t="n">
        <v>0.146433041301627</v>
      </c>
      <c r="I616" t="n">
        <v>0.3514644351464435</v>
      </c>
      <c r="J616" t="n">
        <v>0.2109687318352962</v>
      </c>
      <c r="K616" t="n">
        <v>0.6677157174036119</v>
      </c>
      <c r="L616" t="b">
        <v>0</v>
      </c>
      <c r="N616" t="n">
        <v>82.71739446969332</v>
      </c>
      <c r="O616" t="n">
        <v>1</v>
      </c>
      <c r="P616" t="n">
        <v>1</v>
      </c>
      <c r="Q616" t="n">
        <v>34.84451839795089</v>
      </c>
      <c r="R616" t="n">
        <v>4.787593293948436</v>
      </c>
      <c r="S616" t="n">
        <v>2.001154512218605</v>
      </c>
      <c r="T616" t="n">
        <v>0.2693861843371131</v>
      </c>
      <c r="U616" t="n">
        <v>0.1171548117154812</v>
      </c>
      <c r="V616" t="n">
        <v>0.2705718270571827</v>
      </c>
      <c r="W616" t="n">
        <v>0.6666666666666666</v>
      </c>
      <c r="X616" t="n">
        <v>0.2360934359095856</v>
      </c>
      <c r="Y616" t="n">
        <v>5.090869931873867</v>
      </c>
      <c r="Z616" t="n">
        <v>0.2109687318352962</v>
      </c>
      <c r="AA616" t="n">
        <v>-2.775557561562891e-17</v>
      </c>
    </row>
    <row r="617">
      <c r="A617" t="inlineStr">
        <is>
          <t>2025-01-22</t>
        </is>
      </c>
      <c r="B617" t="inlineStr">
        <is>
          <t>NW</t>
        </is>
      </c>
      <c r="C617" t="inlineStr">
        <is>
          <t>NW</t>
        </is>
      </c>
      <c r="D617" t="n">
        <v>65.52839092912591</v>
      </c>
      <c r="E617" t="n">
        <v>0.3386515676638491</v>
      </c>
      <c r="F617" t="n">
        <v>10.21430768820473</v>
      </c>
      <c r="G617" t="n">
        <v>0.7809762202753442</v>
      </c>
      <c r="H617" t="n">
        <v>0.8122653316645807</v>
      </c>
      <c r="I617" t="n">
        <v>0.5</v>
      </c>
      <c r="J617" t="n">
        <v>0.73729662077597</v>
      </c>
      <c r="K617" t="n">
        <v>0.6677157174036119</v>
      </c>
      <c r="L617" t="b">
        <v>1</v>
      </c>
      <c r="M617" t="inlineStr">
        <is>
          <t>top_quartile_risk</t>
        </is>
      </c>
      <c r="N617" t="n">
        <v>117.5619128676444</v>
      </c>
      <c r="O617" t="n">
        <v>2</v>
      </c>
      <c r="P617" t="n">
        <v>0</v>
      </c>
      <c r="Q617" t="n">
        <v>0</v>
      </c>
      <c r="U617" t="n">
        <v>0.5</v>
      </c>
      <c r="V617" t="n">
        <v>0.5</v>
      </c>
      <c r="W617" t="n">
        <v>0.5</v>
      </c>
      <c r="X617" t="n">
        <v>0.3386515676638491</v>
      </c>
      <c r="Y617" t="n">
        <v>10.21430768820473</v>
      </c>
      <c r="Z617" t="n">
        <v>0.73729662077597</v>
      </c>
      <c r="AA617" t="n">
        <v>0</v>
      </c>
    </row>
    <row r="618">
      <c r="A618" t="inlineStr">
        <is>
          <t>2025-01-23</t>
        </is>
      </c>
      <c r="B618" t="inlineStr">
        <is>
          <t>NW</t>
        </is>
      </c>
      <c r="C618" t="inlineStr">
        <is>
          <t>NW</t>
        </is>
      </c>
      <c r="D618" t="n">
        <v>-8.892153968629851</v>
      </c>
      <c r="E618" t="n">
        <v>0.3452873988150382</v>
      </c>
      <c r="F618" t="n">
        <v>9.8483134582146</v>
      </c>
      <c r="G618" t="n">
        <v>0.8035043804755945</v>
      </c>
      <c r="H618" t="n">
        <v>0.7747183979974969</v>
      </c>
      <c r="I618" t="n">
        <v>0.5</v>
      </c>
      <c r="J618" t="n">
        <v>0.7312891113892366</v>
      </c>
      <c r="K618" t="n">
        <v>0.6677157174036119</v>
      </c>
      <c r="L618" t="b">
        <v>1</v>
      </c>
      <c r="M618" t="inlineStr">
        <is>
          <t>top_quartile_risk</t>
        </is>
      </c>
      <c r="N618" t="n">
        <v>52.03352193851879</v>
      </c>
      <c r="O618" t="n">
        <v>0</v>
      </c>
      <c r="P618" t="n">
        <v>1</v>
      </c>
      <c r="Q618" t="n">
        <v>8.892153968629851</v>
      </c>
      <c r="U618" t="n">
        <v>0.5</v>
      </c>
      <c r="V618" t="n">
        <v>0.5</v>
      </c>
      <c r="W618" t="n">
        <v>0.5</v>
      </c>
      <c r="X618" t="n">
        <v>0.3452873988150382</v>
      </c>
      <c r="Y618" t="n">
        <v>9.8483134582146</v>
      </c>
      <c r="Z618" t="n">
        <v>0.7312891113892366</v>
      </c>
      <c r="AA618" t="n">
        <v>0</v>
      </c>
    </row>
    <row r="619">
      <c r="A619" t="inlineStr">
        <is>
          <t>2025-01-24</t>
        </is>
      </c>
      <c r="B619" t="inlineStr">
        <is>
          <t>CW</t>
        </is>
      </c>
      <c r="C619" t="inlineStr">
        <is>
          <t>09:16</t>
        </is>
      </c>
      <c r="D619" t="n">
        <v>2.229974609788962</v>
      </c>
      <c r="E619" t="n">
        <v>0.2295390265396364</v>
      </c>
      <c r="F619" t="n">
        <v>6.971401856464679</v>
      </c>
      <c r="G619" t="n">
        <v>0.1702127659574468</v>
      </c>
      <c r="H619" t="n">
        <v>0.4117647058823529</v>
      </c>
      <c r="I619" t="n">
        <v>0.599256159925616</v>
      </c>
      <c r="J619" t="n">
        <v>0.3526422207210431</v>
      </c>
      <c r="K619" t="n">
        <v>0.6677157174036119</v>
      </c>
      <c r="L619" t="b">
        <v>0</v>
      </c>
      <c r="N619" t="n">
        <v>60.92567590714862</v>
      </c>
      <c r="O619" t="n">
        <v>1</v>
      </c>
      <c r="P619" t="n">
        <v>0</v>
      </c>
      <c r="Q619" t="n">
        <v>0</v>
      </c>
      <c r="R619" t="n">
        <v>8.612524457636162</v>
      </c>
      <c r="S619" t="n">
        <v>4.404873477038422</v>
      </c>
      <c r="T619" t="n">
        <v>0.294550810014726</v>
      </c>
      <c r="U619" t="n">
        <v>0.4281729428172943</v>
      </c>
      <c r="V619" t="n">
        <v>0.6373779637377964</v>
      </c>
      <c r="W619" t="n">
        <v>0.7322175732217573</v>
      </c>
      <c r="X619" t="n">
        <v>0.2295390265396364</v>
      </c>
      <c r="Y619" t="n">
        <v>6.971401856464677</v>
      </c>
      <c r="Z619" t="n">
        <v>0.3526422207210431</v>
      </c>
      <c r="AA619" t="n">
        <v>0</v>
      </c>
    </row>
    <row r="620">
      <c r="A620" t="inlineStr">
        <is>
          <t>2025-01-27</t>
        </is>
      </c>
      <c r="B620" t="inlineStr">
        <is>
          <t>CW</t>
        </is>
      </c>
      <c r="C620" t="inlineStr">
        <is>
          <t>09:16</t>
        </is>
      </c>
      <c r="D620" t="n">
        <v>33.2420481650209</v>
      </c>
      <c r="E620" t="n">
        <v>0.2317109607633042</v>
      </c>
      <c r="F620" t="n">
        <v>4.783996690372458</v>
      </c>
      <c r="G620" t="n">
        <v>0.1839799749687109</v>
      </c>
      <c r="H620" t="n">
        <v>0.1113892365456821</v>
      </c>
      <c r="I620" t="n">
        <v>0.6420269642026964</v>
      </c>
      <c r="J620" t="n">
        <v>0.2465530774462965</v>
      </c>
      <c r="K620" t="n">
        <v>0.6677157174036119</v>
      </c>
      <c r="L620" t="b">
        <v>0</v>
      </c>
      <c r="N620" t="n">
        <v>58.69570129735985</v>
      </c>
      <c r="O620" t="n">
        <v>0</v>
      </c>
      <c r="P620" t="n">
        <v>0</v>
      </c>
      <c r="Q620" t="n">
        <v>0</v>
      </c>
      <c r="R620" t="n">
        <v>36.96865719734969</v>
      </c>
      <c r="S620" t="n">
        <v>7.573149741824434</v>
      </c>
      <c r="T620" t="n">
        <v>0.1721170395869174</v>
      </c>
      <c r="U620" t="n">
        <v>0.9372384937238494</v>
      </c>
      <c r="V620" t="n">
        <v>0.8103207810320781</v>
      </c>
      <c r="W620" t="n">
        <v>0.1785216178521618</v>
      </c>
      <c r="X620" t="n">
        <v>0.2317109607633042</v>
      </c>
      <c r="Y620" t="n">
        <v>4.783996690372458</v>
      </c>
      <c r="Z620" t="n">
        <v>0.2465530774462965</v>
      </c>
      <c r="AA620" t="n">
        <v>-2.775557561562891e-17</v>
      </c>
    </row>
    <row r="621">
      <c r="A621" t="inlineStr">
        <is>
          <t>2025-01-28</t>
        </is>
      </c>
      <c r="B621" t="inlineStr">
        <is>
          <t>CW</t>
        </is>
      </c>
      <c r="C621" t="inlineStr">
        <is>
          <t>09:20+</t>
        </is>
      </c>
      <c r="D621" t="n">
        <v>-34.15651890569639</v>
      </c>
      <c r="E621" t="n">
        <v>0.3432295394310048</v>
      </c>
      <c r="F621" t="n">
        <v>11.53454479706761</v>
      </c>
      <c r="G621" t="n">
        <v>0.7959949937421777</v>
      </c>
      <c r="H621" t="n">
        <v>0.9036295369211514</v>
      </c>
      <c r="I621" t="n">
        <v>0.4760576476057647</v>
      </c>
      <c r="J621" t="n">
        <v>0.7750613417864848</v>
      </c>
      <c r="K621" t="n">
        <v>0.6677157174036119</v>
      </c>
      <c r="L621" t="b">
        <v>1</v>
      </c>
      <c r="M621" t="inlineStr">
        <is>
          <t>top_quartile_risk</t>
        </is>
      </c>
      <c r="N621" t="n">
        <v>25.45365313233924</v>
      </c>
      <c r="O621" t="n">
        <v>0</v>
      </c>
      <c r="P621" t="n">
        <v>1</v>
      </c>
      <c r="Q621" t="n">
        <v>34.15651890569639</v>
      </c>
      <c r="R621" t="n">
        <v>15.85363989526958</v>
      </c>
      <c r="S621" t="n">
        <v>2.0676979629346</v>
      </c>
      <c r="T621" t="n">
        <v>0.2144279368969179</v>
      </c>
      <c r="U621" t="n">
        <v>0.7266387726638772</v>
      </c>
      <c r="V621" t="n">
        <v>0.2914923291492329</v>
      </c>
      <c r="W621" t="n">
        <v>0.4100418410041841</v>
      </c>
      <c r="X621" t="n">
        <v>0.3432295394310048</v>
      </c>
      <c r="Y621" t="n">
        <v>11.53454479706761</v>
      </c>
      <c r="Z621" t="n">
        <v>0.7750613417864848</v>
      </c>
      <c r="AA621" t="n">
        <v>0</v>
      </c>
    </row>
    <row r="622">
      <c r="A622" t="inlineStr">
        <is>
          <t>2025-01-29</t>
        </is>
      </c>
      <c r="B622" t="inlineStr">
        <is>
          <t>CW</t>
        </is>
      </c>
      <c r="C622" t="inlineStr">
        <is>
          <t>09:20+</t>
        </is>
      </c>
      <c r="D622" t="n">
        <v>-37.11765696709674</v>
      </c>
      <c r="E622" t="n">
        <v>0.3900722462561449</v>
      </c>
      <c r="F622" t="n">
        <v>13.32737622908984</v>
      </c>
      <c r="G622" t="n">
        <v>0.9236545682102628</v>
      </c>
      <c r="H622" t="n">
        <v>0.9612015018773467</v>
      </c>
      <c r="I622" t="n">
        <v>0.3849372384937238</v>
      </c>
      <c r="J622" t="n">
        <v>0.8309298757337886</v>
      </c>
      <c r="K622" t="n">
        <v>0.6677157174036119</v>
      </c>
      <c r="L622" t="b">
        <v>1</v>
      </c>
      <c r="M622" t="inlineStr">
        <is>
          <t>top_quartile_risk</t>
        </is>
      </c>
      <c r="N622" t="n">
        <v>59.61017203803567</v>
      </c>
      <c r="O622" t="n">
        <v>1</v>
      </c>
      <c r="P622" t="n">
        <v>1</v>
      </c>
      <c r="Q622" t="n">
        <v>37.11765696709674</v>
      </c>
      <c r="R622" t="n">
        <v>6.334839665641325</v>
      </c>
      <c r="S622" t="n">
        <v>2.796296296296301</v>
      </c>
      <c r="T622" t="n">
        <v>0.2222222222222201</v>
      </c>
      <c r="U622" t="n">
        <v>0.2552301255230126</v>
      </c>
      <c r="V622" t="n">
        <v>0.4449093444909344</v>
      </c>
      <c r="W622" t="n">
        <v>0.4546722454672246</v>
      </c>
      <c r="X622" t="n">
        <v>0.3900722462561449</v>
      </c>
      <c r="Y622" t="n">
        <v>13.32737622908984</v>
      </c>
      <c r="Z622" t="n">
        <v>0.8309298757337886</v>
      </c>
      <c r="AA622" t="n">
        <v>0</v>
      </c>
    </row>
    <row r="623">
      <c r="A623" t="inlineStr">
        <is>
          <t>2025-01-30</t>
        </is>
      </c>
      <c r="B623" t="inlineStr">
        <is>
          <t>CW</t>
        </is>
      </c>
      <c r="C623" t="inlineStr">
        <is>
          <t>09:16</t>
        </is>
      </c>
      <c r="D623" t="n">
        <v>105.5397892500237</v>
      </c>
      <c r="E623" t="n">
        <v>0.3198541462206004</v>
      </c>
      <c r="F623" t="n">
        <v>14.17140037034939</v>
      </c>
      <c r="G623" t="n">
        <v>0.6683354192740926</v>
      </c>
      <c r="H623" t="n">
        <v>0.9749687108886108</v>
      </c>
      <c r="I623" t="n">
        <v>0.8107856810785682</v>
      </c>
      <c r="J623" t="n">
        <v>0.819478788280795</v>
      </c>
      <c r="K623" t="n">
        <v>0.6677157174036119</v>
      </c>
      <c r="L623" t="b">
        <v>1</v>
      </c>
      <c r="M623" t="inlineStr">
        <is>
          <t>top_quartile_risk</t>
        </is>
      </c>
      <c r="N623" t="n">
        <v>96.72782900513266</v>
      </c>
      <c r="O623" t="n">
        <v>2</v>
      </c>
      <c r="P623" t="n">
        <v>0</v>
      </c>
      <c r="Q623" t="n">
        <v>0</v>
      </c>
      <c r="R623" t="n">
        <v>14.28821557264154</v>
      </c>
      <c r="S623" t="n">
        <v>17.3503229184849</v>
      </c>
      <c r="T623" t="n">
        <v>0.331646011520341</v>
      </c>
      <c r="U623" t="n">
        <v>0.6834030683403068</v>
      </c>
      <c r="V623" t="n">
        <v>0.9511854951185496</v>
      </c>
      <c r="W623" t="n">
        <v>0.7977684797768479</v>
      </c>
      <c r="X623" t="n">
        <v>0.3198541462206004</v>
      </c>
      <c r="Y623" t="n">
        <v>14.1714003703494</v>
      </c>
      <c r="Z623" t="n">
        <v>0.819478788280795</v>
      </c>
      <c r="AA623" t="n">
        <v>0</v>
      </c>
    </row>
    <row r="624">
      <c r="A624" t="inlineStr">
        <is>
          <t>2025-01-31</t>
        </is>
      </c>
      <c r="B624" t="inlineStr">
        <is>
          <t>CW</t>
        </is>
      </c>
      <c r="C624" t="inlineStr">
        <is>
          <t>09:16</t>
        </is>
      </c>
      <c r="D624" t="n">
        <v>52.24081991808941</v>
      </c>
      <c r="E624" t="n">
        <v>0.3262473193571688</v>
      </c>
      <c r="F624" t="n">
        <v>13.32016937376898</v>
      </c>
      <c r="G624" t="n">
        <v>0.7133917396745932</v>
      </c>
      <c r="H624" t="n">
        <v>0.9599499374217773</v>
      </c>
      <c r="I624" t="n">
        <v>0.6490004649000465</v>
      </c>
      <c r="J624" t="n">
        <v>0.7991367638185575</v>
      </c>
      <c r="K624" t="n">
        <v>0.6677157174036119</v>
      </c>
      <c r="L624" t="b">
        <v>1</v>
      </c>
      <c r="M624" t="inlineStr">
        <is>
          <t>top_quartile_risk</t>
        </is>
      </c>
      <c r="N624" t="n">
        <v>0</v>
      </c>
      <c r="O624" t="n">
        <v>0</v>
      </c>
      <c r="P624" t="n">
        <v>0</v>
      </c>
      <c r="Q624" t="n">
        <v>0</v>
      </c>
      <c r="R624" t="n">
        <v>27.01006505120315</v>
      </c>
      <c r="S624" t="n">
        <v>2.933965994464226</v>
      </c>
      <c r="T624" t="n">
        <v>0.2530644523527032</v>
      </c>
      <c r="U624" t="n">
        <v>0.8828451882845189</v>
      </c>
      <c r="V624" t="n">
        <v>0.4616457461645746</v>
      </c>
      <c r="W624" t="n">
        <v>0.602510460251046</v>
      </c>
      <c r="X624" t="n">
        <v>0.3262473193571688</v>
      </c>
      <c r="Y624" t="n">
        <v>13.32016937376898</v>
      </c>
      <c r="Z624" t="n">
        <v>0.7991367638185575</v>
      </c>
      <c r="AA624" t="n">
        <v>0</v>
      </c>
    </row>
    <row r="625">
      <c r="A625" t="inlineStr">
        <is>
          <t>2025-02-01</t>
        </is>
      </c>
      <c r="B625" t="inlineStr">
        <is>
          <t>CW</t>
        </is>
      </c>
      <c r="C625" t="inlineStr">
        <is>
          <t>09:18</t>
        </is>
      </c>
      <c r="D625" t="n">
        <v>-13.88229407224387</v>
      </c>
      <c r="E625" t="n">
        <v>0.3230284993927585</v>
      </c>
      <c r="F625" t="n">
        <v>5.947819046903076</v>
      </c>
      <c r="G625" t="n">
        <v>0.690863579474343</v>
      </c>
      <c r="H625" t="n">
        <v>0.2578222778473092</v>
      </c>
      <c r="I625" t="n">
        <v>0.5476522547652255</v>
      </c>
      <c r="J625" t="n">
        <v>0.489004793881706</v>
      </c>
      <c r="K625" t="n">
        <v>0.6677157174036119</v>
      </c>
      <c r="L625" t="b">
        <v>0</v>
      </c>
      <c r="N625" t="n">
        <v>0</v>
      </c>
      <c r="O625" t="n">
        <v>0</v>
      </c>
      <c r="P625" t="n">
        <v>1</v>
      </c>
      <c r="Q625" t="n">
        <v>13.88229407224387</v>
      </c>
      <c r="R625" t="n">
        <v>14.59965700369074</v>
      </c>
      <c r="S625" t="n">
        <v>3.1309192200557</v>
      </c>
      <c r="T625" t="n">
        <v>0.2228412256267409</v>
      </c>
      <c r="U625" t="n">
        <v>0.698744769874477</v>
      </c>
      <c r="V625" t="n">
        <v>0.4839609483960948</v>
      </c>
      <c r="W625" t="n">
        <v>0.4602510460251046</v>
      </c>
      <c r="X625" t="n">
        <v>0.3230284993927585</v>
      </c>
      <c r="Y625" t="n">
        <v>5.947819046903076</v>
      </c>
      <c r="Z625" t="n">
        <v>0.489004793881706</v>
      </c>
      <c r="AA625" t="n">
        <v>0</v>
      </c>
    </row>
    <row r="626">
      <c r="A626" t="inlineStr">
        <is>
          <t>2025-02-04</t>
        </is>
      </c>
      <c r="B626" t="inlineStr">
        <is>
          <t>CW</t>
        </is>
      </c>
      <c r="C626" t="inlineStr">
        <is>
          <t>09:20+</t>
        </is>
      </c>
      <c r="D626" t="n">
        <v>60.51698846947413</v>
      </c>
      <c r="E626" t="n">
        <v>0.3712474826875963</v>
      </c>
      <c r="F626" t="n">
        <v>12.23774523098785</v>
      </c>
      <c r="G626" t="n">
        <v>0.8785982478097623</v>
      </c>
      <c r="H626" t="n">
        <v>0.9299123904881101</v>
      </c>
      <c r="I626" t="n">
        <v>0.3728498372849837</v>
      </c>
      <c r="J626" t="n">
        <v>0.7979742227761457</v>
      </c>
      <c r="K626" t="n">
        <v>0.6677157174036119</v>
      </c>
      <c r="L626" t="b">
        <v>1</v>
      </c>
      <c r="M626" t="inlineStr">
        <is>
          <t>top_quartile_risk</t>
        </is>
      </c>
      <c r="N626" t="n">
        <v>13.88229407224389</v>
      </c>
      <c r="O626" t="n">
        <v>1</v>
      </c>
      <c r="P626" t="n">
        <v>0</v>
      </c>
      <c r="Q626" t="n">
        <v>0</v>
      </c>
      <c r="R626" t="n">
        <v>11.41051896572982</v>
      </c>
      <c r="S626" t="n">
        <v>2.56198347107438</v>
      </c>
      <c r="T626" t="n">
        <v>0.1652892561983471</v>
      </c>
      <c r="U626" t="n">
        <v>0.5676429567642957</v>
      </c>
      <c r="V626" t="n">
        <v>0.398884239888424</v>
      </c>
      <c r="W626" t="n">
        <v>0.1520223152022315</v>
      </c>
      <c r="X626" t="n">
        <v>0.3712474826875963</v>
      </c>
      <c r="Y626" t="n">
        <v>12.23774523098785</v>
      </c>
      <c r="Z626" t="n">
        <v>0.7979742227761457</v>
      </c>
      <c r="AA626" t="n">
        <v>0</v>
      </c>
    </row>
    <row r="627">
      <c r="A627" t="inlineStr">
        <is>
          <t>2025-02-05</t>
        </is>
      </c>
      <c r="B627" t="inlineStr">
        <is>
          <t>CW</t>
        </is>
      </c>
      <c r="C627" t="inlineStr">
        <is>
          <t>09:18</t>
        </is>
      </c>
      <c r="D627" t="n">
        <v>8.547035889811141</v>
      </c>
      <c r="E627" t="n">
        <v>0.3013515760845799</v>
      </c>
      <c r="F627" t="n">
        <v>6.839767502693688</v>
      </c>
      <c r="G627" t="n">
        <v>0.5769712140175219</v>
      </c>
      <c r="H627" t="n">
        <v>0.4005006257822278</v>
      </c>
      <c r="I627" t="n">
        <v>0.3186889818688982</v>
      </c>
      <c r="J627" t="n">
        <v>0.4547265322936795</v>
      </c>
      <c r="K627" t="n">
        <v>0.6677157174036119</v>
      </c>
      <c r="L627" t="b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3.11656369371821</v>
      </c>
      <c r="S627" t="n">
        <v>2.617801047120419</v>
      </c>
      <c r="T627" t="n">
        <v>0.2326934264107071</v>
      </c>
      <c r="U627" t="n">
        <v>0.03207810320781032</v>
      </c>
      <c r="V627" t="n">
        <v>0.4114365411436541</v>
      </c>
      <c r="W627" t="n">
        <v>0.5125523012552301</v>
      </c>
      <c r="X627" t="n">
        <v>0.3013515760845799</v>
      </c>
      <c r="Y627" t="n">
        <v>6.839767502693689</v>
      </c>
      <c r="Z627" t="n">
        <v>0.4547265322936795</v>
      </c>
      <c r="AA627" t="n">
        <v>5.551115123125783e-17</v>
      </c>
    </row>
    <row r="628">
      <c r="A628" t="inlineStr">
        <is>
          <t>2025-02-06</t>
        </is>
      </c>
      <c r="B628" t="inlineStr">
        <is>
          <t>CW</t>
        </is>
      </c>
      <c r="C628" t="inlineStr">
        <is>
          <t>09:20+</t>
        </is>
      </c>
      <c r="D628" t="n">
        <v>37.06636637109121</v>
      </c>
      <c r="E628" t="n">
        <v>0.3406971995934377</v>
      </c>
      <c r="F628" t="n">
        <v>12.13507820993417</v>
      </c>
      <c r="G628" t="n">
        <v>0.7884856070087609</v>
      </c>
      <c r="H628" t="n">
        <v>0.9236545682102628</v>
      </c>
      <c r="I628" t="n">
        <v>0.5395165039516504</v>
      </c>
      <c r="J628" t="n">
        <v>0.7927593708779396</v>
      </c>
      <c r="K628" t="n">
        <v>0.6677157174036119</v>
      </c>
      <c r="L628" t="b">
        <v>1</v>
      </c>
      <c r="M628" t="inlineStr">
        <is>
          <t>top_quartile_risk</t>
        </is>
      </c>
      <c r="N628" t="n">
        <v>0</v>
      </c>
      <c r="O628" t="n">
        <v>0</v>
      </c>
      <c r="P628" t="n">
        <v>0</v>
      </c>
      <c r="Q628" t="n">
        <v>0</v>
      </c>
      <c r="R628" t="n">
        <v>4.580977753758109</v>
      </c>
      <c r="S628" t="n">
        <v>9.25226586102719</v>
      </c>
      <c r="T628" t="n">
        <v>0.2643504531722118</v>
      </c>
      <c r="U628" t="n">
        <v>0.1059972105997211</v>
      </c>
      <c r="V628" t="n">
        <v>0.8619246861924686</v>
      </c>
      <c r="W628" t="n">
        <v>0.6506276150627615</v>
      </c>
      <c r="X628" t="n">
        <v>0.3406971995934377</v>
      </c>
      <c r="Y628" t="n">
        <v>12.13507820993417</v>
      </c>
      <c r="Z628" t="n">
        <v>0.7927593708779396</v>
      </c>
      <c r="AA628" t="n">
        <v>0</v>
      </c>
    </row>
    <row r="629">
      <c r="A629" t="inlineStr">
        <is>
          <t>2025-02-07</t>
        </is>
      </c>
      <c r="B629" t="inlineStr">
        <is>
          <t>CW</t>
        </is>
      </c>
      <c r="C629" t="inlineStr">
        <is>
          <t>09:16</t>
        </is>
      </c>
      <c r="D629" t="n">
        <v>36.23319035371788</v>
      </c>
      <c r="E629" t="n">
        <v>0.2619735296110005</v>
      </c>
      <c r="F629" t="n">
        <v>8.611867781215279</v>
      </c>
      <c r="G629" t="n">
        <v>0.3466833541927409</v>
      </c>
      <c r="H629" t="n">
        <v>0.6245306633291614</v>
      </c>
      <c r="I629" t="n">
        <v>0.6341236634123664</v>
      </c>
      <c r="J629" t="n">
        <v>0.5153103396912342</v>
      </c>
      <c r="K629" t="n">
        <v>0.6677157174036119</v>
      </c>
      <c r="L629" t="b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13.99171910038834</v>
      </c>
      <c r="S629" t="n">
        <v>5.219097449313273</v>
      </c>
      <c r="T629" t="n">
        <v>0.2354480052321719</v>
      </c>
      <c r="U629" t="n">
        <v>0.6764295676429568</v>
      </c>
      <c r="V629" t="n">
        <v>0.701534170153417</v>
      </c>
      <c r="W629" t="n">
        <v>0.5244072524407253</v>
      </c>
      <c r="X629" t="n">
        <v>0.2619735296110005</v>
      </c>
      <c r="Y629" t="n">
        <v>8.611867781215276</v>
      </c>
      <c r="Z629" t="n">
        <v>0.5153103396912342</v>
      </c>
      <c r="AA629" t="n">
        <v>0</v>
      </c>
    </row>
    <row r="630">
      <c r="A630" t="inlineStr">
        <is>
          <t>2025-02-11</t>
        </is>
      </c>
      <c r="B630" t="inlineStr">
        <is>
          <t>CW</t>
        </is>
      </c>
      <c r="C630" t="inlineStr">
        <is>
          <t>09:17</t>
        </is>
      </c>
      <c r="D630" t="n">
        <v>54.80337260988514</v>
      </c>
      <c r="E630" t="n">
        <v>0.3091224960902934</v>
      </c>
      <c r="F630" t="n">
        <v>8.156240481532468</v>
      </c>
      <c r="G630" t="n">
        <v>0.6120150187734669</v>
      </c>
      <c r="H630" t="n">
        <v>0.55819774718398</v>
      </c>
      <c r="I630" t="n">
        <v>0.2794049279404928</v>
      </c>
      <c r="J630" t="n">
        <v>0.5239660919710774</v>
      </c>
      <c r="K630" t="n">
        <v>0.6677157174036119</v>
      </c>
      <c r="L630" t="b">
        <v>0</v>
      </c>
      <c r="N630" t="n">
        <v>0</v>
      </c>
      <c r="O630" t="n">
        <v>0</v>
      </c>
      <c r="P630" t="n">
        <v>0</v>
      </c>
      <c r="Q630" t="n">
        <v>0</v>
      </c>
      <c r="R630" t="n">
        <v>4.557719342918718</v>
      </c>
      <c r="S630" t="n">
        <v>1.626158419304066</v>
      </c>
      <c r="T630" t="n">
        <v>0.2447980416156631</v>
      </c>
      <c r="U630" t="n">
        <v>0.103207810320781</v>
      </c>
      <c r="V630" t="n">
        <v>0.1701534170153417</v>
      </c>
      <c r="W630" t="n">
        <v>0.5648535564853556</v>
      </c>
      <c r="X630" t="n">
        <v>0.3091224960902934</v>
      </c>
      <c r="Y630" t="n">
        <v>8.156240481532468</v>
      </c>
      <c r="Z630" t="n">
        <v>0.5239660919710774</v>
      </c>
      <c r="AA630" t="n">
        <v>0</v>
      </c>
    </row>
    <row r="631">
      <c r="A631" t="inlineStr">
        <is>
          <t>2025-02-12</t>
        </is>
      </c>
      <c r="B631" t="inlineStr">
        <is>
          <t>CW</t>
        </is>
      </c>
      <c r="C631" t="inlineStr">
        <is>
          <t>09:17</t>
        </is>
      </c>
      <c r="D631" t="n">
        <v>-37.86588068331053</v>
      </c>
      <c r="E631" t="n">
        <v>0.3010849976994333</v>
      </c>
      <c r="F631" t="n">
        <v>8.953867079831081</v>
      </c>
      <c r="G631" t="n">
        <v>0.574468085106383</v>
      </c>
      <c r="H631" t="n">
        <v>0.6745932415519399</v>
      </c>
      <c r="I631" t="n">
        <v>0.3142724314272431</v>
      </c>
      <c r="J631" t="n">
        <v>0.5624790169487779</v>
      </c>
      <c r="K631" t="n">
        <v>0.6677157174036119</v>
      </c>
      <c r="L631" t="b">
        <v>0</v>
      </c>
      <c r="N631" t="n">
        <v>0</v>
      </c>
      <c r="O631" t="n">
        <v>0</v>
      </c>
      <c r="P631" t="n">
        <v>1</v>
      </c>
      <c r="Q631" t="n">
        <v>37.86588068331053</v>
      </c>
      <c r="R631" t="n">
        <v>7.083840611420876</v>
      </c>
      <c r="S631" t="n">
        <v>2.039891205802357</v>
      </c>
      <c r="T631" t="n">
        <v>0.2039891205802305</v>
      </c>
      <c r="U631" t="n">
        <v>0.3221757322175732</v>
      </c>
      <c r="V631" t="n">
        <v>0.2817294281729428</v>
      </c>
      <c r="W631" t="n">
        <v>0.3389121338912134</v>
      </c>
      <c r="X631" t="n">
        <v>0.3010849976994332</v>
      </c>
      <c r="Y631" t="n">
        <v>8.953867079831081</v>
      </c>
      <c r="Z631" t="n">
        <v>0.5624790169487779</v>
      </c>
      <c r="AA631" t="n">
        <v>0</v>
      </c>
    </row>
    <row r="632">
      <c r="A632" t="inlineStr">
        <is>
          <t>2025-02-13</t>
        </is>
      </c>
      <c r="B632" t="inlineStr">
        <is>
          <t>CW</t>
        </is>
      </c>
      <c r="C632" t="inlineStr">
        <is>
          <t>09:17</t>
        </is>
      </c>
      <c r="D632" t="n">
        <v>35.79600815018006</v>
      </c>
      <c r="E632" t="n">
        <v>0.2671854876242633</v>
      </c>
      <c r="F632" t="n">
        <v>9.853669234437886</v>
      </c>
      <c r="G632" t="n">
        <v>0.3804755944931164</v>
      </c>
      <c r="H632" t="n">
        <v>0.7759699624530664</v>
      </c>
      <c r="I632" t="n">
        <v>0.7303579730357974</v>
      </c>
      <c r="J632" t="n">
        <v>0.6086498173856326</v>
      </c>
      <c r="K632" t="n">
        <v>0.6677157174036119</v>
      </c>
      <c r="L632" t="b">
        <v>0</v>
      </c>
      <c r="N632" t="n">
        <v>37.86588068331002</v>
      </c>
      <c r="O632" t="n">
        <v>1</v>
      </c>
      <c r="P632" t="n">
        <v>0</v>
      </c>
      <c r="Q632" t="n">
        <v>0</v>
      </c>
      <c r="R632" t="n">
        <v>12.97609711926343</v>
      </c>
      <c r="S632" t="n">
        <v>8.49176172370089</v>
      </c>
      <c r="T632" t="n">
        <v>0.2851711026615987</v>
      </c>
      <c r="U632" t="n">
        <v>0.6401673640167364</v>
      </c>
      <c r="V632" t="n">
        <v>0.8382147838214784</v>
      </c>
      <c r="W632" t="n">
        <v>0.7126917712691772</v>
      </c>
      <c r="X632" t="n">
        <v>0.2671854876242633</v>
      </c>
      <c r="Y632" t="n">
        <v>9.853669234437888</v>
      </c>
      <c r="Z632" t="n">
        <v>0.6086498173856326</v>
      </c>
      <c r="AA632" t="n">
        <v>0</v>
      </c>
    </row>
    <row r="633">
      <c r="A633" t="inlineStr">
        <is>
          <t>2025-02-14</t>
        </is>
      </c>
      <c r="B633" t="inlineStr">
        <is>
          <t>CW</t>
        </is>
      </c>
      <c r="C633" t="inlineStr">
        <is>
          <t>09:19</t>
        </is>
      </c>
      <c r="D633" t="n">
        <v>-38.5857755033494</v>
      </c>
      <c r="E633" t="n">
        <v>0.2493789070624284</v>
      </c>
      <c r="F633" t="n">
        <v>8.554427114853704</v>
      </c>
      <c r="G633" t="n">
        <v>0.2603254067584481</v>
      </c>
      <c r="H633" t="n">
        <v>0.6132665832290363</v>
      </c>
      <c r="I633" t="n">
        <v>0.298000929800093</v>
      </c>
      <c r="J633" t="n">
        <v>0.4090369819550123</v>
      </c>
      <c r="K633" t="n">
        <v>0.6677157174036119</v>
      </c>
      <c r="L633" t="b">
        <v>0</v>
      </c>
      <c r="N633" t="n">
        <v>2.069872533129455</v>
      </c>
      <c r="O633" t="n">
        <v>0</v>
      </c>
      <c r="P633" t="n">
        <v>1</v>
      </c>
      <c r="Q633" t="n">
        <v>38.5857755033494</v>
      </c>
      <c r="R633" t="n">
        <v>7.607356659678219</v>
      </c>
      <c r="S633" t="n">
        <v>1.413529496610407</v>
      </c>
      <c r="T633" t="n">
        <v>0.216356555603643</v>
      </c>
      <c r="U633" t="n">
        <v>0.3612273361227336</v>
      </c>
      <c r="V633" t="n">
        <v>0.1101813110181311</v>
      </c>
      <c r="W633" t="n">
        <v>0.4225941422594142</v>
      </c>
      <c r="X633" t="n">
        <v>0.2493789070624284</v>
      </c>
      <c r="Y633" t="n">
        <v>8.554427114853704</v>
      </c>
      <c r="Z633" t="n">
        <v>0.4090369819550123</v>
      </c>
      <c r="AA633" t="n">
        <v>0</v>
      </c>
    </row>
    <row r="634">
      <c r="A634" t="inlineStr">
        <is>
          <t>2025-02-17</t>
        </is>
      </c>
      <c r="B634" t="inlineStr">
        <is>
          <t>CW</t>
        </is>
      </c>
      <c r="C634" t="inlineStr">
        <is>
          <t>09:20+</t>
        </is>
      </c>
      <c r="D634" t="n">
        <v>-5.423118858374827</v>
      </c>
      <c r="E634" t="n">
        <v>0.327519855579232</v>
      </c>
      <c r="F634" t="n">
        <v>9.108572317285802</v>
      </c>
      <c r="G634" t="n">
        <v>0.7183979974968711</v>
      </c>
      <c r="H634" t="n">
        <v>0.6896120150187734</v>
      </c>
      <c r="I634" t="n">
        <v>0.4695490469549046</v>
      </c>
      <c r="J634" t="n">
        <v>0.6571138143972388</v>
      </c>
      <c r="K634" t="n">
        <v>0.6677157174036119</v>
      </c>
      <c r="L634" t="b">
        <v>0</v>
      </c>
      <c r="N634" t="n">
        <v>40.65564803647976</v>
      </c>
      <c r="O634" t="n">
        <v>1</v>
      </c>
      <c r="P634" t="n">
        <v>1</v>
      </c>
      <c r="Q634" t="n">
        <v>5.423118858374827</v>
      </c>
      <c r="R634" t="n">
        <v>27.06767573797775</v>
      </c>
      <c r="S634" t="n">
        <v>3.25978647686834</v>
      </c>
      <c r="T634" t="n">
        <v>0.0996441281138692</v>
      </c>
      <c r="U634" t="n">
        <v>0.8842398884239888</v>
      </c>
      <c r="V634" t="n">
        <v>0.504881450488145</v>
      </c>
      <c r="W634" t="n">
        <v>0.01952580195258019</v>
      </c>
      <c r="X634" t="n">
        <v>0.327519855579232</v>
      </c>
      <c r="Y634" t="n">
        <v>9.108572317285796</v>
      </c>
      <c r="Z634" t="n">
        <v>0.6571138143972388</v>
      </c>
      <c r="AA634" t="n">
        <v>0</v>
      </c>
    </row>
    <row r="635">
      <c r="A635" t="inlineStr">
        <is>
          <t>2025-02-18</t>
        </is>
      </c>
      <c r="B635" t="inlineStr">
        <is>
          <t>CW</t>
        </is>
      </c>
      <c r="C635" t="inlineStr">
        <is>
          <t>09:16</t>
        </is>
      </c>
      <c r="D635" t="n">
        <v>44.88229297436269</v>
      </c>
      <c r="E635" t="n">
        <v>0.2389569122129538</v>
      </c>
      <c r="F635" t="n">
        <v>6.194069283822144</v>
      </c>
      <c r="G635" t="n">
        <v>0.2202753441802253</v>
      </c>
      <c r="H635" t="n">
        <v>0.2941176470588235</v>
      </c>
      <c r="I635" t="n">
        <v>0.6913063691306368</v>
      </c>
      <c r="J635" t="n">
        <v>0.3440184703217469</v>
      </c>
      <c r="K635" t="n">
        <v>0.6677157174036119</v>
      </c>
      <c r="L635" t="b">
        <v>0</v>
      </c>
      <c r="N635" t="n">
        <v>46.0787668948542</v>
      </c>
      <c r="O635" t="n">
        <v>2</v>
      </c>
      <c r="P635" t="n">
        <v>0</v>
      </c>
      <c r="Q635" t="n">
        <v>0</v>
      </c>
      <c r="R635" t="n">
        <v>15.69066111871553</v>
      </c>
      <c r="S635" t="n">
        <v>6.755863891641886</v>
      </c>
      <c r="T635" t="n">
        <v>0.2477700693756194</v>
      </c>
      <c r="U635" t="n">
        <v>0.7224546722454672</v>
      </c>
      <c r="V635" t="n">
        <v>0.7754532775453278</v>
      </c>
      <c r="W635" t="n">
        <v>0.5760111576011158</v>
      </c>
      <c r="X635" t="n">
        <v>0.2389569122129538</v>
      </c>
      <c r="Y635" t="n">
        <v>6.194069283822143</v>
      </c>
      <c r="Z635" t="n">
        <v>0.3440184703217469</v>
      </c>
      <c r="AA635" t="n">
        <v>0</v>
      </c>
    </row>
    <row r="636">
      <c r="A636" t="inlineStr">
        <is>
          <t>2025-02-19</t>
        </is>
      </c>
      <c r="B636" t="inlineStr">
        <is>
          <t>CW</t>
        </is>
      </c>
      <c r="C636" t="inlineStr">
        <is>
          <t>09:16</t>
        </is>
      </c>
      <c r="D636" t="n">
        <v>4.880561556394214</v>
      </c>
      <c r="E636" t="n">
        <v>0.3535656528362909</v>
      </c>
      <c r="F636" t="n">
        <v>10.21555263484873</v>
      </c>
      <c r="G636" t="n">
        <v>0.8272841051314143</v>
      </c>
      <c r="H636" t="n">
        <v>0.8147684605757196</v>
      </c>
      <c r="I636" t="n">
        <v>0.5202231520223152</v>
      </c>
      <c r="J636" t="n">
        <v>0.7608656566873166</v>
      </c>
      <c r="K636" t="n">
        <v>0.6677157174036119</v>
      </c>
      <c r="L636" t="b">
        <v>1</v>
      </c>
      <c r="M636" t="inlineStr">
        <is>
          <t>top_quartile_risk</t>
        </is>
      </c>
      <c r="N636" t="n">
        <v>1.196473920492281</v>
      </c>
      <c r="O636" t="n">
        <v>0</v>
      </c>
      <c r="P636" t="n">
        <v>0</v>
      </c>
      <c r="Q636" t="n">
        <v>0</v>
      </c>
      <c r="R636" t="n">
        <v>11.5264824762465</v>
      </c>
      <c r="S636" t="n">
        <v>7.623126338329782</v>
      </c>
      <c r="T636" t="n">
        <v>0.1713062098501034</v>
      </c>
      <c r="U636" t="n">
        <v>0.5732217573221757</v>
      </c>
      <c r="V636" t="n">
        <v>0.8145048814504882</v>
      </c>
      <c r="W636" t="n">
        <v>0.1729428172942817</v>
      </c>
      <c r="X636" t="n">
        <v>0.3535656528362909</v>
      </c>
      <c r="Y636" t="n">
        <v>10.21555263484872</v>
      </c>
      <c r="Z636" t="n">
        <v>0.7608656566873166</v>
      </c>
      <c r="AA636" t="n">
        <v>0</v>
      </c>
    </row>
    <row r="637">
      <c r="A637" t="inlineStr">
        <is>
          <t>2025-02-20</t>
        </is>
      </c>
      <c r="B637" t="inlineStr">
        <is>
          <t>CW</t>
        </is>
      </c>
      <c r="C637" t="inlineStr">
        <is>
          <t>09:16</t>
        </is>
      </c>
      <c r="D637" t="n">
        <v>58.85018588449995</v>
      </c>
      <c r="E637" t="n">
        <v>0.3487507845596931</v>
      </c>
      <c r="F637" t="n">
        <v>11.58293229337148</v>
      </c>
      <c r="G637" t="n">
        <v>0.8110137672090113</v>
      </c>
      <c r="H637" t="n">
        <v>0.9061326658322904</v>
      </c>
      <c r="I637" t="n">
        <v>0.7522082752208276</v>
      </c>
      <c r="J637" t="n">
        <v>0.8373002282606862</v>
      </c>
      <c r="K637" t="n">
        <v>0.6677157174036119</v>
      </c>
      <c r="L637" t="b">
        <v>1</v>
      </c>
      <c r="M637" t="inlineStr">
        <is>
          <t>top_quartile_risk</t>
        </is>
      </c>
      <c r="N637" t="n">
        <v>0</v>
      </c>
      <c r="O637" t="n">
        <v>0</v>
      </c>
      <c r="P637" t="n">
        <v>0</v>
      </c>
      <c r="Q637" t="n">
        <v>0</v>
      </c>
      <c r="R637" t="n">
        <v>15.38902089540525</v>
      </c>
      <c r="S637" t="n">
        <v>8.978328173374612</v>
      </c>
      <c r="T637" t="n">
        <v>0.2786377708978257</v>
      </c>
      <c r="U637" t="n">
        <v>0.7154811715481172</v>
      </c>
      <c r="V637" t="n">
        <v>0.8465829846582985</v>
      </c>
      <c r="W637" t="n">
        <v>0.694560669456067</v>
      </c>
      <c r="X637" t="n">
        <v>0.3487507845596932</v>
      </c>
      <c r="Y637" t="n">
        <v>11.58293229337148</v>
      </c>
      <c r="Z637" t="n">
        <v>0.8373002282606862</v>
      </c>
      <c r="AA637" t="n">
        <v>0</v>
      </c>
    </row>
    <row r="638">
      <c r="A638" t="inlineStr">
        <is>
          <t>2025-02-24</t>
        </is>
      </c>
      <c r="B638" t="inlineStr">
        <is>
          <t>CW</t>
        </is>
      </c>
      <c r="C638" t="inlineStr">
        <is>
          <t>09:17</t>
        </is>
      </c>
      <c r="D638" t="n">
        <v>41.82097268272242</v>
      </c>
      <c r="E638" t="n">
        <v>0.2988621412352735</v>
      </c>
      <c r="F638" t="n">
        <v>7.592902309345542</v>
      </c>
      <c r="G638" t="n">
        <v>0.5619524405506884</v>
      </c>
      <c r="H638" t="n">
        <v>0.4968710888610763</v>
      </c>
      <c r="I638" t="n">
        <v>0.4644351464435146</v>
      </c>
      <c r="J638" t="n">
        <v>0.5164164410534089</v>
      </c>
      <c r="K638" t="n">
        <v>0.6677157174036119</v>
      </c>
      <c r="L638" t="b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17.37853221975366</v>
      </c>
      <c r="S638" t="n">
        <v>1.868327402135231</v>
      </c>
      <c r="T638" t="n">
        <v>0.2135231316725857</v>
      </c>
      <c r="U638" t="n">
        <v>0.7531380753138075</v>
      </c>
      <c r="V638" t="n">
        <v>0.2412831241283124</v>
      </c>
      <c r="W638" t="n">
        <v>0.398884239888424</v>
      </c>
      <c r="X638" t="n">
        <v>0.2988621412352735</v>
      </c>
      <c r="Y638" t="n">
        <v>7.59290230934554</v>
      </c>
      <c r="Z638" t="n">
        <v>0.5164164410534089</v>
      </c>
      <c r="AA638" t="n">
        <v>0</v>
      </c>
    </row>
    <row r="639">
      <c r="A639" t="inlineStr">
        <is>
          <t>2025-02-28</t>
        </is>
      </c>
      <c r="B639" t="inlineStr">
        <is>
          <t>CW</t>
        </is>
      </c>
      <c r="C639" t="inlineStr">
        <is>
          <t>09:16</t>
        </is>
      </c>
      <c r="D639" t="n">
        <v>35.68860699729272</v>
      </c>
      <c r="E639" t="n">
        <v>0.2175007689821538</v>
      </c>
      <c r="F639" t="n">
        <v>5.770819160890437</v>
      </c>
      <c r="G639" t="n">
        <v>0.1364205256570713</v>
      </c>
      <c r="H639" t="n">
        <v>0.2365456821026283</v>
      </c>
      <c r="I639" t="n">
        <v>0.6099488609948861</v>
      </c>
      <c r="J639" t="n">
        <v>0.271176255302857</v>
      </c>
      <c r="K639" t="n">
        <v>0.6677157174036119</v>
      </c>
      <c r="L639" t="b">
        <v>0</v>
      </c>
      <c r="N639" t="n">
        <v>0</v>
      </c>
      <c r="O639" t="n">
        <v>0</v>
      </c>
      <c r="P639" t="n">
        <v>0</v>
      </c>
      <c r="Q639" t="n">
        <v>0</v>
      </c>
      <c r="R639" t="n">
        <v>54.09830945571523</v>
      </c>
      <c r="S639" t="n">
        <v>2.97638304755744</v>
      </c>
      <c r="T639" t="n">
        <v>0.2102879327078541</v>
      </c>
      <c r="U639" t="n">
        <v>0.9818688981868898</v>
      </c>
      <c r="V639" t="n">
        <v>0.4672245467224547</v>
      </c>
      <c r="W639" t="n">
        <v>0.3807531380753138</v>
      </c>
      <c r="X639" t="n">
        <v>0.2175007689821538</v>
      </c>
      <c r="Y639" t="n">
        <v>5.770819160890436</v>
      </c>
      <c r="Z639" t="n">
        <v>0.271176255302857</v>
      </c>
      <c r="AA639" t="n">
        <v>5.551115123125783e-17</v>
      </c>
    </row>
    <row r="640">
      <c r="A640" t="inlineStr">
        <is>
          <t>2025-03-06</t>
        </is>
      </c>
      <c r="B640" t="inlineStr">
        <is>
          <t>NW</t>
        </is>
      </c>
      <c r="C640" t="inlineStr">
        <is>
          <t>NW</t>
        </is>
      </c>
      <c r="D640" t="n">
        <v>-41.74081551800563</v>
      </c>
      <c r="E640" t="n">
        <v>0.3820666846166582</v>
      </c>
      <c r="F640" t="n">
        <v>11.23636387683968</v>
      </c>
      <c r="G640" t="n">
        <v>0.9073842302878599</v>
      </c>
      <c r="H640" t="n">
        <v>0.8936170212765957</v>
      </c>
      <c r="I640" t="n">
        <v>0.5</v>
      </c>
      <c r="J640" t="n">
        <v>0.8204005006257823</v>
      </c>
      <c r="K640" t="n">
        <v>0.6677157174036119</v>
      </c>
      <c r="L640" t="b">
        <v>1</v>
      </c>
      <c r="M640" t="inlineStr">
        <is>
          <t>top_quartile_risk</t>
        </is>
      </c>
      <c r="N640" t="n">
        <v>0</v>
      </c>
      <c r="O640" t="n">
        <v>0</v>
      </c>
      <c r="P640" t="n">
        <v>1</v>
      </c>
      <c r="Q640" t="n">
        <v>41.74081551800563</v>
      </c>
      <c r="U640" t="n">
        <v>0.5</v>
      </c>
      <c r="V640" t="n">
        <v>0.5</v>
      </c>
      <c r="W640" t="n">
        <v>0.5</v>
      </c>
      <c r="X640" t="n">
        <v>0.3820666846166581</v>
      </c>
      <c r="Y640" t="n">
        <v>11.23636387683968</v>
      </c>
      <c r="Z640" t="n">
        <v>0.8204005006257823</v>
      </c>
      <c r="AA640" t="n">
        <v>0</v>
      </c>
    </row>
    <row r="641">
      <c r="A641" t="inlineStr">
        <is>
          <t>2025-03-07</t>
        </is>
      </c>
      <c r="B641" t="inlineStr">
        <is>
          <t>CW</t>
        </is>
      </c>
      <c r="C641" t="inlineStr">
        <is>
          <t>09:18</t>
        </is>
      </c>
      <c r="D641" t="n">
        <v>13.51692103509272</v>
      </c>
      <c r="E641" t="n">
        <v>0.2405820612487291</v>
      </c>
      <c r="F641" t="n">
        <v>5.496216217942541</v>
      </c>
      <c r="G641" t="n">
        <v>0.2290362953692115</v>
      </c>
      <c r="H641" t="n">
        <v>0.1989987484355444</v>
      </c>
      <c r="I641" t="n">
        <v>0.508600650860065</v>
      </c>
      <c r="J641" t="n">
        <v>0.2729341476939154</v>
      </c>
      <c r="K641" t="n">
        <v>0.6677157174036119</v>
      </c>
      <c r="L641" t="b">
        <v>0</v>
      </c>
      <c r="N641" t="n">
        <v>41.74081551800555</v>
      </c>
      <c r="O641" t="n">
        <v>1</v>
      </c>
      <c r="P641" t="n">
        <v>0</v>
      </c>
      <c r="Q641" t="n">
        <v>0</v>
      </c>
      <c r="R641" t="n">
        <v>16.86639249556141</v>
      </c>
      <c r="S641" t="n">
        <v>3.483932548520536</v>
      </c>
      <c r="T641" t="n">
        <v>0.190900413617561</v>
      </c>
      <c r="U641" t="n">
        <v>0.7419804741980475</v>
      </c>
      <c r="V641" t="n">
        <v>0.5244072524407253</v>
      </c>
      <c r="W641" t="n">
        <v>0.2594142259414226</v>
      </c>
      <c r="X641" t="n">
        <v>0.2405820612487291</v>
      </c>
      <c r="Y641" t="n">
        <v>5.496216217942542</v>
      </c>
      <c r="Z641" t="n">
        <v>0.2729341476939154</v>
      </c>
      <c r="AA641" t="n">
        <v>5.551115123125783e-17</v>
      </c>
    </row>
    <row r="642">
      <c r="A642" t="inlineStr">
        <is>
          <t>2025-03-11</t>
        </is>
      </c>
      <c r="B642" t="inlineStr">
        <is>
          <t>CW</t>
        </is>
      </c>
      <c r="C642" t="inlineStr">
        <is>
          <t>09:17</t>
        </is>
      </c>
      <c r="D642" t="n">
        <v>-14.57079480149486</v>
      </c>
      <c r="E642" t="n">
        <v>0.2535239822815654</v>
      </c>
      <c r="F642" t="n">
        <v>5.001214053008733</v>
      </c>
      <c r="G642" t="n">
        <v>0.2903629536921151</v>
      </c>
      <c r="H642" t="n">
        <v>0.1364205256570713</v>
      </c>
      <c r="I642" t="n">
        <v>0.400278940027894</v>
      </c>
      <c r="J642" t="n">
        <v>0.2507691797452534</v>
      </c>
      <c r="K642" t="n">
        <v>0.6677157174036119</v>
      </c>
      <c r="L642" t="b">
        <v>0</v>
      </c>
      <c r="N642" t="n">
        <v>28.22389448291324</v>
      </c>
      <c r="O642" t="n">
        <v>0</v>
      </c>
      <c r="P642" t="n">
        <v>1</v>
      </c>
      <c r="Q642" t="n">
        <v>14.57079480149486</v>
      </c>
      <c r="R642" t="n">
        <v>10.86532817771644</v>
      </c>
      <c r="S642" t="n">
        <v>2.57764631312064</v>
      </c>
      <c r="T642" t="n">
        <v>0.190154236213813</v>
      </c>
      <c r="U642" t="n">
        <v>0.5411436541143654</v>
      </c>
      <c r="V642" t="n">
        <v>0.4058577405857741</v>
      </c>
      <c r="W642" t="n">
        <v>0.2538354253835425</v>
      </c>
      <c r="X642" t="n">
        <v>0.2535239822815654</v>
      </c>
      <c r="Y642" t="n">
        <v>5.001214053008734</v>
      </c>
      <c r="Z642" t="n">
        <v>0.2507691797452534</v>
      </c>
      <c r="AA642" t="n">
        <v>0</v>
      </c>
    </row>
    <row r="643">
      <c r="A643" t="inlineStr">
        <is>
          <t>2025-03-12</t>
        </is>
      </c>
      <c r="B643" t="inlineStr">
        <is>
          <t>NW</t>
        </is>
      </c>
      <c r="C643" t="inlineStr">
        <is>
          <t>NW</t>
        </is>
      </c>
      <c r="D643" t="n">
        <v>27.68360178632907</v>
      </c>
      <c r="E643" t="n">
        <v>0.330250430574183</v>
      </c>
      <c r="F643" t="n">
        <v>9.763552874946251</v>
      </c>
      <c r="G643" t="n">
        <v>0.7346683354192741</v>
      </c>
      <c r="H643" t="n">
        <v>0.7622027534418022</v>
      </c>
      <c r="I643" t="n">
        <v>0.5</v>
      </c>
      <c r="J643" t="n">
        <v>0.6987484355444306</v>
      </c>
      <c r="K643" t="n">
        <v>0.6677157174036119</v>
      </c>
      <c r="L643" t="b">
        <v>1</v>
      </c>
      <c r="M643" t="inlineStr">
        <is>
          <t>top_quartile_risk</t>
        </is>
      </c>
      <c r="N643" t="n">
        <v>42.79468928440838</v>
      </c>
      <c r="O643" t="n">
        <v>1</v>
      </c>
      <c r="P643" t="n">
        <v>0</v>
      </c>
      <c r="Q643" t="n">
        <v>0</v>
      </c>
      <c r="U643" t="n">
        <v>0.5</v>
      </c>
      <c r="V643" t="n">
        <v>0.5</v>
      </c>
      <c r="W643" t="n">
        <v>0.5</v>
      </c>
      <c r="X643" t="n">
        <v>0.330250430574183</v>
      </c>
      <c r="Y643" t="n">
        <v>9.763552874946251</v>
      </c>
      <c r="Z643" t="n">
        <v>0.6987484355444306</v>
      </c>
      <c r="AA643" t="n">
        <v>0</v>
      </c>
    </row>
    <row r="644">
      <c r="A644" t="inlineStr">
        <is>
          <t>2025-03-13</t>
        </is>
      </c>
      <c r="B644" t="inlineStr">
        <is>
          <t>NW</t>
        </is>
      </c>
      <c r="C644" t="inlineStr">
        <is>
          <t>NW</t>
        </is>
      </c>
      <c r="D644" t="n">
        <v>25.86469071054281</v>
      </c>
      <c r="E644" t="n">
        <v>0.3237567724085774</v>
      </c>
      <c r="F644" t="n">
        <v>9.48125448463402</v>
      </c>
      <c r="G644" t="n">
        <v>0.6958698372966208</v>
      </c>
      <c r="H644" t="n">
        <v>0.7271589486858573</v>
      </c>
      <c r="I644" t="n">
        <v>0.5</v>
      </c>
      <c r="J644" t="n">
        <v>0.6692115143929912</v>
      </c>
      <c r="K644" t="n">
        <v>0.6677157174036119</v>
      </c>
      <c r="L644" t="b">
        <v>1</v>
      </c>
      <c r="M644" t="inlineStr">
        <is>
          <t>top_quartile_risk</t>
        </is>
      </c>
      <c r="N644" t="n">
        <v>15.11108749807863</v>
      </c>
      <c r="O644" t="n">
        <v>0</v>
      </c>
      <c r="P644" t="n">
        <v>0</v>
      </c>
      <c r="Q644" t="n">
        <v>0</v>
      </c>
      <c r="U644" t="n">
        <v>0.5</v>
      </c>
      <c r="V644" t="n">
        <v>0.5</v>
      </c>
      <c r="W644" t="n">
        <v>0.5</v>
      </c>
      <c r="X644" t="n">
        <v>0.3237567724085774</v>
      </c>
      <c r="Y644" t="n">
        <v>9.48125448463402</v>
      </c>
      <c r="Z644" t="n">
        <v>0.6692115143929912</v>
      </c>
      <c r="AA644" t="n">
        <v>0</v>
      </c>
    </row>
    <row r="645">
      <c r="A645" t="inlineStr">
        <is>
          <t>2025-03-18</t>
        </is>
      </c>
      <c r="B645" t="inlineStr">
        <is>
          <t>CW</t>
        </is>
      </c>
      <c r="C645" t="inlineStr">
        <is>
          <t>09:17</t>
        </is>
      </c>
      <c r="D645" t="n">
        <v>-34.24445549907828</v>
      </c>
      <c r="E645" t="n">
        <v>0.235051923210364</v>
      </c>
      <c r="F645" t="n">
        <v>6.63903965605423</v>
      </c>
      <c r="G645" t="n">
        <v>0.2015018773466833</v>
      </c>
      <c r="H645" t="n">
        <v>0.3679599499374218</v>
      </c>
      <c r="I645" t="n">
        <v>0.500697350069735</v>
      </c>
      <c r="J645" t="n">
        <v>0.3279242009275891</v>
      </c>
      <c r="K645" t="n">
        <v>0.6677157174036119</v>
      </c>
      <c r="L645" t="b">
        <v>0</v>
      </c>
      <c r="N645" t="n">
        <v>0</v>
      </c>
      <c r="O645" t="n">
        <v>0</v>
      </c>
      <c r="P645" t="n">
        <v>1</v>
      </c>
      <c r="Q645" t="n">
        <v>34.24445549907828</v>
      </c>
      <c r="R645" t="n">
        <v>14.30618322953159</v>
      </c>
      <c r="S645" t="n">
        <v>4.028060647205253</v>
      </c>
      <c r="T645" t="n">
        <v>0.181036433582261</v>
      </c>
      <c r="U645" t="n">
        <v>0.6861924686192469</v>
      </c>
      <c r="V645" t="n">
        <v>0.602510460251046</v>
      </c>
      <c r="W645" t="n">
        <v>0.2133891213389121</v>
      </c>
      <c r="X645" t="n">
        <v>0.235051923210364</v>
      </c>
      <c r="Y645" t="n">
        <v>6.639039656054232</v>
      </c>
      <c r="Z645" t="n">
        <v>0.3279242009275891</v>
      </c>
      <c r="AA645" t="n">
        <v>-5.551115123125783e-17</v>
      </c>
    </row>
    <row r="646">
      <c r="A646" t="inlineStr">
        <is>
          <t>2025-03-19</t>
        </is>
      </c>
      <c r="B646" t="inlineStr">
        <is>
          <t>CW</t>
        </is>
      </c>
      <c r="C646" t="inlineStr">
        <is>
          <t>09:17</t>
        </is>
      </c>
      <c r="D646" t="n">
        <v>-21.1195681509174</v>
      </c>
      <c r="E646" t="n">
        <v>0.2673621124354241</v>
      </c>
      <c r="F646" t="n">
        <v>7.634367614375218</v>
      </c>
      <c r="G646" t="n">
        <v>0.3817271589486859</v>
      </c>
      <c r="H646" t="n">
        <v>0.5006257822277848</v>
      </c>
      <c r="I646" t="n">
        <v>0.497907949790795</v>
      </c>
      <c r="J646" t="n">
        <v>0.4525227664287473</v>
      </c>
      <c r="K646" t="n">
        <v>0.6677157174036119</v>
      </c>
      <c r="L646" t="b">
        <v>0</v>
      </c>
      <c r="N646" t="n">
        <v>34.24445549907796</v>
      </c>
      <c r="O646" t="n">
        <v>1</v>
      </c>
      <c r="P646" t="n">
        <v>1</v>
      </c>
      <c r="Q646" t="n">
        <v>21.1195681509174</v>
      </c>
      <c r="R646" t="n">
        <v>11.16020241243637</v>
      </c>
      <c r="S646" t="n">
        <v>2.278553118769581</v>
      </c>
      <c r="T646" t="n">
        <v>0.2563372258615713</v>
      </c>
      <c r="U646" t="n">
        <v>0.5495118549511855</v>
      </c>
      <c r="V646" t="n">
        <v>0.3333333333333333</v>
      </c>
      <c r="W646" t="n">
        <v>0.6108786610878661</v>
      </c>
      <c r="X646" t="n">
        <v>0.2673621124354242</v>
      </c>
      <c r="Y646" t="n">
        <v>7.634367614375217</v>
      </c>
      <c r="Z646" t="n">
        <v>0.4525227664287473</v>
      </c>
      <c r="AA646" t="n">
        <v>5.551115123125783e-17</v>
      </c>
    </row>
    <row r="647">
      <c r="A647" t="inlineStr">
        <is>
          <t>2025-03-20</t>
        </is>
      </c>
      <c r="B647" t="inlineStr">
        <is>
          <t>NW</t>
        </is>
      </c>
      <c r="C647" t="inlineStr">
        <is>
          <t>NW</t>
        </is>
      </c>
      <c r="D647" t="n">
        <v>3.033723387263484</v>
      </c>
      <c r="E647" t="n">
        <v>0.3230600370772046</v>
      </c>
      <c r="F647" t="n">
        <v>8.961094386239802</v>
      </c>
      <c r="G647" t="n">
        <v>0.6921151439299124</v>
      </c>
      <c r="H647" t="n">
        <v>0.6770963704630788</v>
      </c>
      <c r="I647" t="n">
        <v>0.5</v>
      </c>
      <c r="J647" t="n">
        <v>0.6476846057571964</v>
      </c>
      <c r="K647" t="n">
        <v>0.6677157174036119</v>
      </c>
      <c r="L647" t="b">
        <v>0</v>
      </c>
      <c r="N647" t="n">
        <v>55.36402364999594</v>
      </c>
      <c r="O647" t="n">
        <v>2</v>
      </c>
      <c r="P647" t="n">
        <v>0</v>
      </c>
      <c r="Q647" t="n">
        <v>0</v>
      </c>
      <c r="U647" t="n">
        <v>0.5</v>
      </c>
      <c r="V647" t="n">
        <v>0.5</v>
      </c>
      <c r="W647" t="n">
        <v>0.5</v>
      </c>
      <c r="X647" t="n">
        <v>0.3230600370772047</v>
      </c>
      <c r="Y647" t="n">
        <v>8.9610943862398</v>
      </c>
      <c r="Z647" t="n">
        <v>0.6476846057571964</v>
      </c>
      <c r="AA647" t="n">
        <v>0</v>
      </c>
    </row>
    <row r="648">
      <c r="A648" t="inlineStr">
        <is>
          <t>2025-03-24</t>
        </is>
      </c>
      <c r="B648" t="inlineStr">
        <is>
          <t>CW</t>
        </is>
      </c>
      <c r="C648" t="inlineStr">
        <is>
          <t>09:17</t>
        </is>
      </c>
      <c r="D648" t="n">
        <v>-34.99804924836275</v>
      </c>
      <c r="E648" t="n">
        <v>0.2462660846436359</v>
      </c>
      <c r="F648" t="n">
        <v>6.726788563094736</v>
      </c>
      <c r="G648" t="n">
        <v>0.2490613266583229</v>
      </c>
      <c r="H648" t="n">
        <v>0.3804755944931164</v>
      </c>
      <c r="I648" t="n">
        <v>0.5467224546722455</v>
      </c>
      <c r="J648" t="n">
        <v>0.3611592593950248</v>
      </c>
      <c r="K648" t="n">
        <v>0.6677157174036119</v>
      </c>
      <c r="L648" t="b">
        <v>0</v>
      </c>
      <c r="N648" t="n">
        <v>52.33030026273264</v>
      </c>
      <c r="O648" t="n">
        <v>0</v>
      </c>
      <c r="P648" t="n">
        <v>1</v>
      </c>
      <c r="Q648" t="n">
        <v>34.99804924836275</v>
      </c>
      <c r="R648" t="n">
        <v>11.18387480864062</v>
      </c>
      <c r="S648" t="n">
        <v>3.55125100887812</v>
      </c>
      <c r="T648" t="n">
        <v>0.2421307506053246</v>
      </c>
      <c r="U648" t="n">
        <v>0.5523012552301255</v>
      </c>
      <c r="V648" t="n">
        <v>0.5341701534170153</v>
      </c>
      <c r="W648" t="n">
        <v>0.5536959553695955</v>
      </c>
      <c r="X648" t="n">
        <v>0.2462660846436359</v>
      </c>
      <c r="Y648" t="n">
        <v>6.726788563094738</v>
      </c>
      <c r="Z648" t="n">
        <v>0.3611592593950248</v>
      </c>
      <c r="AA648" t="n">
        <v>0</v>
      </c>
    </row>
    <row r="649">
      <c r="A649" t="inlineStr">
        <is>
          <t>2025-03-25</t>
        </is>
      </c>
      <c r="B649" t="inlineStr">
        <is>
          <t>CW</t>
        </is>
      </c>
      <c r="C649" t="inlineStr">
        <is>
          <t>09:17</t>
        </is>
      </c>
      <c r="D649" t="n">
        <v>52.42585463486174</v>
      </c>
      <c r="E649" t="n">
        <v>0.2212089379647719</v>
      </c>
      <c r="F649" t="n">
        <v>6.461233773573221</v>
      </c>
      <c r="G649" t="n">
        <v>0.1476846057571965</v>
      </c>
      <c r="H649" t="n">
        <v>0.3366708385481852</v>
      </c>
      <c r="I649" t="n">
        <v>0.5899581589958159</v>
      </c>
      <c r="J649" t="n">
        <v>0.3117338095213159</v>
      </c>
      <c r="K649" t="n">
        <v>0.6677157174036119</v>
      </c>
      <c r="L649" t="b">
        <v>0</v>
      </c>
      <c r="N649" t="n">
        <v>87.32834951109544</v>
      </c>
      <c r="O649" t="n">
        <v>1</v>
      </c>
      <c r="P649" t="n">
        <v>0</v>
      </c>
      <c r="Q649" t="n">
        <v>0</v>
      </c>
      <c r="R649" t="n">
        <v>12.86470165893561</v>
      </c>
      <c r="S649" t="n">
        <v>4.273198641158587</v>
      </c>
      <c r="T649" t="n">
        <v>0.2324333988914735</v>
      </c>
      <c r="U649" t="n">
        <v>0.6345885634588564</v>
      </c>
      <c r="V649" t="n">
        <v>0.6276150627615062</v>
      </c>
      <c r="W649" t="n">
        <v>0.5076708507670851</v>
      </c>
      <c r="X649" t="n">
        <v>0.221208937964772</v>
      </c>
      <c r="Y649" t="n">
        <v>6.461233773573222</v>
      </c>
      <c r="Z649" t="n">
        <v>0.3117338095213159</v>
      </c>
      <c r="AA649" t="n">
        <v>0</v>
      </c>
    </row>
    <row r="650">
      <c r="A650" t="inlineStr">
        <is>
          <t>2025-03-26</t>
        </is>
      </c>
      <c r="B650" t="inlineStr">
        <is>
          <t>CW</t>
        </is>
      </c>
      <c r="C650" t="inlineStr">
        <is>
          <t>09:18</t>
        </is>
      </c>
      <c r="D650" t="n">
        <v>-4.731694601037999</v>
      </c>
      <c r="E650" t="n">
        <v>0.290262387720243</v>
      </c>
      <c r="F650" t="n">
        <v>5.792587210276039</v>
      </c>
      <c r="G650" t="n">
        <v>0.5256570713391739</v>
      </c>
      <c r="H650" t="n">
        <v>0.2377972465581978</v>
      </c>
      <c r="I650" t="n">
        <v>0.4263133426313342</v>
      </c>
      <c r="J650" t="n">
        <v>0.3906443956852155</v>
      </c>
      <c r="K650" t="n">
        <v>0.6677157174036119</v>
      </c>
      <c r="L650" t="b">
        <v>0</v>
      </c>
      <c r="N650" t="n">
        <v>34.90249487623441</v>
      </c>
      <c r="O650" t="n">
        <v>0</v>
      </c>
      <c r="P650" t="n">
        <v>1</v>
      </c>
      <c r="Q650" t="n">
        <v>4.731694601037999</v>
      </c>
      <c r="R650" t="n">
        <v>8.608394028136713</v>
      </c>
      <c r="S650" t="n">
        <v>1.898253606681853</v>
      </c>
      <c r="T650" t="n">
        <v>0.2531004808909136</v>
      </c>
      <c r="U650" t="n">
        <v>0.4267782426778243</v>
      </c>
      <c r="V650" t="n">
        <v>0.2482566248256625</v>
      </c>
      <c r="W650" t="n">
        <v>0.603905160390516</v>
      </c>
      <c r="X650" t="n">
        <v>0.290262387720243</v>
      </c>
      <c r="Y650" t="n">
        <v>5.792587210276039</v>
      </c>
      <c r="Z650" t="n">
        <v>0.3906443956852155</v>
      </c>
      <c r="AA650" t="n">
        <v>5.551115123125783e-17</v>
      </c>
    </row>
    <row r="651">
      <c r="A651" t="inlineStr">
        <is>
          <t>2025-03-27</t>
        </is>
      </c>
      <c r="B651" t="inlineStr">
        <is>
          <t>CW</t>
        </is>
      </c>
      <c r="C651" t="inlineStr">
        <is>
          <t>09:17</t>
        </is>
      </c>
      <c r="D651" t="n">
        <v>-39.50384222820401</v>
      </c>
      <c r="E651" t="n">
        <v>0.2717869636139468</v>
      </c>
      <c r="F651" t="n">
        <v>7.94177018051669</v>
      </c>
      <c r="G651" t="n">
        <v>0.4017521902377972</v>
      </c>
      <c r="H651" t="n">
        <v>0.5306633291614519</v>
      </c>
      <c r="I651" t="n">
        <v>0.5918177591817759</v>
      </c>
      <c r="J651" t="n">
        <v>0.4913297595960548</v>
      </c>
      <c r="K651" t="n">
        <v>0.6677157174036119</v>
      </c>
      <c r="L651" t="b">
        <v>0</v>
      </c>
      <c r="N651" t="n">
        <v>39.63418947727223</v>
      </c>
      <c r="O651" t="n">
        <v>1</v>
      </c>
      <c r="P651" t="n">
        <v>1</v>
      </c>
      <c r="Q651" t="n">
        <v>39.50384222820401</v>
      </c>
      <c r="R651" t="n">
        <v>6.223650725310457</v>
      </c>
      <c r="S651" t="n">
        <v>9.240407204385289</v>
      </c>
      <c r="T651" t="n">
        <v>0.2740798747063441</v>
      </c>
      <c r="U651" t="n">
        <v>0.2412831241283124</v>
      </c>
      <c r="V651" t="n">
        <v>0.8605299860529986</v>
      </c>
      <c r="W651" t="n">
        <v>0.6736401673640168</v>
      </c>
      <c r="X651" t="n">
        <v>0.2717869636139468</v>
      </c>
      <c r="Y651" t="n">
        <v>7.941770180516688</v>
      </c>
      <c r="Z651" t="n">
        <v>0.4913297595960548</v>
      </c>
      <c r="AA651" t="n">
        <v>5.551115123125783e-17</v>
      </c>
    </row>
    <row r="652">
      <c r="A652" t="inlineStr">
        <is>
          <t>2025-03-28</t>
        </is>
      </c>
      <c r="B652" t="inlineStr">
        <is>
          <t>CW</t>
        </is>
      </c>
      <c r="C652" t="inlineStr">
        <is>
          <t>09:16</t>
        </is>
      </c>
      <c r="D652" t="n">
        <v>27.26581933676644</v>
      </c>
      <c r="E652" t="n">
        <v>0.2182786866721568</v>
      </c>
      <c r="F652" t="n">
        <v>5.540243076042882</v>
      </c>
      <c r="G652" t="n">
        <v>0.1426783479349187</v>
      </c>
      <c r="H652" t="n">
        <v>0.2065081351689612</v>
      </c>
      <c r="I652" t="n">
        <v>0.5044165504416551</v>
      </c>
      <c r="J652" t="n">
        <v>0.240557903329883</v>
      </c>
      <c r="K652" t="n">
        <v>0.6677157174036119</v>
      </c>
      <c r="L652" t="b">
        <v>0</v>
      </c>
      <c r="N652" t="n">
        <v>79.13803170547544</v>
      </c>
      <c r="O652" t="n">
        <v>2</v>
      </c>
      <c r="P652" t="n">
        <v>0</v>
      </c>
      <c r="Q652" t="n">
        <v>0</v>
      </c>
      <c r="R652" t="n">
        <v>12.21362431905936</v>
      </c>
      <c r="S652" t="n">
        <v>5.797550767322893</v>
      </c>
      <c r="T652" t="n">
        <v>0.1705161990389034</v>
      </c>
      <c r="U652" t="n">
        <v>0.6080892608089261</v>
      </c>
      <c r="V652" t="n">
        <v>0.7364016736401674</v>
      </c>
      <c r="W652" t="n">
        <v>0.1687587168758717</v>
      </c>
      <c r="X652" t="n">
        <v>0.2182786866721569</v>
      </c>
      <c r="Y652" t="n">
        <v>5.540243076042882</v>
      </c>
      <c r="Z652" t="n">
        <v>0.240557903329883</v>
      </c>
      <c r="AA652" t="n">
        <v>-2.775557561562891e-17</v>
      </c>
    </row>
    <row r="653">
      <c r="A653" t="inlineStr">
        <is>
          <t>2025-04-02</t>
        </is>
      </c>
      <c r="B653" t="inlineStr">
        <is>
          <t>NW</t>
        </is>
      </c>
      <c r="C653" t="inlineStr">
        <is>
          <t>NW</t>
        </is>
      </c>
      <c r="D653" t="n">
        <v>1.499837576434855</v>
      </c>
      <c r="E653" t="n">
        <v>0.3295131354913199</v>
      </c>
      <c r="F653" t="n">
        <v>9.585414990289951</v>
      </c>
      <c r="G653" t="n">
        <v>0.7309136420525657</v>
      </c>
      <c r="H653" t="n">
        <v>0.737171464330413</v>
      </c>
      <c r="I653" t="n">
        <v>0.5</v>
      </c>
      <c r="J653" t="n">
        <v>0.6872340425531914</v>
      </c>
      <c r="K653" t="n">
        <v>0.6677157174036119</v>
      </c>
      <c r="L653" t="b">
        <v>1</v>
      </c>
      <c r="M653" t="inlineStr">
        <is>
          <t>top_quartile_risk</t>
        </is>
      </c>
      <c r="N653" t="n">
        <v>51.87221236870937</v>
      </c>
      <c r="O653" t="n">
        <v>0</v>
      </c>
      <c r="P653" t="n">
        <v>0</v>
      </c>
      <c r="Q653" t="n">
        <v>0</v>
      </c>
      <c r="U653" t="n">
        <v>0.5</v>
      </c>
      <c r="V653" t="n">
        <v>0.5</v>
      </c>
      <c r="W653" t="n">
        <v>0.5</v>
      </c>
      <c r="X653" t="n">
        <v>0.3295131354913198</v>
      </c>
      <c r="Y653" t="n">
        <v>9.58541499028995</v>
      </c>
      <c r="Z653" t="n">
        <v>0.6872340425531914</v>
      </c>
      <c r="AA653" t="n">
        <v>0</v>
      </c>
    </row>
    <row r="654">
      <c r="A654" t="inlineStr">
        <is>
          <t>2025-04-03</t>
        </is>
      </c>
      <c r="B654" t="inlineStr">
        <is>
          <t>CW</t>
        </is>
      </c>
      <c r="C654" t="inlineStr">
        <is>
          <t>09:16</t>
        </is>
      </c>
      <c r="D654" t="n">
        <v>21.78836097285931</v>
      </c>
      <c r="E654" t="n">
        <v>0.2308937663127962</v>
      </c>
      <c r="F654" t="n">
        <v>5.413303487406838</v>
      </c>
      <c r="G654" t="n">
        <v>0.1764705882352941</v>
      </c>
      <c r="H654" t="n">
        <v>0.1889862327909887</v>
      </c>
      <c r="I654" t="n">
        <v>0.7443049744304974</v>
      </c>
      <c r="J654" t="n">
        <v>0.2950437232966127</v>
      </c>
      <c r="K654" t="n">
        <v>0.6677157174036119</v>
      </c>
      <c r="L654" t="b">
        <v>0</v>
      </c>
      <c r="N654" t="n">
        <v>50.37237479227406</v>
      </c>
      <c r="O654" t="n">
        <v>0</v>
      </c>
      <c r="P654" t="n">
        <v>0</v>
      </c>
      <c r="Q654" t="n">
        <v>0</v>
      </c>
      <c r="R654" t="n">
        <v>13.37781095858646</v>
      </c>
      <c r="S654" t="n">
        <v>19.01070505721669</v>
      </c>
      <c r="T654" t="n">
        <v>0.2583979328165385</v>
      </c>
      <c r="U654" t="n">
        <v>0.6555090655509066</v>
      </c>
      <c r="V654" t="n">
        <v>0.9567642956764296</v>
      </c>
      <c r="W654" t="n">
        <v>0.6206415620641562</v>
      </c>
      <c r="X654" t="n">
        <v>0.2308937663127962</v>
      </c>
      <c r="Y654" t="n">
        <v>5.413303487406838</v>
      </c>
      <c r="Z654" t="n">
        <v>0.2950437232966127</v>
      </c>
      <c r="AA654" t="n">
        <v>-5.551115123125783e-17</v>
      </c>
    </row>
    <row r="655">
      <c r="A655" t="inlineStr">
        <is>
          <t>2025-04-04</t>
        </is>
      </c>
      <c r="B655" t="inlineStr">
        <is>
          <t>CW</t>
        </is>
      </c>
      <c r="C655" t="inlineStr">
        <is>
          <t>09:17</t>
        </is>
      </c>
      <c r="D655" t="n">
        <v>26.91655492578092</v>
      </c>
      <c r="E655" t="n">
        <v>0.2179586984762491</v>
      </c>
      <c r="F655" t="n">
        <v>4.781341236111437</v>
      </c>
      <c r="G655" t="n">
        <v>0.1414267834793492</v>
      </c>
      <c r="H655" t="n">
        <v>0.1101376720901126</v>
      </c>
      <c r="I655" t="n">
        <v>0.4476987447698744</v>
      </c>
      <c r="J655" t="n">
        <v>0.1901655311817596</v>
      </c>
      <c r="K655" t="n">
        <v>0.6677157174036119</v>
      </c>
      <c r="L655" t="b">
        <v>0</v>
      </c>
      <c r="N655" t="n">
        <v>28.58401381941439</v>
      </c>
      <c r="O655" t="n">
        <v>0</v>
      </c>
      <c r="P655" t="n">
        <v>0</v>
      </c>
      <c r="Q655" t="n">
        <v>0</v>
      </c>
      <c r="R655" t="n">
        <v>9.394468086948931</v>
      </c>
      <c r="S655" t="n">
        <v>2.912172573189519</v>
      </c>
      <c r="T655" t="n">
        <v>0.2157164869029241</v>
      </c>
      <c r="U655" t="n">
        <v>0.4672245467224547</v>
      </c>
      <c r="V655" t="n">
        <v>0.4602510460251046</v>
      </c>
      <c r="W655" t="n">
        <v>0.4156206415620641</v>
      </c>
      <c r="X655" t="n">
        <v>0.2179586984762491</v>
      </c>
      <c r="Y655" t="n">
        <v>4.781341236111436</v>
      </c>
      <c r="Z655" t="n">
        <v>0.1901655311817596</v>
      </c>
      <c r="AA655" t="n">
        <v>2.775557561562891e-17</v>
      </c>
    </row>
    <row r="656">
      <c r="A656" t="inlineStr">
        <is>
          <t>2025-04-07</t>
        </is>
      </c>
      <c r="B656" t="inlineStr">
        <is>
          <t>CW</t>
        </is>
      </c>
      <c r="C656" t="inlineStr">
        <is>
          <t>09:18</t>
        </is>
      </c>
      <c r="D656" t="n">
        <v>-2.115206967593431</v>
      </c>
      <c r="E656" t="n">
        <v>0.5043756345126411</v>
      </c>
      <c r="F656" t="n">
        <v>10.48283172843563</v>
      </c>
      <c r="G656" t="n">
        <v>0.9962453066332916</v>
      </c>
      <c r="H656" t="n">
        <v>0.8397997496871089</v>
      </c>
      <c r="I656" t="n">
        <v>0.5</v>
      </c>
      <c r="J656" t="n">
        <v>0.8344180225281602</v>
      </c>
      <c r="K656" t="n">
        <v>0.6677157174036119</v>
      </c>
      <c r="L656" t="b">
        <v>1</v>
      </c>
      <c r="M656" t="inlineStr">
        <is>
          <t>top_quartile_risk;missing_CW_entry_features</t>
        </is>
      </c>
      <c r="N656" t="n">
        <v>1.667458893633011</v>
      </c>
      <c r="O656" t="n">
        <v>0</v>
      </c>
      <c r="P656" t="n">
        <v>1</v>
      </c>
      <c r="Q656" t="n">
        <v>2.115206967593431</v>
      </c>
      <c r="U656" t="n">
        <v>0.5</v>
      </c>
      <c r="V656" t="n">
        <v>0.5</v>
      </c>
      <c r="W656" t="n">
        <v>0.5</v>
      </c>
      <c r="X656" t="n">
        <v>0.5043756345126411</v>
      </c>
      <c r="Y656" t="n">
        <v>10.48283172843563</v>
      </c>
      <c r="Z656" t="n">
        <v>0.8344180225281602</v>
      </c>
      <c r="AA656" t="n">
        <v>0</v>
      </c>
    </row>
    <row r="657">
      <c r="A657" t="inlineStr">
        <is>
          <t>2025-04-08</t>
        </is>
      </c>
      <c r="B657" t="inlineStr">
        <is>
          <t>NW</t>
        </is>
      </c>
      <c r="C657" t="inlineStr">
        <is>
          <t>NW</t>
        </is>
      </c>
      <c r="D657" t="n">
        <v>-39.20149046457416</v>
      </c>
      <c r="E657" t="n">
        <v>0.4242797412788296</v>
      </c>
      <c r="F657" t="n">
        <v>14.82335446885213</v>
      </c>
      <c r="G657" t="n">
        <v>0.967459324155194</v>
      </c>
      <c r="H657" t="n">
        <v>0.9824780976220275</v>
      </c>
      <c r="I657" t="n">
        <v>0.5</v>
      </c>
      <c r="J657" t="n">
        <v>0.8799749687108886</v>
      </c>
      <c r="K657" t="n">
        <v>0.6677157174036119</v>
      </c>
      <c r="L657" t="b">
        <v>1</v>
      </c>
      <c r="M657" t="inlineStr">
        <is>
          <t>top_quartile_risk</t>
        </is>
      </c>
      <c r="N657" t="n">
        <v>3.782665861226633</v>
      </c>
      <c r="O657" t="n">
        <v>1</v>
      </c>
      <c r="P657" t="n">
        <v>1</v>
      </c>
      <c r="Q657" t="n">
        <v>39.20149046457416</v>
      </c>
      <c r="U657" t="n">
        <v>0.5</v>
      </c>
      <c r="V657" t="n">
        <v>0.5</v>
      </c>
      <c r="W657" t="n">
        <v>0.5</v>
      </c>
      <c r="X657" t="n">
        <v>0.4242797412788296</v>
      </c>
      <c r="Y657" t="n">
        <v>14.82335446885213</v>
      </c>
      <c r="Z657" t="n">
        <v>0.8799749687108886</v>
      </c>
      <c r="AA657" t="n">
        <v>0</v>
      </c>
    </row>
    <row r="658">
      <c r="A658" t="inlineStr">
        <is>
          <t>2025-04-09</t>
        </is>
      </c>
      <c r="B658" t="inlineStr">
        <is>
          <t>CW</t>
        </is>
      </c>
      <c r="C658" t="inlineStr">
        <is>
          <t>09:16</t>
        </is>
      </c>
      <c r="D658" t="n">
        <v>118.5265876230167</v>
      </c>
      <c r="E658" t="n">
        <v>0.2129372746613116</v>
      </c>
      <c r="F658" t="n">
        <v>7.969653337591451</v>
      </c>
      <c r="G658" t="n">
        <v>0.1276595744680851</v>
      </c>
      <c r="H658" t="n">
        <v>0.5406758448060075</v>
      </c>
      <c r="I658" t="n">
        <v>0.906555090655509</v>
      </c>
      <c r="J658" t="n">
        <v>0.4486451858407389</v>
      </c>
      <c r="K658" t="n">
        <v>0.6677157174036119</v>
      </c>
      <c r="L658" t="b">
        <v>0</v>
      </c>
      <c r="N658" t="n">
        <v>42.98415632580145</v>
      </c>
      <c r="O658" t="n">
        <v>2</v>
      </c>
      <c r="P658" t="n">
        <v>0</v>
      </c>
      <c r="Q658" t="n">
        <v>0</v>
      </c>
      <c r="R658" t="n">
        <v>51.66839341216852</v>
      </c>
      <c r="S658" t="n">
        <v>16.52289316522894</v>
      </c>
      <c r="T658" t="n">
        <v>0.33178500331785</v>
      </c>
      <c r="U658" t="n">
        <v>0.9762900976290098</v>
      </c>
      <c r="V658" t="n">
        <v>0.9442119944211994</v>
      </c>
      <c r="W658" t="n">
        <v>0.799163179916318</v>
      </c>
      <c r="X658" t="n">
        <v>0.2129372746613116</v>
      </c>
      <c r="Y658" t="n">
        <v>7.96965333759145</v>
      </c>
      <c r="Z658" t="n">
        <v>0.4486451858407389</v>
      </c>
      <c r="AA658" t="n">
        <v>-5.551115123125783e-17</v>
      </c>
    </row>
    <row r="659">
      <c r="A659" t="inlineStr">
        <is>
          <t>2025-04-16</t>
        </is>
      </c>
      <c r="B659" t="inlineStr">
        <is>
          <t>NW</t>
        </is>
      </c>
      <c r="C659" t="inlineStr">
        <is>
          <t>NW</t>
        </is>
      </c>
      <c r="D659" t="n">
        <v>-38.34955035714795</v>
      </c>
      <c r="E659" t="n">
        <v>0.3892828181528848</v>
      </c>
      <c r="F659" t="n">
        <v>11.25072059241224</v>
      </c>
      <c r="G659" t="n">
        <v>0.9211514392991239</v>
      </c>
      <c r="H659" t="n">
        <v>0.8973717146433041</v>
      </c>
      <c r="I659" t="n">
        <v>0.5</v>
      </c>
      <c r="J659" t="n">
        <v>0.8274092615769711</v>
      </c>
      <c r="K659" t="n">
        <v>0.6677157174036119</v>
      </c>
      <c r="L659" t="b">
        <v>1</v>
      </c>
      <c r="M659" t="inlineStr">
        <is>
          <t>top_quartile_risk</t>
        </is>
      </c>
      <c r="N659" t="n">
        <v>0</v>
      </c>
      <c r="O659" t="n">
        <v>0</v>
      </c>
      <c r="P659" t="n">
        <v>1</v>
      </c>
      <c r="Q659" t="n">
        <v>38.34955035714795</v>
      </c>
      <c r="U659" t="n">
        <v>0.5</v>
      </c>
      <c r="V659" t="n">
        <v>0.5</v>
      </c>
      <c r="W659" t="n">
        <v>0.5</v>
      </c>
      <c r="X659" t="n">
        <v>0.3892828181528848</v>
      </c>
      <c r="Y659" t="n">
        <v>11.25072059241224</v>
      </c>
      <c r="Z659" t="n">
        <v>0.8274092615769711</v>
      </c>
      <c r="AA659" t="n">
        <v>0</v>
      </c>
    </row>
    <row r="660">
      <c r="A660" t="inlineStr">
        <is>
          <t>2025-04-17</t>
        </is>
      </c>
      <c r="B660" t="inlineStr">
        <is>
          <t>NW</t>
        </is>
      </c>
      <c r="C660" t="inlineStr">
        <is>
          <t>NW</t>
        </is>
      </c>
      <c r="D660" t="n">
        <v>-43.66781679173372</v>
      </c>
      <c r="E660" t="n">
        <v>0.342216526839848</v>
      </c>
      <c r="F660" t="n">
        <v>10.18144028880463</v>
      </c>
      <c r="G660" t="n">
        <v>0.7922403003754693</v>
      </c>
      <c r="H660" t="n">
        <v>0.8085106382978723</v>
      </c>
      <c r="I660" t="n">
        <v>0.5</v>
      </c>
      <c r="J660" t="n">
        <v>0.7403003754693367</v>
      </c>
      <c r="K660" t="n">
        <v>0.6677157174036119</v>
      </c>
      <c r="L660" t="b">
        <v>1</v>
      </c>
      <c r="M660" t="inlineStr">
        <is>
          <t>top_quartile_risk</t>
        </is>
      </c>
      <c r="N660" t="n">
        <v>38.34955035714847</v>
      </c>
      <c r="O660" t="n">
        <v>1</v>
      </c>
      <c r="P660" t="n">
        <v>1</v>
      </c>
      <c r="Q660" t="n">
        <v>43.66781679173372</v>
      </c>
      <c r="U660" t="n">
        <v>0.5</v>
      </c>
      <c r="V660" t="n">
        <v>0.5</v>
      </c>
      <c r="W660" t="n">
        <v>0.5</v>
      </c>
      <c r="X660" t="n">
        <v>0.342216526839848</v>
      </c>
      <c r="Y660" t="n">
        <v>10.18144028880463</v>
      </c>
      <c r="Z660" t="n">
        <v>0.7403003754693367</v>
      </c>
      <c r="AA660" t="n">
        <v>0</v>
      </c>
    </row>
    <row r="661">
      <c r="A661" t="inlineStr">
        <is>
          <t>2025-04-21</t>
        </is>
      </c>
      <c r="B661" t="inlineStr">
        <is>
          <t>CW</t>
        </is>
      </c>
      <c r="C661" t="inlineStr">
        <is>
          <t>09:18</t>
        </is>
      </c>
      <c r="D661" t="n">
        <v>45.12349594882045</v>
      </c>
      <c r="E661" t="n">
        <v>0.3093805524956549</v>
      </c>
      <c r="F661" t="n">
        <v>7.48126339477232</v>
      </c>
      <c r="G661" t="n">
        <v>0.6132665832290363</v>
      </c>
      <c r="H661" t="n">
        <v>0.4806007509386733</v>
      </c>
      <c r="I661" t="n">
        <v>0.400743840074384</v>
      </c>
      <c r="J661" t="n">
        <v>0.5176957016819607</v>
      </c>
      <c r="K661" t="n">
        <v>0.6677157174036119</v>
      </c>
      <c r="L661" t="b">
        <v>0</v>
      </c>
      <c r="N661" t="n">
        <v>82.01736714888284</v>
      </c>
      <c r="O661" t="n">
        <v>2</v>
      </c>
      <c r="P661" t="n">
        <v>0</v>
      </c>
      <c r="Q661" t="n">
        <v>0</v>
      </c>
      <c r="R661" t="n">
        <v>9.307644790224431</v>
      </c>
      <c r="S661" t="n">
        <v>2.800361336946706</v>
      </c>
      <c r="T661" t="n">
        <v>0.19572417946401</v>
      </c>
      <c r="U661" t="n">
        <v>0.4616457461645746</v>
      </c>
      <c r="V661" t="n">
        <v>0.4463040446304045</v>
      </c>
      <c r="W661" t="n">
        <v>0.2942817294281729</v>
      </c>
      <c r="X661" t="n">
        <v>0.3093805524956549</v>
      </c>
      <c r="Y661" t="n">
        <v>7.481263394772321</v>
      </c>
      <c r="Z661" t="n">
        <v>0.5176957016819607</v>
      </c>
      <c r="AA661" t="n">
        <v>0</v>
      </c>
    </row>
    <row r="662">
      <c r="A662" t="inlineStr">
        <is>
          <t>2025-04-24</t>
        </is>
      </c>
      <c r="B662" t="inlineStr">
        <is>
          <t>NW</t>
        </is>
      </c>
      <c r="C662" t="inlineStr">
        <is>
          <t>NW</t>
        </is>
      </c>
      <c r="D662" t="n">
        <v>-14.00968523987875</v>
      </c>
      <c r="E662" t="n">
        <v>0.3335246567648552</v>
      </c>
      <c r="F662" t="n">
        <v>9.843546396717244</v>
      </c>
      <c r="G662" t="n">
        <v>0.7509386733416771</v>
      </c>
      <c r="H662" t="n">
        <v>0.7734668335419274</v>
      </c>
      <c r="I662" t="n">
        <v>0.5</v>
      </c>
      <c r="J662" t="n">
        <v>0.7097622027534418</v>
      </c>
      <c r="K662" t="n">
        <v>0.6677157174036119</v>
      </c>
      <c r="L662" t="b">
        <v>1</v>
      </c>
      <c r="M662" t="inlineStr">
        <is>
          <t>top_quartile_risk</t>
        </is>
      </c>
      <c r="N662" t="n">
        <v>36.89387120006177</v>
      </c>
      <c r="O662" t="n">
        <v>0</v>
      </c>
      <c r="P662" t="n">
        <v>1</v>
      </c>
      <c r="Q662" t="n">
        <v>14.00968523987875</v>
      </c>
      <c r="U662" t="n">
        <v>0.5</v>
      </c>
      <c r="V662" t="n">
        <v>0.5</v>
      </c>
      <c r="W662" t="n">
        <v>0.5</v>
      </c>
      <c r="X662" t="n">
        <v>0.3335246567648552</v>
      </c>
      <c r="Y662" t="n">
        <v>9.843546396717244</v>
      </c>
      <c r="Z662" t="n">
        <v>0.7097622027534418</v>
      </c>
      <c r="AA662" t="n">
        <v>0</v>
      </c>
    </row>
    <row r="663">
      <c r="A663" t="inlineStr">
        <is>
          <t>2025-04-25</t>
        </is>
      </c>
      <c r="B663" t="inlineStr">
        <is>
          <t>CW</t>
        </is>
      </c>
      <c r="C663" t="inlineStr">
        <is>
          <t>09:20+</t>
        </is>
      </c>
      <c r="D663" t="n">
        <v>34.55844913158283</v>
      </c>
      <c r="E663" t="n">
        <v>0.2674080638422633</v>
      </c>
      <c r="F663" t="n">
        <v>10.61667056896949</v>
      </c>
      <c r="G663" t="n">
        <v>0.3829787234042553</v>
      </c>
      <c r="H663" t="n">
        <v>0.851063829787234</v>
      </c>
      <c r="I663" t="n">
        <v>0.5220827522082753</v>
      </c>
      <c r="J663" t="n">
        <v>0.5980335717182509</v>
      </c>
      <c r="K663" t="n">
        <v>0.6677157174036119</v>
      </c>
      <c r="L663" t="b">
        <v>0</v>
      </c>
      <c r="N663" t="n">
        <v>50.90355643994008</v>
      </c>
      <c r="O663" t="n">
        <v>1</v>
      </c>
      <c r="P663" t="n">
        <v>0</v>
      </c>
      <c r="Q663" t="n">
        <v>0</v>
      </c>
      <c r="R663" t="n">
        <v>26.8922791726159</v>
      </c>
      <c r="S663" t="n">
        <v>3.199096725630425</v>
      </c>
      <c r="T663" t="n">
        <v>0.1756366829757915</v>
      </c>
      <c r="U663" t="n">
        <v>0.8800557880055788</v>
      </c>
      <c r="V663" t="n">
        <v>0.4937238493723849</v>
      </c>
      <c r="W663" t="n">
        <v>0.1924686192468619</v>
      </c>
      <c r="X663" t="n">
        <v>0.2674080638422633</v>
      </c>
      <c r="Y663" t="n">
        <v>10.61667056896948</v>
      </c>
      <c r="Z663" t="n">
        <v>0.5980335717182509</v>
      </c>
      <c r="AA663" t="n">
        <v>0</v>
      </c>
    </row>
    <row r="664">
      <c r="A664" t="inlineStr">
        <is>
          <t>2025-05-07</t>
        </is>
      </c>
      <c r="B664" t="inlineStr">
        <is>
          <t>CW</t>
        </is>
      </c>
      <c r="C664" t="inlineStr">
        <is>
          <t>09:18</t>
        </is>
      </c>
      <c r="D664" t="n">
        <v>10.39998482093288</v>
      </c>
      <c r="E664" t="n">
        <v>0.3382434767417304</v>
      </c>
      <c r="F664" t="n">
        <v>3.935347823032039</v>
      </c>
      <c r="G664" t="n">
        <v>0.7784730913642053</v>
      </c>
      <c r="H664" t="n">
        <v>0.04881101376720901</v>
      </c>
      <c r="I664" t="n">
        <v>0.5127847512784751</v>
      </c>
      <c r="J664" t="n">
        <v>0.4334705923082608</v>
      </c>
      <c r="K664" t="n">
        <v>0.6677157174036119</v>
      </c>
      <c r="L664" t="b">
        <v>0</v>
      </c>
      <c r="N664" t="n">
        <v>16.34510730835791</v>
      </c>
      <c r="O664" t="n">
        <v>0</v>
      </c>
      <c r="P664" t="n">
        <v>0</v>
      </c>
      <c r="Q664" t="n">
        <v>0</v>
      </c>
      <c r="R664" t="n">
        <v>8.868032590020666</v>
      </c>
      <c r="S664" t="n">
        <v>3.868269733403035</v>
      </c>
      <c r="T664" t="n">
        <v>0.2352326189231588</v>
      </c>
      <c r="U664" t="n">
        <v>0.4365411436541143</v>
      </c>
      <c r="V664" t="n">
        <v>0.5788005578800558</v>
      </c>
      <c r="W664" t="n">
        <v>0.5230125523012552</v>
      </c>
      <c r="X664" t="n">
        <v>0.3382434767417304</v>
      </c>
      <c r="Y664" t="n">
        <v>3.93534782303204</v>
      </c>
      <c r="Z664" t="n">
        <v>0.4334705923082608</v>
      </c>
      <c r="AA664" t="n">
        <v>0</v>
      </c>
    </row>
    <row r="665">
      <c r="A665" t="inlineStr">
        <is>
          <t>2025-05-09</t>
        </is>
      </c>
      <c r="B665" t="inlineStr">
        <is>
          <t>CW</t>
        </is>
      </c>
      <c r="C665" t="inlineStr">
        <is>
          <t>09:18</t>
        </is>
      </c>
      <c r="D665" t="n">
        <v>13.49177940799667</v>
      </c>
      <c r="E665" t="n">
        <v>0.3477948503705799</v>
      </c>
      <c r="F665" t="n">
        <v>7.924041752451213</v>
      </c>
      <c r="G665" t="n">
        <v>0.8085106382978723</v>
      </c>
      <c r="H665" t="n">
        <v>0.5269086357947435</v>
      </c>
      <c r="I665" t="n">
        <v>0.4728033472803347</v>
      </c>
      <c r="J665" t="n">
        <v>0.6287283790931133</v>
      </c>
      <c r="K665" t="n">
        <v>0.6677157174036119</v>
      </c>
      <c r="L665" t="b">
        <v>0</v>
      </c>
      <c r="N665" t="n">
        <v>5.945122487424669</v>
      </c>
      <c r="O665" t="n">
        <v>0</v>
      </c>
      <c r="P665" t="n">
        <v>0</v>
      </c>
      <c r="Q665" t="n">
        <v>0</v>
      </c>
      <c r="R665" t="n">
        <v>16.62149879852057</v>
      </c>
      <c r="S665" t="n">
        <v>3.863094145714822</v>
      </c>
      <c r="T665" t="n">
        <v>0.1468159295283455</v>
      </c>
      <c r="U665" t="n">
        <v>0.7391910739191074</v>
      </c>
      <c r="V665" t="n">
        <v>0.5774058577405857</v>
      </c>
      <c r="W665" t="n">
        <v>0.101813110181311</v>
      </c>
      <c r="X665" t="n">
        <v>0.34779485037058</v>
      </c>
      <c r="Y665" t="n">
        <v>7.924041752451212</v>
      </c>
      <c r="Z665" t="n">
        <v>0.6287283790931133</v>
      </c>
      <c r="AA665" t="n">
        <v>0</v>
      </c>
    </row>
    <row r="666">
      <c r="A666" t="inlineStr">
        <is>
          <t>2025-05-13</t>
        </is>
      </c>
      <c r="B666" t="inlineStr">
        <is>
          <t>CW</t>
        </is>
      </c>
      <c r="C666" t="inlineStr">
        <is>
          <t>09:20+</t>
        </is>
      </c>
      <c r="D666" t="n">
        <v>76.96062522951283</v>
      </c>
      <c r="E666" t="n">
        <v>0.3768411551176347</v>
      </c>
      <c r="F666" t="n">
        <v>9.905206595209615</v>
      </c>
      <c r="G666" t="n">
        <v>0.8923654568210263</v>
      </c>
      <c r="H666" t="n">
        <v>0.7822277847309136</v>
      </c>
      <c r="I666" t="n">
        <v>0.2896327289632729</v>
      </c>
      <c r="J666" t="n">
        <v>0.7277638424134305</v>
      </c>
      <c r="K666" t="n">
        <v>0.6677157174036119</v>
      </c>
      <c r="L666" t="b">
        <v>1</v>
      </c>
      <c r="M666" t="inlineStr">
        <is>
          <t>top_quartile_risk</t>
        </is>
      </c>
      <c r="N666" t="n">
        <v>0</v>
      </c>
      <c r="O666" t="n">
        <v>0</v>
      </c>
      <c r="P666" t="n">
        <v>0</v>
      </c>
      <c r="Q666" t="n">
        <v>0</v>
      </c>
      <c r="R666" t="n">
        <v>7.97410950704494</v>
      </c>
      <c r="S666" t="n">
        <v>1.159560333373612</v>
      </c>
      <c r="T666" t="n">
        <v>0.2174175625075505</v>
      </c>
      <c r="U666" t="n">
        <v>0.3863319386331939</v>
      </c>
      <c r="V666" t="n">
        <v>0.05718270571827057</v>
      </c>
      <c r="W666" t="n">
        <v>0.4253835425383543</v>
      </c>
      <c r="X666" t="n">
        <v>0.3768411551176346</v>
      </c>
      <c r="Y666" t="n">
        <v>9.905206595209616</v>
      </c>
      <c r="Z666" t="n">
        <v>0.7277638424134305</v>
      </c>
      <c r="AA666" t="n">
        <v>0</v>
      </c>
    </row>
    <row r="667">
      <c r="A667" t="inlineStr">
        <is>
          <t>2025-05-14</t>
        </is>
      </c>
      <c r="B667" t="inlineStr">
        <is>
          <t>NW</t>
        </is>
      </c>
      <c r="C667" t="inlineStr">
        <is>
          <t>NW</t>
        </is>
      </c>
      <c r="D667" t="n">
        <v>40.41040742392651</v>
      </c>
      <c r="E667" t="n">
        <v>0.4114986590648347</v>
      </c>
      <c r="F667" t="n">
        <v>12.46339827624787</v>
      </c>
      <c r="G667" t="n">
        <v>0.9586983729662077</v>
      </c>
      <c r="H667" t="n">
        <v>0.9424280350438048</v>
      </c>
      <c r="I667" t="n">
        <v>0.5</v>
      </c>
      <c r="J667" t="n">
        <v>0.860450563204005</v>
      </c>
      <c r="K667" t="n">
        <v>0.6677157174036119</v>
      </c>
      <c r="L667" t="b">
        <v>1</v>
      </c>
      <c r="M667" t="inlineStr">
        <is>
          <t>top_quartile_risk</t>
        </is>
      </c>
      <c r="N667" t="n">
        <v>0</v>
      </c>
      <c r="O667" t="n">
        <v>0</v>
      </c>
      <c r="P667" t="n">
        <v>0</v>
      </c>
      <c r="Q667" t="n">
        <v>0</v>
      </c>
      <c r="U667" t="n">
        <v>0.5</v>
      </c>
      <c r="V667" t="n">
        <v>0.5</v>
      </c>
      <c r="W667" t="n">
        <v>0.5</v>
      </c>
      <c r="X667" t="n">
        <v>0.4114986590648346</v>
      </c>
      <c r="Y667" t="n">
        <v>12.46339827624786</v>
      </c>
      <c r="Z667" t="n">
        <v>0.860450563204005</v>
      </c>
      <c r="AA667" t="n">
        <v>0</v>
      </c>
    </row>
    <row r="668">
      <c r="A668" t="inlineStr">
        <is>
          <t>2025-05-15</t>
        </is>
      </c>
      <c r="B668" t="inlineStr">
        <is>
          <t>CW</t>
        </is>
      </c>
      <c r="C668" t="inlineStr">
        <is>
          <t>09:18</t>
        </is>
      </c>
      <c r="D668" t="n">
        <v>-42.26209259841087</v>
      </c>
      <c r="E668" t="n">
        <v>0.3302381682304805</v>
      </c>
      <c r="F668" t="n">
        <v>8.575564208144581</v>
      </c>
      <c r="G668" t="n">
        <v>0.7334167709637046</v>
      </c>
      <c r="H668" t="n">
        <v>0.6170212765957447</v>
      </c>
      <c r="I668" t="n">
        <v>0.709437470943747</v>
      </c>
      <c r="J668" t="n">
        <v>0.6820627132125292</v>
      </c>
      <c r="K668" t="n">
        <v>0.6677157174036119</v>
      </c>
      <c r="L668" t="b">
        <v>1</v>
      </c>
      <c r="M668" t="inlineStr">
        <is>
          <t>top_quartile_risk</t>
        </is>
      </c>
      <c r="N668" t="n">
        <v>0</v>
      </c>
      <c r="O668" t="n">
        <v>0</v>
      </c>
      <c r="P668" t="n">
        <v>1</v>
      </c>
      <c r="Q668" t="n">
        <v>42.26209259841087</v>
      </c>
      <c r="R668" t="n">
        <v>11.29902169981152</v>
      </c>
      <c r="S668" t="n">
        <v>8.366141732283463</v>
      </c>
      <c r="T668" t="n">
        <v>0.2952755905511829</v>
      </c>
      <c r="U668" t="n">
        <v>0.5592747559274756</v>
      </c>
      <c r="V668" t="n">
        <v>0.8340306834030683</v>
      </c>
      <c r="W668" t="n">
        <v>0.7350069735006973</v>
      </c>
      <c r="X668" t="n">
        <v>0.3302381682304805</v>
      </c>
      <c r="Y668" t="n">
        <v>8.575564208144584</v>
      </c>
      <c r="Z668" t="n">
        <v>0.6820627132125292</v>
      </c>
      <c r="AA668" t="n">
        <v>0</v>
      </c>
    </row>
    <row r="669">
      <c r="A669" t="inlineStr">
        <is>
          <t>2025-05-16</t>
        </is>
      </c>
      <c r="B669" t="inlineStr">
        <is>
          <t>CW</t>
        </is>
      </c>
      <c r="C669" t="inlineStr">
        <is>
          <t>09:16</t>
        </is>
      </c>
      <c r="D669" t="n">
        <v>29.72733463050336</v>
      </c>
      <c r="E669" t="n">
        <v>0.2271935334585608</v>
      </c>
      <c r="F669" t="n">
        <v>6.05201391890511</v>
      </c>
      <c r="G669" t="n">
        <v>0.165206508135169</v>
      </c>
      <c r="H669" t="n">
        <v>0.2728410513141427</v>
      </c>
      <c r="I669" t="n">
        <v>0.6341236634123664</v>
      </c>
      <c r="J669" t="n">
        <v>0.3020437564621979</v>
      </c>
      <c r="K669" t="n">
        <v>0.6677157174036119</v>
      </c>
      <c r="L669" t="b">
        <v>0</v>
      </c>
      <c r="N669" t="n">
        <v>42.26209259841016</v>
      </c>
      <c r="O669" t="n">
        <v>1</v>
      </c>
      <c r="P669" t="n">
        <v>0</v>
      </c>
      <c r="Q669" t="n">
        <v>0</v>
      </c>
      <c r="R669" t="n">
        <v>18.31395755235996</v>
      </c>
      <c r="S669" t="n">
        <v>3.984365149413696</v>
      </c>
      <c r="T669" t="n">
        <v>0.2395662589837246</v>
      </c>
      <c r="U669" t="n">
        <v>0.7670850767085077</v>
      </c>
      <c r="V669" t="n">
        <v>0.595536959553696</v>
      </c>
      <c r="W669" t="n">
        <v>0.5397489539748954</v>
      </c>
      <c r="X669" t="n">
        <v>0.2271935334585608</v>
      </c>
      <c r="Y669" t="n">
        <v>6.052013918905112</v>
      </c>
      <c r="Z669" t="n">
        <v>0.3020437564621979</v>
      </c>
      <c r="AA669" t="n">
        <v>5.551115123125783e-17</v>
      </c>
    </row>
    <row r="670">
      <c r="A670" t="inlineStr">
        <is>
          <t>2025-05-19</t>
        </is>
      </c>
      <c r="B670" t="inlineStr">
        <is>
          <t>CW</t>
        </is>
      </c>
      <c r="C670" t="inlineStr">
        <is>
          <t>09:17</t>
        </is>
      </c>
      <c r="D670" t="n">
        <v>44.28409625499736</v>
      </c>
      <c r="E670" t="n">
        <v>0.3376498354348971</v>
      </c>
      <c r="F670" t="n">
        <v>8.431783303242128</v>
      </c>
      <c r="G670" t="n">
        <v>0.7747183979974969</v>
      </c>
      <c r="H670" t="n">
        <v>0.5957446808510638</v>
      </c>
      <c r="I670" t="n">
        <v>0.4128312412831242</v>
      </c>
      <c r="J670" t="n">
        <v>0.6307514797960492</v>
      </c>
      <c r="K670" t="n">
        <v>0.6677157174036119</v>
      </c>
      <c r="L670" t="b">
        <v>0</v>
      </c>
      <c r="N670" t="n">
        <v>12.53475796790735</v>
      </c>
      <c r="O670" t="n">
        <v>0</v>
      </c>
      <c r="P670" t="n">
        <v>0</v>
      </c>
      <c r="Q670" t="n">
        <v>0</v>
      </c>
      <c r="R670" t="n">
        <v>6.880894516287408</v>
      </c>
      <c r="S670" t="n">
        <v>2.177989326409927</v>
      </c>
      <c r="T670" t="n">
        <v>0.2596278667243552</v>
      </c>
      <c r="U670" t="n">
        <v>0.299860529986053</v>
      </c>
      <c r="V670" t="n">
        <v>0.3096234309623431</v>
      </c>
      <c r="W670" t="n">
        <v>0.6290097629009763</v>
      </c>
      <c r="X670" t="n">
        <v>0.3376498354348971</v>
      </c>
      <c r="Y670" t="n">
        <v>8.431783303242129</v>
      </c>
      <c r="Z670" t="n">
        <v>0.6307514797960492</v>
      </c>
      <c r="AA670" t="n">
        <v>0</v>
      </c>
    </row>
    <row r="671">
      <c r="A671" t="inlineStr">
        <is>
          <t>2025-05-20</t>
        </is>
      </c>
      <c r="B671" t="inlineStr">
        <is>
          <t>CW</t>
        </is>
      </c>
      <c r="C671" t="inlineStr">
        <is>
          <t>09:17</t>
        </is>
      </c>
      <c r="D671" t="n">
        <v>-15.72383370653993</v>
      </c>
      <c r="E671" t="n">
        <v>0.263979504663708</v>
      </c>
      <c r="F671" t="n">
        <v>7.056512094464451</v>
      </c>
      <c r="G671" t="n">
        <v>0.3591989987484355</v>
      </c>
      <c r="H671" t="n">
        <v>0.4242803504380476</v>
      </c>
      <c r="I671" t="n">
        <v>0.3774988377498838</v>
      </c>
      <c r="J671" t="n">
        <v>0.3888915072245701</v>
      </c>
      <c r="K671" t="n">
        <v>0.6677157174036119</v>
      </c>
      <c r="L671" t="b">
        <v>0</v>
      </c>
      <c r="N671" t="n">
        <v>0</v>
      </c>
      <c r="O671" t="n">
        <v>0</v>
      </c>
      <c r="P671" t="n">
        <v>1</v>
      </c>
      <c r="Q671" t="n">
        <v>15.72383370653993</v>
      </c>
      <c r="R671" t="n">
        <v>6.202059083617216</v>
      </c>
      <c r="S671" t="n">
        <v>2.882320543418404</v>
      </c>
      <c r="T671" t="n">
        <v>0.2203047549109685</v>
      </c>
      <c r="U671" t="n">
        <v>0.2384937238493724</v>
      </c>
      <c r="V671" t="n">
        <v>0.4546722454672246</v>
      </c>
      <c r="W671" t="n">
        <v>0.4393305439330544</v>
      </c>
      <c r="X671" t="n">
        <v>0.263979504663708</v>
      </c>
      <c r="Y671" t="n">
        <v>7.056512094464454</v>
      </c>
      <c r="Z671" t="n">
        <v>0.3888915072245701</v>
      </c>
      <c r="AA671" t="n">
        <v>-5.551115123125783e-17</v>
      </c>
    </row>
    <row r="672">
      <c r="A672" t="inlineStr">
        <is>
          <t>2025-05-21</t>
        </is>
      </c>
      <c r="B672" t="inlineStr">
        <is>
          <t>CW</t>
        </is>
      </c>
      <c r="C672" t="inlineStr">
        <is>
          <t>09:17</t>
        </is>
      </c>
      <c r="D672" t="n">
        <v>-33.4635507142994</v>
      </c>
      <c r="E672" t="n">
        <v>0.2570546322103265</v>
      </c>
      <c r="F672" t="n">
        <v>7.954549809335091</v>
      </c>
      <c r="G672" t="n">
        <v>0.3128911138923655</v>
      </c>
      <c r="H672" t="n">
        <v>0.5356695869837297</v>
      </c>
      <c r="I672" t="n">
        <v>0.5932124593212459</v>
      </c>
      <c r="J672" t="n">
        <v>0.4580667722146872</v>
      </c>
      <c r="K672" t="n">
        <v>0.6677157174036119</v>
      </c>
      <c r="L672" t="b">
        <v>0</v>
      </c>
      <c r="N672" t="n">
        <v>15.72383370653915</v>
      </c>
      <c r="O672" t="n">
        <v>1</v>
      </c>
      <c r="P672" t="n">
        <v>1</v>
      </c>
      <c r="Q672" t="n">
        <v>33.4635507142994</v>
      </c>
      <c r="R672" t="n">
        <v>13.43066520223901</v>
      </c>
      <c r="S672" t="n">
        <v>2.855200543847716</v>
      </c>
      <c r="T672" t="n">
        <v>0.2719238613188346</v>
      </c>
      <c r="U672" t="n">
        <v>0.6596931659693166</v>
      </c>
      <c r="V672" t="n">
        <v>0.4504881450488145</v>
      </c>
      <c r="W672" t="n">
        <v>0.6694560669456067</v>
      </c>
      <c r="X672" t="n">
        <v>0.2570546322103265</v>
      </c>
      <c r="Y672" t="n">
        <v>7.954549809335093</v>
      </c>
      <c r="Z672" t="n">
        <v>0.4580667722146872</v>
      </c>
      <c r="AA672" t="n">
        <v>0</v>
      </c>
    </row>
    <row r="673">
      <c r="A673" t="inlineStr">
        <is>
          <t>2025-05-22</t>
        </is>
      </c>
      <c r="B673" t="inlineStr">
        <is>
          <t>CW</t>
        </is>
      </c>
      <c r="C673" t="inlineStr">
        <is>
          <t>09:17</t>
        </is>
      </c>
      <c r="D673" t="n">
        <v>71.25590450189777</v>
      </c>
      <c r="E673" t="n">
        <v>0.2911921302501168</v>
      </c>
      <c r="F673" t="n">
        <v>11.00066496393709</v>
      </c>
      <c r="G673" t="n">
        <v>0.5294117647058824</v>
      </c>
      <c r="H673" t="n">
        <v>0.8798498122653317</v>
      </c>
      <c r="I673" t="n">
        <v>0.6592282659228266</v>
      </c>
      <c r="J673" t="n">
        <v>0.695550283973051</v>
      </c>
      <c r="K673" t="n">
        <v>0.6677157174036119</v>
      </c>
      <c r="L673" t="b">
        <v>1</v>
      </c>
      <c r="M673" t="inlineStr">
        <is>
          <t>top_quartile_risk</t>
        </is>
      </c>
      <c r="N673" t="n">
        <v>49.1873844208385</v>
      </c>
      <c r="O673" t="n">
        <v>2</v>
      </c>
      <c r="P673" t="n">
        <v>0</v>
      </c>
      <c r="Q673" t="n">
        <v>0</v>
      </c>
      <c r="R673" t="n">
        <v>9.404897032593126</v>
      </c>
      <c r="S673" t="n">
        <v>7.448453608247431</v>
      </c>
      <c r="T673" t="n">
        <v>0.2835051546391737</v>
      </c>
      <c r="U673" t="n">
        <v>0.4700139470013947</v>
      </c>
      <c r="V673" t="n">
        <v>0.803347280334728</v>
      </c>
      <c r="W673" t="n">
        <v>0.704323570432357</v>
      </c>
      <c r="X673" t="n">
        <v>0.2911921302501168</v>
      </c>
      <c r="Y673" t="n">
        <v>11.00066496393709</v>
      </c>
      <c r="Z673" t="n">
        <v>0.695550283973051</v>
      </c>
      <c r="AA673" t="n">
        <v>0</v>
      </c>
    </row>
    <row r="674">
      <c r="A674" t="inlineStr">
        <is>
          <t>2025-05-23</t>
        </is>
      </c>
      <c r="B674" t="inlineStr">
        <is>
          <t>CW</t>
        </is>
      </c>
      <c r="C674" t="inlineStr">
        <is>
          <t>09:18</t>
        </is>
      </c>
      <c r="D674" t="n">
        <v>-38.79295930090986</v>
      </c>
      <c r="E674" t="n">
        <v>0.2463977108483268</v>
      </c>
      <c r="F674" t="n">
        <v>6.491800601105398</v>
      </c>
      <c r="G674" t="n">
        <v>0.2503128911138924</v>
      </c>
      <c r="H674" t="n">
        <v>0.3404255319148936</v>
      </c>
      <c r="I674" t="n">
        <v>0.2622036262203626</v>
      </c>
      <c r="J674" t="n">
        <v>0.2887360944555869</v>
      </c>
      <c r="K674" t="n">
        <v>0.6677157174036119</v>
      </c>
      <c r="L674" t="b">
        <v>0</v>
      </c>
      <c r="N674" t="n">
        <v>0</v>
      </c>
      <c r="O674" t="n">
        <v>0</v>
      </c>
      <c r="P674" t="n">
        <v>1</v>
      </c>
      <c r="Q674" t="n">
        <v>38.79295930090986</v>
      </c>
      <c r="R674" t="n">
        <v>9.556427559844044</v>
      </c>
      <c r="S674" t="n">
        <v>1.075544174135721</v>
      </c>
      <c r="T674" t="n">
        <v>0.1920614596670934</v>
      </c>
      <c r="U674" t="n">
        <v>0.4797768479776848</v>
      </c>
      <c r="V674" t="n">
        <v>0.03765690376569038</v>
      </c>
      <c r="W674" t="n">
        <v>0.2691771269177127</v>
      </c>
      <c r="X674" t="n">
        <v>0.2463977108483268</v>
      </c>
      <c r="Y674" t="n">
        <v>6.4918006011054</v>
      </c>
      <c r="Z674" t="n">
        <v>0.2887360944555869</v>
      </c>
      <c r="AA674" t="n">
        <v>0</v>
      </c>
    </row>
    <row r="675">
      <c r="A675" t="inlineStr">
        <is>
          <t>2025-05-26</t>
        </is>
      </c>
      <c r="B675" t="inlineStr">
        <is>
          <t>CW</t>
        </is>
      </c>
      <c r="C675" t="inlineStr">
        <is>
          <t>09:18</t>
        </is>
      </c>
      <c r="D675" t="n">
        <v>-35.34945723525694</v>
      </c>
      <c r="E675" t="n">
        <v>0.3592274146923352</v>
      </c>
      <c r="F675" t="n">
        <v>10.09545556944297</v>
      </c>
      <c r="G675" t="n">
        <v>0.8460575719649562</v>
      </c>
      <c r="H675" t="n">
        <v>0.7997496871088861</v>
      </c>
      <c r="I675" t="n">
        <v>0.2208275220827522</v>
      </c>
      <c r="J675" t="n">
        <v>0.7024884080460874</v>
      </c>
      <c r="K675" t="n">
        <v>0.6677157174036119</v>
      </c>
      <c r="L675" t="b">
        <v>1</v>
      </c>
      <c r="M675" t="inlineStr">
        <is>
          <t>top_quartile_risk</t>
        </is>
      </c>
      <c r="N675" t="n">
        <v>38.7929593009103</v>
      </c>
      <c r="O675" t="n">
        <v>1</v>
      </c>
      <c r="P675" t="n">
        <v>1</v>
      </c>
      <c r="Q675" t="n">
        <v>35.34945723525694</v>
      </c>
      <c r="R675" t="n">
        <v>7.131356795563196</v>
      </c>
      <c r="S675" t="n">
        <v>1.623733365889385</v>
      </c>
      <c r="T675" t="n">
        <v>0.1709193016725716</v>
      </c>
      <c r="U675" t="n">
        <v>0.3249651324965133</v>
      </c>
      <c r="V675" t="n">
        <v>0.1673640167364017</v>
      </c>
      <c r="W675" t="n">
        <v>0.1701534170153417</v>
      </c>
      <c r="X675" t="n">
        <v>0.3592274146923352</v>
      </c>
      <c r="Y675" t="n">
        <v>10.09545556944297</v>
      </c>
      <c r="Z675" t="n">
        <v>0.7024884080460874</v>
      </c>
      <c r="AA675" t="n">
        <v>0</v>
      </c>
    </row>
    <row r="676">
      <c r="A676" t="inlineStr">
        <is>
          <t>2025-05-27</t>
        </is>
      </c>
      <c r="B676" t="inlineStr">
        <is>
          <t>CW</t>
        </is>
      </c>
      <c r="C676" t="inlineStr">
        <is>
          <t>09:16</t>
        </is>
      </c>
      <c r="D676" t="n">
        <v>-42.7131791844163</v>
      </c>
      <c r="E676" t="n">
        <v>0.2217823432191645</v>
      </c>
      <c r="F676" t="n">
        <v>6.378328232522787</v>
      </c>
      <c r="G676" t="n">
        <v>0.1514392991239049</v>
      </c>
      <c r="H676" t="n">
        <v>0.3241551939924906</v>
      </c>
      <c r="I676" t="n">
        <v>0.7861459786145978</v>
      </c>
      <c r="J676" t="n">
        <v>0.3474669929694778</v>
      </c>
      <c r="K676" t="n">
        <v>0.6677157174036119</v>
      </c>
      <c r="L676" t="b">
        <v>0</v>
      </c>
      <c r="N676" t="n">
        <v>74.14241653616773</v>
      </c>
      <c r="O676" t="n">
        <v>2</v>
      </c>
      <c r="P676" t="n">
        <v>1</v>
      </c>
      <c r="Q676" t="n">
        <v>42.7131791844163</v>
      </c>
      <c r="R676" t="n">
        <v>39.04637884403515</v>
      </c>
      <c r="S676" t="n">
        <v>8.592193177822068</v>
      </c>
      <c r="T676" t="n">
        <v>0.2461610596647481</v>
      </c>
      <c r="U676" t="n">
        <v>0.9470013947001394</v>
      </c>
      <c r="V676" t="n">
        <v>0.8423988842398884</v>
      </c>
      <c r="W676" t="n">
        <v>0.5690376569037657</v>
      </c>
      <c r="X676" t="n">
        <v>0.2217823432191645</v>
      </c>
      <c r="Y676" t="n">
        <v>6.378328232522787</v>
      </c>
      <c r="Z676" t="n">
        <v>0.3474669929694778</v>
      </c>
      <c r="AA676" t="n">
        <v>0</v>
      </c>
    </row>
    <row r="677">
      <c r="A677" t="inlineStr">
        <is>
          <t>2025-05-28</t>
        </is>
      </c>
      <c r="B677" t="inlineStr">
        <is>
          <t>CW</t>
        </is>
      </c>
      <c r="C677" t="inlineStr">
        <is>
          <t>09:16</t>
        </is>
      </c>
      <c r="D677" t="n">
        <v>81.45020438955341</v>
      </c>
      <c r="E677" t="n">
        <v>0.2082275527086238</v>
      </c>
      <c r="F677" t="n">
        <v>7.440849538800731</v>
      </c>
      <c r="G677" t="n">
        <v>0.1188986232790989</v>
      </c>
      <c r="H677" t="n">
        <v>0.4718397997496871</v>
      </c>
      <c r="I677" t="n">
        <v>0.8386796838679684</v>
      </c>
      <c r="J677" t="n">
        <v>0.4040313059851081</v>
      </c>
      <c r="K677" t="n">
        <v>0.6677157174036119</v>
      </c>
      <c r="L677" t="b">
        <v>0</v>
      </c>
      <c r="N677" t="n">
        <v>116.8555957205845</v>
      </c>
      <c r="O677" t="n">
        <v>3</v>
      </c>
      <c r="P677" t="n">
        <v>0</v>
      </c>
      <c r="Q677" t="n">
        <v>0</v>
      </c>
      <c r="R677" t="n">
        <v>36.98577981374272</v>
      </c>
      <c r="S677" t="n">
        <v>14.20020376974019</v>
      </c>
      <c r="T677" t="n">
        <v>0.2674477840040782</v>
      </c>
      <c r="U677" t="n">
        <v>0.9386331938633193</v>
      </c>
      <c r="V677" t="n">
        <v>0.9205020920502092</v>
      </c>
      <c r="W677" t="n">
        <v>0.6569037656903766</v>
      </c>
      <c r="X677" t="n">
        <v>0.2082275527086238</v>
      </c>
      <c r="Y677" t="n">
        <v>7.440849538800733</v>
      </c>
      <c r="Z677" t="n">
        <v>0.4040313059851081</v>
      </c>
      <c r="AA677" t="n">
        <v>-5.551115123125783e-17</v>
      </c>
    </row>
    <row r="678">
      <c r="A678" t="inlineStr">
        <is>
          <t>2025-05-29</t>
        </is>
      </c>
      <c r="B678" t="inlineStr">
        <is>
          <t>CW</t>
        </is>
      </c>
      <c r="C678" t="inlineStr">
        <is>
          <t>09:16</t>
        </is>
      </c>
      <c r="D678" t="n">
        <v>47.61312284664527</v>
      </c>
      <c r="E678" t="n">
        <v>0.1697342089819501</v>
      </c>
      <c r="F678" t="n">
        <v>5.295191196962598</v>
      </c>
      <c r="G678" t="n">
        <v>0.04005006257822278</v>
      </c>
      <c r="H678" t="n">
        <v>0.1689612015018774</v>
      </c>
      <c r="I678" t="n">
        <v>0.894467689446769</v>
      </c>
      <c r="J678" t="n">
        <v>0.2624980435213938</v>
      </c>
      <c r="K678" t="n">
        <v>0.6677157174036119</v>
      </c>
      <c r="L678" t="b">
        <v>0</v>
      </c>
      <c r="N678" t="n">
        <v>35.40539133103084</v>
      </c>
      <c r="O678" t="n">
        <v>0</v>
      </c>
      <c r="P678" t="n">
        <v>0</v>
      </c>
      <c r="Q678" t="n">
        <v>0</v>
      </c>
      <c r="R678" t="n">
        <v>35.26515136301131</v>
      </c>
      <c r="S678" t="n">
        <v>17.86310517529215</v>
      </c>
      <c r="T678" t="n">
        <v>0.3338898163605978</v>
      </c>
      <c r="U678" t="n">
        <v>0.9274755927475593</v>
      </c>
      <c r="V678" t="n">
        <v>0.9525801952580195</v>
      </c>
      <c r="W678" t="n">
        <v>0.803347280334728</v>
      </c>
      <c r="X678" t="n">
        <v>0.1697342089819501</v>
      </c>
      <c r="Y678" t="n">
        <v>5.295191196962599</v>
      </c>
      <c r="Z678" t="n">
        <v>0.2624980435213938</v>
      </c>
      <c r="AA678" t="n">
        <v>5.551115123125783e-17</v>
      </c>
    </row>
    <row r="679">
      <c r="A679" t="inlineStr">
        <is>
          <t>2025-06-02</t>
        </is>
      </c>
      <c r="B679" t="inlineStr">
        <is>
          <t>CW</t>
        </is>
      </c>
      <c r="C679" t="inlineStr">
        <is>
          <t>09:16</t>
        </is>
      </c>
      <c r="D679" t="n">
        <v>52.8421067723564</v>
      </c>
      <c r="E679" t="n">
        <v>0.2535299373303473</v>
      </c>
      <c r="F679" t="n">
        <v>6.973195353404567</v>
      </c>
      <c r="G679" t="n">
        <v>0.2916145181476846</v>
      </c>
      <c r="H679" t="n">
        <v>0.4130162703379224</v>
      </c>
      <c r="I679" t="n">
        <v>0.8056717805671781</v>
      </c>
      <c r="J679" t="n">
        <v>0.4429866715076785</v>
      </c>
      <c r="K679" t="n">
        <v>0.6677157174036119</v>
      </c>
      <c r="L679" t="b">
        <v>0</v>
      </c>
      <c r="N679" t="n">
        <v>0</v>
      </c>
      <c r="O679" t="n">
        <v>0</v>
      </c>
      <c r="P679" t="n">
        <v>0</v>
      </c>
      <c r="Q679" t="n">
        <v>0</v>
      </c>
      <c r="R679" t="n">
        <v>60.78749375053319</v>
      </c>
      <c r="S679" t="n">
        <v>6.006419073819346</v>
      </c>
      <c r="T679" t="n">
        <v>0.2751031636863863</v>
      </c>
      <c r="U679" t="n">
        <v>0.99302649930265</v>
      </c>
      <c r="V679" t="n">
        <v>0.7433751743375174</v>
      </c>
      <c r="W679" t="n">
        <v>0.6806136680613668</v>
      </c>
      <c r="X679" t="n">
        <v>0.2535299373303473</v>
      </c>
      <c r="Y679" t="n">
        <v>6.973195353404561</v>
      </c>
      <c r="Z679" t="n">
        <v>0.4429866715076785</v>
      </c>
      <c r="AA679" t="n">
        <v>-5.551115123125783e-17</v>
      </c>
    </row>
    <row r="680">
      <c r="A680" t="inlineStr">
        <is>
          <t>2025-06-03</t>
        </is>
      </c>
      <c r="B680" t="inlineStr">
        <is>
          <t>CW</t>
        </is>
      </c>
      <c r="C680" t="inlineStr">
        <is>
          <t>09:17</t>
        </is>
      </c>
      <c r="D680" t="n">
        <v>72.47556915452192</v>
      </c>
      <c r="E680" t="n">
        <v>0.2283826736457631</v>
      </c>
      <c r="F680" t="n">
        <v>8.518217758776393</v>
      </c>
      <c r="G680" t="n">
        <v>0.1664580725907384</v>
      </c>
      <c r="H680" t="n">
        <v>0.6070087609511889</v>
      </c>
      <c r="I680" t="n">
        <v>0.7094374709437471</v>
      </c>
      <c r="J680" t="n">
        <v>0.4512742276055204</v>
      </c>
      <c r="K680" t="n">
        <v>0.6677157174036119</v>
      </c>
      <c r="L680" t="b">
        <v>0</v>
      </c>
      <c r="N680" t="n">
        <v>0</v>
      </c>
      <c r="O680" t="n">
        <v>0</v>
      </c>
      <c r="P680" t="n">
        <v>0</v>
      </c>
      <c r="Q680" t="n">
        <v>0</v>
      </c>
      <c r="R680" t="n">
        <v>32.73011594946632</v>
      </c>
      <c r="S680" t="n">
        <v>10.89707694030686</v>
      </c>
      <c r="T680" t="n">
        <v>0.2015903236644653</v>
      </c>
      <c r="U680" t="n">
        <v>0.9177126917712691</v>
      </c>
      <c r="V680" t="n">
        <v>0.8926080892608089</v>
      </c>
      <c r="W680" t="n">
        <v>0.3179916317991632</v>
      </c>
      <c r="X680" t="n">
        <v>0.2283826736457631</v>
      </c>
      <c r="Y680" t="n">
        <v>8.518217758776393</v>
      </c>
      <c r="Z680" t="n">
        <v>0.4512742276055204</v>
      </c>
      <c r="AA680" t="n">
        <v>0</v>
      </c>
    </row>
    <row r="681">
      <c r="A681" t="inlineStr">
        <is>
          <t>2025-06-04</t>
        </is>
      </c>
      <c r="B681" t="inlineStr">
        <is>
          <t>CW</t>
        </is>
      </c>
      <c r="C681" t="inlineStr">
        <is>
          <t>09:17</t>
        </is>
      </c>
      <c r="D681" t="n">
        <v>54.59913452586727</v>
      </c>
      <c r="E681" t="n">
        <v>0.2313487590535934</v>
      </c>
      <c r="F681" t="n">
        <v>4.58662113972872</v>
      </c>
      <c r="G681" t="n">
        <v>0.178973717146433</v>
      </c>
      <c r="H681" t="n">
        <v>0.09136420525657071</v>
      </c>
      <c r="I681" t="n">
        <v>0.5806601580660158</v>
      </c>
      <c r="J681" t="n">
        <v>0.2242672005744047</v>
      </c>
      <c r="K681" t="n">
        <v>0.6677157174036119</v>
      </c>
      <c r="L681" t="b">
        <v>0</v>
      </c>
      <c r="N681" t="n">
        <v>0</v>
      </c>
      <c r="O681" t="n">
        <v>0</v>
      </c>
      <c r="P681" t="n">
        <v>0</v>
      </c>
      <c r="Q681" t="n">
        <v>0</v>
      </c>
      <c r="R681" t="n">
        <v>6.401801446603895</v>
      </c>
      <c r="S681" t="n">
        <v>10.18151470895057</v>
      </c>
      <c r="T681" t="n">
        <v>0.2503651157938696</v>
      </c>
      <c r="U681" t="n">
        <v>0.2649930264993027</v>
      </c>
      <c r="V681" t="n">
        <v>0.8870292887029289</v>
      </c>
      <c r="W681" t="n">
        <v>0.5899581589958159</v>
      </c>
      <c r="X681" t="n">
        <v>0.2313487590535933</v>
      </c>
      <c r="Y681" t="n">
        <v>4.58662113972872</v>
      </c>
      <c r="Z681" t="n">
        <v>0.2242672005744047</v>
      </c>
      <c r="AA681" t="n">
        <v>0</v>
      </c>
    </row>
    <row r="682">
      <c r="A682" t="inlineStr">
        <is>
          <t>2025-06-05</t>
        </is>
      </c>
      <c r="B682" t="inlineStr">
        <is>
          <t>CW</t>
        </is>
      </c>
      <c r="C682" t="inlineStr">
        <is>
          <t>09:20+</t>
        </is>
      </c>
      <c r="D682" t="n">
        <v>-37.30747621876021</v>
      </c>
      <c r="E682" t="n">
        <v>0.3573305627475709</v>
      </c>
      <c r="F682" t="n">
        <v>10.7237354661435</v>
      </c>
      <c r="G682" t="n">
        <v>0.83729662077597</v>
      </c>
      <c r="H682" t="n">
        <v>0.8585732165206508</v>
      </c>
      <c r="I682" t="n">
        <v>0.5378893537889354</v>
      </c>
      <c r="J682" t="n">
        <v>0.7859258056764354</v>
      </c>
      <c r="K682" t="n">
        <v>0.6677157174036119</v>
      </c>
      <c r="L682" t="b">
        <v>1</v>
      </c>
      <c r="M682" t="inlineStr">
        <is>
          <t>top_quartile_risk</t>
        </is>
      </c>
      <c r="N682" t="n">
        <v>0</v>
      </c>
      <c r="O682" t="n">
        <v>0</v>
      </c>
      <c r="P682" t="n">
        <v>1</v>
      </c>
      <c r="Q682" t="n">
        <v>37.30747621876021</v>
      </c>
      <c r="R682" t="n">
        <v>10.36388994034632</v>
      </c>
      <c r="S682" t="n">
        <v>9.650400582665696</v>
      </c>
      <c r="T682" t="n">
        <v>0.1820830298616272</v>
      </c>
      <c r="U682" t="n">
        <v>0.5230125523012552</v>
      </c>
      <c r="V682" t="n">
        <v>0.8716875871687587</v>
      </c>
      <c r="W682" t="n">
        <v>0.2189679218967922</v>
      </c>
      <c r="X682" t="n">
        <v>0.3573305627475709</v>
      </c>
      <c r="Y682" t="n">
        <v>10.7237354661435</v>
      </c>
      <c r="Z682" t="n">
        <v>0.7859258056764354</v>
      </c>
      <c r="AA682" t="n">
        <v>0</v>
      </c>
    </row>
    <row r="683">
      <c r="A683" t="inlineStr">
        <is>
          <t>2025-06-09</t>
        </is>
      </c>
      <c r="B683" t="inlineStr">
        <is>
          <t>CW</t>
        </is>
      </c>
      <c r="C683" t="inlineStr">
        <is>
          <t>09:17</t>
        </is>
      </c>
      <c r="D683" t="n">
        <v>39.85061799817805</v>
      </c>
      <c r="E683" t="n">
        <v>0.3023610702249273</v>
      </c>
      <c r="F683" t="n">
        <v>7.421218267233627</v>
      </c>
      <c r="G683" t="n">
        <v>0.5794743429286608</v>
      </c>
      <c r="H683" t="n">
        <v>0.4655819774718398</v>
      </c>
      <c r="I683" t="n">
        <v>0.3616922361692236</v>
      </c>
      <c r="J683" t="n">
        <v>0.490360975394045</v>
      </c>
      <c r="K683" t="n">
        <v>0.6677157174036119</v>
      </c>
      <c r="L683" t="b">
        <v>0</v>
      </c>
      <c r="N683" t="n">
        <v>37.30747621876071</v>
      </c>
      <c r="O683" t="n">
        <v>1</v>
      </c>
      <c r="P683" t="n">
        <v>0</v>
      </c>
      <c r="Q683" t="n">
        <v>0</v>
      </c>
      <c r="R683" t="n">
        <v>5.949467333642582</v>
      </c>
      <c r="S683" t="n">
        <v>2.722152690863576</v>
      </c>
      <c r="T683" t="n">
        <v>0.2190237797246611</v>
      </c>
      <c r="U683" t="n">
        <v>0.2231520223152022</v>
      </c>
      <c r="V683" t="n">
        <v>0.4281729428172943</v>
      </c>
      <c r="W683" t="n">
        <v>0.4337517433751744</v>
      </c>
      <c r="X683" t="n">
        <v>0.3023610702249273</v>
      </c>
      <c r="Y683" t="n">
        <v>7.421218267233628</v>
      </c>
      <c r="Z683" t="n">
        <v>0.490360975394045</v>
      </c>
      <c r="AA683" t="n">
        <v>0</v>
      </c>
    </row>
    <row r="684">
      <c r="A684" t="inlineStr">
        <is>
          <t>2025-06-10</t>
        </is>
      </c>
      <c r="B684" t="inlineStr">
        <is>
          <t>CW</t>
        </is>
      </c>
      <c r="C684" t="inlineStr">
        <is>
          <t>09:17</t>
        </is>
      </c>
      <c r="D684" t="n">
        <v>47.64654785071149</v>
      </c>
      <c r="E684" t="n">
        <v>0.2568076868343395</v>
      </c>
      <c r="F684" t="n">
        <v>6.048921339442759</v>
      </c>
      <c r="G684" t="n">
        <v>0.3078848560700876</v>
      </c>
      <c r="H684" t="n">
        <v>0.2715894868585732</v>
      </c>
      <c r="I684" t="n">
        <v>0.4667596466759647</v>
      </c>
      <c r="J684" t="n">
        <v>0.3251416665066573</v>
      </c>
      <c r="K684" t="n">
        <v>0.6677157174036119</v>
      </c>
      <c r="L684" t="b">
        <v>0</v>
      </c>
      <c r="N684" t="n">
        <v>0</v>
      </c>
      <c r="O684" t="n">
        <v>0</v>
      </c>
      <c r="P684" t="n">
        <v>0</v>
      </c>
      <c r="Q684" t="n">
        <v>0</v>
      </c>
      <c r="R684" t="n">
        <v>9.728690884275167</v>
      </c>
      <c r="S684" t="n">
        <v>5.276730807379493</v>
      </c>
      <c r="T684" t="n">
        <v>0.1785360047609556</v>
      </c>
      <c r="U684" t="n">
        <v>0.4895397489539749</v>
      </c>
      <c r="V684" t="n">
        <v>0.7071129707112971</v>
      </c>
      <c r="W684" t="n">
        <v>0.203626220362622</v>
      </c>
      <c r="X684" t="n">
        <v>0.2568076868343396</v>
      </c>
      <c r="Y684" t="n">
        <v>6.048921339442758</v>
      </c>
      <c r="Z684" t="n">
        <v>0.3251416665066573</v>
      </c>
      <c r="AA684" t="n">
        <v>-5.551115123125783e-17</v>
      </c>
    </row>
    <row r="685">
      <c r="A685" t="inlineStr">
        <is>
          <t>2025-06-12</t>
        </is>
      </c>
      <c r="B685" t="inlineStr">
        <is>
          <t>CW</t>
        </is>
      </c>
      <c r="C685" t="inlineStr">
        <is>
          <t>09:20+</t>
        </is>
      </c>
      <c r="D685" t="n">
        <v>-17.31397169136602</v>
      </c>
      <c r="E685" t="n">
        <v>0.3817483096572857</v>
      </c>
      <c r="F685" t="n">
        <v>13.59632646262074</v>
      </c>
      <c r="G685" t="n">
        <v>0.904881101376721</v>
      </c>
      <c r="H685" t="n">
        <v>0.9649561952440551</v>
      </c>
      <c r="I685" t="n">
        <v>0.5406787540678755</v>
      </c>
      <c r="J685" t="n">
        <v>0.8560706694618855</v>
      </c>
      <c r="K685" t="n">
        <v>0.6677157174036119</v>
      </c>
      <c r="L685" t="b">
        <v>1</v>
      </c>
      <c r="M685" t="inlineStr">
        <is>
          <t>top_quartile_risk</t>
        </is>
      </c>
      <c r="N685" t="n">
        <v>0</v>
      </c>
      <c r="O685" t="n">
        <v>0</v>
      </c>
      <c r="P685" t="n">
        <v>1</v>
      </c>
      <c r="Q685" t="n">
        <v>17.31397169136602</v>
      </c>
      <c r="R685" t="n">
        <v>6.176763017529509</v>
      </c>
      <c r="S685" t="n">
        <v>9.957545349285994</v>
      </c>
      <c r="T685" t="n">
        <v>0.2315708220764271</v>
      </c>
      <c r="U685" t="n">
        <v>0.2370990237099024</v>
      </c>
      <c r="V685" t="n">
        <v>0.8786610878661087</v>
      </c>
      <c r="W685" t="n">
        <v>0.5062761506276151</v>
      </c>
      <c r="X685" t="n">
        <v>0.3817483096572857</v>
      </c>
      <c r="Y685" t="n">
        <v>13.59632646262074</v>
      </c>
      <c r="Z685" t="n">
        <v>0.8560706694618855</v>
      </c>
      <c r="AA685" t="n">
        <v>0</v>
      </c>
    </row>
    <row r="686">
      <c r="A686" t="inlineStr">
        <is>
          <t>2025-06-13</t>
        </is>
      </c>
      <c r="B686" t="inlineStr">
        <is>
          <t>CW</t>
        </is>
      </c>
      <c r="C686" t="inlineStr">
        <is>
          <t>09:17</t>
        </is>
      </c>
      <c r="D686" t="n">
        <v>30.9670785576605</v>
      </c>
      <c r="E686" t="n">
        <v>0.2590803686119988</v>
      </c>
      <c r="F686" t="n">
        <v>6.552419321767029</v>
      </c>
      <c r="G686" t="n">
        <v>0.3254067584480601</v>
      </c>
      <c r="H686" t="n">
        <v>0.3516896120150187</v>
      </c>
      <c r="I686" t="n">
        <v>0.5388191538819154</v>
      </c>
      <c r="J686" t="n">
        <v>0.3786023789616146</v>
      </c>
      <c r="K686" t="n">
        <v>0.6677157174036119</v>
      </c>
      <c r="L686" t="b">
        <v>0</v>
      </c>
      <c r="N686" t="n">
        <v>17.31397169136653</v>
      </c>
      <c r="O686" t="n">
        <v>1</v>
      </c>
      <c r="P686" t="n">
        <v>0</v>
      </c>
      <c r="Q686" t="n">
        <v>0</v>
      </c>
      <c r="R686" t="n">
        <v>11.39290466173246</v>
      </c>
      <c r="S686" t="n">
        <v>5.122602573440161</v>
      </c>
      <c r="T686" t="n">
        <v>0.2063607671764977</v>
      </c>
      <c r="U686" t="n">
        <v>0.5662482566248257</v>
      </c>
      <c r="V686" t="n">
        <v>0.697350069735007</v>
      </c>
      <c r="W686" t="n">
        <v>0.3528591352859135</v>
      </c>
      <c r="X686" t="n">
        <v>0.2590803686119988</v>
      </c>
      <c r="Y686" t="n">
        <v>6.552419321767026</v>
      </c>
      <c r="Z686" t="n">
        <v>0.3786023789616146</v>
      </c>
      <c r="AA686" t="n">
        <v>5.551115123125783e-17</v>
      </c>
    </row>
    <row r="687">
      <c r="A687" t="inlineStr">
        <is>
          <t>2025-06-17</t>
        </is>
      </c>
      <c r="B687" t="inlineStr">
        <is>
          <t>CW</t>
        </is>
      </c>
      <c r="C687" t="inlineStr">
        <is>
          <t>09:18</t>
        </is>
      </c>
      <c r="D687" t="n">
        <v>50.28111233312941</v>
      </c>
      <c r="E687" t="n">
        <v>0.2650672529219004</v>
      </c>
      <c r="F687" t="n">
        <v>4.116746622724481</v>
      </c>
      <c r="G687" t="n">
        <v>0.3704630788485607</v>
      </c>
      <c r="H687" t="n">
        <v>0.06132665832290363</v>
      </c>
      <c r="I687" t="n">
        <v>0.5355648535564853</v>
      </c>
      <c r="J687" t="n">
        <v>0.2798288655798828</v>
      </c>
      <c r="K687" t="n">
        <v>0.6677157174036119</v>
      </c>
      <c r="L687" t="b">
        <v>0</v>
      </c>
      <c r="N687" t="n">
        <v>0</v>
      </c>
      <c r="O687" t="n">
        <v>0</v>
      </c>
      <c r="P687" t="n">
        <v>0</v>
      </c>
      <c r="Q687" t="n">
        <v>0</v>
      </c>
      <c r="R687" t="n">
        <v>7.375385053221603</v>
      </c>
      <c r="S687" t="n">
        <v>7.087653157398685</v>
      </c>
      <c r="T687" t="n">
        <v>0.2262016965127324</v>
      </c>
      <c r="U687" t="n">
        <v>0.3444909344490935</v>
      </c>
      <c r="V687" t="n">
        <v>0.7894002789400278</v>
      </c>
      <c r="W687" t="n">
        <v>0.4728033472803347</v>
      </c>
      <c r="X687" t="n">
        <v>0.2650672529219003</v>
      </c>
      <c r="Y687" t="n">
        <v>4.116746622724481</v>
      </c>
      <c r="Z687" t="n">
        <v>0.2798288655798828</v>
      </c>
      <c r="AA687" t="n">
        <v>0</v>
      </c>
    </row>
    <row r="688">
      <c r="A688" t="inlineStr">
        <is>
          <t>2025-06-18</t>
        </is>
      </c>
      <c r="B688" t="inlineStr">
        <is>
          <t>CW</t>
        </is>
      </c>
      <c r="C688" t="inlineStr">
        <is>
          <t>09:17</t>
        </is>
      </c>
      <c r="D688" t="n">
        <v>10.99218078746692</v>
      </c>
      <c r="E688" t="n">
        <v>0.2923548460092728</v>
      </c>
      <c r="F688" t="n">
        <v>8.002183081091792</v>
      </c>
      <c r="G688" t="n">
        <v>0.5381727158948686</v>
      </c>
      <c r="H688" t="n">
        <v>0.5431789737171464</v>
      </c>
      <c r="I688" t="n">
        <v>0.5727568572756858</v>
      </c>
      <c r="J688" t="n">
        <v>0.5470920472999432</v>
      </c>
      <c r="K688" t="n">
        <v>0.6677157174036119</v>
      </c>
      <c r="L688" t="b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11.48508148363074</v>
      </c>
      <c r="S688" t="n">
        <v>6.909090909090915</v>
      </c>
      <c r="T688" t="n">
        <v>0.2077922077922107</v>
      </c>
      <c r="U688" t="n">
        <v>0.5718270571827058</v>
      </c>
      <c r="V688" t="n">
        <v>0.7838214783821479</v>
      </c>
      <c r="W688" t="n">
        <v>0.3626220362622036</v>
      </c>
      <c r="X688" t="n">
        <v>0.2923548460092728</v>
      </c>
      <c r="Y688" t="n">
        <v>8.002183081091792</v>
      </c>
      <c r="Z688" t="n">
        <v>0.5470920472999432</v>
      </c>
      <c r="AA688" t="n">
        <v>0</v>
      </c>
    </row>
    <row r="689">
      <c r="A689" t="inlineStr">
        <is>
          <t>2025-06-25</t>
        </is>
      </c>
      <c r="B689" t="inlineStr">
        <is>
          <t>NW</t>
        </is>
      </c>
      <c r="C689" t="inlineStr">
        <is>
          <t>NW</t>
        </is>
      </c>
      <c r="D689" t="n">
        <v>13.39758294780917</v>
      </c>
      <c r="E689" t="n">
        <v>0.3514603921715845</v>
      </c>
      <c r="F689" t="n">
        <v>10.58769150432165</v>
      </c>
      <c r="G689" t="n">
        <v>0.8210262828535669</v>
      </c>
      <c r="H689" t="n">
        <v>0.8485607008760951</v>
      </c>
      <c r="I689" t="n">
        <v>0.5</v>
      </c>
      <c r="J689" t="n">
        <v>0.7678347934918649</v>
      </c>
      <c r="K689" t="n">
        <v>0.6677157174036119</v>
      </c>
      <c r="L689" t="b">
        <v>1</v>
      </c>
      <c r="M689" t="inlineStr">
        <is>
          <t>top_quartile_risk</t>
        </is>
      </c>
      <c r="N689" t="n">
        <v>0</v>
      </c>
      <c r="O689" t="n">
        <v>0</v>
      </c>
      <c r="P689" t="n">
        <v>0</v>
      </c>
      <c r="Q689" t="n">
        <v>0</v>
      </c>
      <c r="U689" t="n">
        <v>0.5</v>
      </c>
      <c r="V689" t="n">
        <v>0.5</v>
      </c>
      <c r="W689" t="n">
        <v>0.5</v>
      </c>
      <c r="X689" t="n">
        <v>0.3514603921715845</v>
      </c>
      <c r="Y689" t="n">
        <v>10.58769150432165</v>
      </c>
      <c r="Z689" t="n">
        <v>0.7678347934918649</v>
      </c>
      <c r="AA689" t="n">
        <v>0</v>
      </c>
    </row>
    <row r="690">
      <c r="A690" t="inlineStr">
        <is>
          <t>2025-06-26</t>
        </is>
      </c>
      <c r="B690" t="inlineStr">
        <is>
          <t>CW</t>
        </is>
      </c>
      <c r="C690" t="inlineStr">
        <is>
          <t>09:20+</t>
        </is>
      </c>
      <c r="D690" t="n">
        <v>-44.29365096813626</v>
      </c>
      <c r="E690" t="n">
        <v>0.3473348634415079</v>
      </c>
      <c r="F690" t="n">
        <v>11.8190163537978</v>
      </c>
      <c r="G690" t="n">
        <v>0.8072590738423029</v>
      </c>
      <c r="H690" t="n">
        <v>0.9123904881101377</v>
      </c>
      <c r="I690" t="n">
        <v>0.4997675499767549</v>
      </c>
      <c r="J690" t="n">
        <v>0.7878133347763273</v>
      </c>
      <c r="K690" t="n">
        <v>0.6677157174036119</v>
      </c>
      <c r="L690" t="b">
        <v>1</v>
      </c>
      <c r="M690" t="inlineStr">
        <is>
          <t>top_quartile_risk</t>
        </is>
      </c>
      <c r="N690" t="n">
        <v>0</v>
      </c>
      <c r="O690" t="n">
        <v>0</v>
      </c>
      <c r="P690" t="n">
        <v>1</v>
      </c>
      <c r="Q690" t="n">
        <v>44.29365096813626</v>
      </c>
      <c r="R690" t="n">
        <v>5.798256184313835</v>
      </c>
      <c r="S690" t="n">
        <v>7.80542986425339</v>
      </c>
      <c r="T690" t="n">
        <v>0.2262443438914005</v>
      </c>
      <c r="U690" t="n">
        <v>0.2078103207810321</v>
      </c>
      <c r="V690" t="n">
        <v>0.8172942817294282</v>
      </c>
      <c r="W690" t="n">
        <v>0.4741980474198048</v>
      </c>
      <c r="X690" t="n">
        <v>0.3473348634415079</v>
      </c>
      <c r="Y690" t="n">
        <v>11.8190163537978</v>
      </c>
      <c r="Z690" t="n">
        <v>0.7878133347763273</v>
      </c>
      <c r="AA690" t="n">
        <v>0</v>
      </c>
    </row>
    <row r="691">
      <c r="A691" t="inlineStr">
        <is>
          <t>2025-06-27</t>
        </is>
      </c>
      <c r="B691" t="inlineStr">
        <is>
          <t>CW</t>
        </is>
      </c>
      <c r="C691" t="inlineStr">
        <is>
          <t>09:18</t>
        </is>
      </c>
      <c r="D691" t="n">
        <v>25.36902118881765</v>
      </c>
      <c r="E691" t="n">
        <v>0.2452654691947493</v>
      </c>
      <c r="F691" t="n">
        <v>6.610539410832498</v>
      </c>
      <c r="G691" t="n">
        <v>0.2453066332916145</v>
      </c>
      <c r="H691" t="n">
        <v>0.3629536921151439</v>
      </c>
      <c r="I691" t="n">
        <v>0.1455137145513715</v>
      </c>
      <c r="J691" t="n">
        <v>0.2724068730729777</v>
      </c>
      <c r="K691" t="n">
        <v>0.6677157174036119</v>
      </c>
      <c r="L691" t="b">
        <v>0</v>
      </c>
      <c r="N691" t="n">
        <v>44.29365096813672</v>
      </c>
      <c r="O691" t="n">
        <v>1</v>
      </c>
      <c r="P691" t="n">
        <v>0</v>
      </c>
      <c r="Q691" t="n">
        <v>0</v>
      </c>
      <c r="R691" t="n">
        <v>6.169067592286821</v>
      </c>
      <c r="S691" t="n">
        <v>1.590487955528097</v>
      </c>
      <c r="T691" t="n">
        <v>0.1235330450895632</v>
      </c>
      <c r="U691" t="n">
        <v>0.2357043235704324</v>
      </c>
      <c r="V691" t="n">
        <v>0.1534170153417015</v>
      </c>
      <c r="W691" t="n">
        <v>0.04741980474198047</v>
      </c>
      <c r="X691" t="n">
        <v>0.2452654691947493</v>
      </c>
      <c r="Y691" t="n">
        <v>6.6105394108325</v>
      </c>
      <c r="Z691" t="n">
        <v>0.2724068730729777</v>
      </c>
      <c r="AA691" t="n">
        <v>5.551115123125783e-17</v>
      </c>
    </row>
    <row r="692">
      <c r="A692" t="inlineStr">
        <is>
          <t>2025-07-01</t>
        </is>
      </c>
      <c r="B692" t="inlineStr">
        <is>
          <t>CW</t>
        </is>
      </c>
      <c r="C692" t="inlineStr">
        <is>
          <t>09:17</t>
        </is>
      </c>
      <c r="D692" t="n">
        <v>47.05882531772281</v>
      </c>
      <c r="E692" t="n">
        <v>0.2422883385448082</v>
      </c>
      <c r="F692" t="n">
        <v>5.567729837908607</v>
      </c>
      <c r="G692" t="n">
        <v>0.2327909887359199</v>
      </c>
      <c r="H692" t="n">
        <v>0.2115143929912391</v>
      </c>
      <c r="I692" t="n">
        <v>0.4937238493723849</v>
      </c>
      <c r="J692" t="n">
        <v>0.2764669225653406</v>
      </c>
      <c r="K692" t="n">
        <v>0.6677157174036119</v>
      </c>
      <c r="L692" t="b">
        <v>0</v>
      </c>
      <c r="N692" t="n">
        <v>18.92462977931973</v>
      </c>
      <c r="O692" t="n">
        <v>0</v>
      </c>
      <c r="P692" t="n">
        <v>0</v>
      </c>
      <c r="Q692" t="n">
        <v>0</v>
      </c>
      <c r="R692" t="n">
        <v>7.331421413631633</v>
      </c>
      <c r="S692" t="n">
        <v>5.373134328358208</v>
      </c>
      <c r="T692" t="n">
        <v>0.2189054726368204</v>
      </c>
      <c r="U692" t="n">
        <v>0.3389121338912134</v>
      </c>
      <c r="V692" t="n">
        <v>0.7126917712691772</v>
      </c>
      <c r="W692" t="n">
        <v>0.4295676429567643</v>
      </c>
      <c r="X692" t="n">
        <v>0.2422883385448082</v>
      </c>
      <c r="Y692" t="n">
        <v>5.567729837908608</v>
      </c>
      <c r="Z692" t="n">
        <v>0.2764669225653406</v>
      </c>
      <c r="AA692" t="n">
        <v>0</v>
      </c>
    </row>
    <row r="693">
      <c r="A693" t="inlineStr">
        <is>
          <t>2025-07-04</t>
        </is>
      </c>
      <c r="B693" t="inlineStr">
        <is>
          <t>CW</t>
        </is>
      </c>
      <c r="C693" t="inlineStr">
        <is>
          <t>09:18</t>
        </is>
      </c>
      <c r="D693" t="n">
        <v>24.82274577539862</v>
      </c>
      <c r="E693" t="n">
        <v>0.2540603973150325</v>
      </c>
      <c r="F693" t="n">
        <v>5.739788279106937</v>
      </c>
      <c r="G693" t="n">
        <v>0.295369211514393</v>
      </c>
      <c r="H693" t="n">
        <v>0.2315394242803504</v>
      </c>
      <c r="I693" t="n">
        <v>0.1306369130636913</v>
      </c>
      <c r="J693" t="n">
        <v>0.2368908369306356</v>
      </c>
      <c r="K693" t="n">
        <v>0.6677157174036119</v>
      </c>
      <c r="L693" t="b">
        <v>0</v>
      </c>
      <c r="N693" t="n">
        <v>0</v>
      </c>
      <c r="O693" t="n">
        <v>0</v>
      </c>
      <c r="P693" t="n">
        <v>0</v>
      </c>
      <c r="Q693" t="n">
        <v>0</v>
      </c>
      <c r="R693" t="n">
        <v>4.912614414791149</v>
      </c>
      <c r="S693" t="n">
        <v>1.503038055644402</v>
      </c>
      <c r="T693" t="n">
        <v>0.1598976654940838</v>
      </c>
      <c r="U693" t="n">
        <v>0.1255230125523012</v>
      </c>
      <c r="V693" t="n">
        <v>0.1324965132496513</v>
      </c>
      <c r="W693" t="n">
        <v>0.1338912133891213</v>
      </c>
      <c r="X693" t="n">
        <v>0.2540603973150325</v>
      </c>
      <c r="Y693" t="n">
        <v>5.739788279106938</v>
      </c>
      <c r="Z693" t="n">
        <v>0.2368908369306356</v>
      </c>
      <c r="AA693" t="n">
        <v>5.551115123125783e-17</v>
      </c>
    </row>
    <row r="694">
      <c r="A694" t="inlineStr">
        <is>
          <t>2025-07-07</t>
        </is>
      </c>
      <c r="B694" t="inlineStr">
        <is>
          <t>CW</t>
        </is>
      </c>
      <c r="C694" t="inlineStr">
        <is>
          <t>09:17</t>
        </is>
      </c>
      <c r="D694" t="n">
        <v>9.643731146155435</v>
      </c>
      <c r="E694" t="n">
        <v>0.2776674807073489</v>
      </c>
      <c r="F694" t="n">
        <v>6.056717315559363</v>
      </c>
      <c r="G694" t="n">
        <v>0.4505632040050063</v>
      </c>
      <c r="H694" t="n">
        <v>0.2740926157697122</v>
      </c>
      <c r="I694" t="n">
        <v>0.3626220362622036</v>
      </c>
      <c r="J694" t="n">
        <v>0.3623867351623282</v>
      </c>
      <c r="K694" t="n">
        <v>0.6677157174036119</v>
      </c>
      <c r="L694" t="b">
        <v>0</v>
      </c>
      <c r="N694" t="n">
        <v>0</v>
      </c>
      <c r="O694" t="n">
        <v>0</v>
      </c>
      <c r="P694" t="n">
        <v>0</v>
      </c>
      <c r="Q694" t="n">
        <v>0</v>
      </c>
      <c r="R694" t="n">
        <v>8.297531386101511</v>
      </c>
      <c r="S694" t="n">
        <v>2.448735815249842</v>
      </c>
      <c r="T694" t="n">
        <v>0.1990842126219277</v>
      </c>
      <c r="U694" t="n">
        <v>0.401673640167364</v>
      </c>
      <c r="V694" t="n">
        <v>0.3765690376569037</v>
      </c>
      <c r="W694" t="n">
        <v>0.3096234309623431</v>
      </c>
      <c r="X694" t="n">
        <v>0.2776674807073489</v>
      </c>
      <c r="Y694" t="n">
        <v>6.056717315559361</v>
      </c>
      <c r="Z694" t="n">
        <v>0.3623867351623282</v>
      </c>
      <c r="AA694" t="n">
        <v>-5.551115123125783e-17</v>
      </c>
    </row>
    <row r="695">
      <c r="A695" t="inlineStr">
        <is>
          <t>2025-07-08</t>
        </is>
      </c>
      <c r="B695" t="inlineStr">
        <is>
          <t>CW</t>
        </is>
      </c>
      <c r="C695" t="inlineStr">
        <is>
          <t>09:17</t>
        </is>
      </c>
      <c r="D695" t="n">
        <v>41.73959770269848</v>
      </c>
      <c r="E695" t="n">
        <v>0.2482864523460065</v>
      </c>
      <c r="F695" t="n">
        <v>5.147248458991831</v>
      </c>
      <c r="G695" t="n">
        <v>0.2540675844806007</v>
      </c>
      <c r="H695" t="n">
        <v>0.1526908635794743</v>
      </c>
      <c r="I695" t="n">
        <v>0.2859135285913528</v>
      </c>
      <c r="J695" t="n">
        <v>0.2198860849423006</v>
      </c>
      <c r="K695" t="n">
        <v>0.6677157174036119</v>
      </c>
      <c r="L695" t="b">
        <v>0</v>
      </c>
      <c r="N695" t="n">
        <v>0</v>
      </c>
      <c r="O695" t="n">
        <v>0</v>
      </c>
      <c r="P695" t="n">
        <v>0</v>
      </c>
      <c r="Q695" t="n">
        <v>0</v>
      </c>
      <c r="R695" t="n">
        <v>5.148500843017315</v>
      </c>
      <c r="S695" t="n">
        <v>2.382043060009169</v>
      </c>
      <c r="T695" t="n">
        <v>0.2061383417315633</v>
      </c>
      <c r="U695" t="n">
        <v>0.1436541143654114</v>
      </c>
      <c r="V695" t="n">
        <v>0.3640167364016736</v>
      </c>
      <c r="W695" t="n">
        <v>0.3500697350069735</v>
      </c>
      <c r="X695" t="n">
        <v>0.2482864523460065</v>
      </c>
      <c r="Y695" t="n">
        <v>5.147248458991832</v>
      </c>
      <c r="Z695" t="n">
        <v>0.2198860849423006</v>
      </c>
      <c r="AA695" t="n">
        <v>0</v>
      </c>
    </row>
    <row r="696">
      <c r="A696" t="inlineStr">
        <is>
          <t>2025-07-14</t>
        </is>
      </c>
      <c r="B696" t="inlineStr">
        <is>
          <t>CW</t>
        </is>
      </c>
      <c r="C696" t="inlineStr">
        <is>
          <t>09:18</t>
        </is>
      </c>
      <c r="D696" t="n">
        <v>3.569109194670902</v>
      </c>
      <c r="E696" t="n">
        <v>0.3249226083691079</v>
      </c>
      <c r="F696" t="n">
        <v>5.854474259119458</v>
      </c>
      <c r="G696" t="n">
        <v>0.7033792240300375</v>
      </c>
      <c r="H696" t="n">
        <v>0.246558197747184</v>
      </c>
      <c r="I696" t="n">
        <v>0.2873082287308229</v>
      </c>
      <c r="J696" t="n">
        <v>0.4374366144570532</v>
      </c>
      <c r="K696" t="n">
        <v>0.6677157174036119</v>
      </c>
      <c r="L696" t="b">
        <v>0</v>
      </c>
      <c r="N696" t="n">
        <v>0</v>
      </c>
      <c r="O696" t="n">
        <v>0</v>
      </c>
      <c r="P696" t="n">
        <v>0</v>
      </c>
      <c r="Q696" t="n">
        <v>0</v>
      </c>
      <c r="R696" t="n">
        <v>4.835984500967324</v>
      </c>
      <c r="S696" t="n">
        <v>1.389793702497281</v>
      </c>
      <c r="T696" t="n">
        <v>0.2605863192182386</v>
      </c>
      <c r="U696" t="n">
        <v>0.1199442119944212</v>
      </c>
      <c r="V696" t="n">
        <v>0.104602510460251</v>
      </c>
      <c r="W696" t="n">
        <v>0.6373779637377964</v>
      </c>
      <c r="X696" t="n">
        <v>0.3249226083691079</v>
      </c>
      <c r="Y696" t="n">
        <v>5.854474259119457</v>
      </c>
      <c r="Z696" t="n">
        <v>0.4374366144570532</v>
      </c>
      <c r="AA696" t="n">
        <v>0</v>
      </c>
    </row>
    <row r="697">
      <c r="A697" t="inlineStr">
        <is>
          <t>2025-07-15</t>
        </is>
      </c>
      <c r="B697" t="inlineStr">
        <is>
          <t>CW</t>
        </is>
      </c>
      <c r="C697" t="inlineStr">
        <is>
          <t>09:17</t>
        </is>
      </c>
      <c r="D697" t="n">
        <v>32.73696470961502</v>
      </c>
      <c r="E697" t="n">
        <v>0.2716485310396774</v>
      </c>
      <c r="F697" t="n">
        <v>6.500627998700775</v>
      </c>
      <c r="G697" t="n">
        <v>0.3992490613266583</v>
      </c>
      <c r="H697" t="n">
        <v>0.3416770963704631</v>
      </c>
      <c r="I697" t="n">
        <v>0.2068805206880521</v>
      </c>
      <c r="J697" t="n">
        <v>0.337746567216459</v>
      </c>
      <c r="K697" t="n">
        <v>0.6677157174036119</v>
      </c>
      <c r="L697" t="b">
        <v>0</v>
      </c>
      <c r="N697" t="n">
        <v>0</v>
      </c>
      <c r="O697" t="n">
        <v>0</v>
      </c>
      <c r="P697" t="n">
        <v>0</v>
      </c>
      <c r="Q697" t="n">
        <v>0</v>
      </c>
      <c r="R697" t="n">
        <v>5.306906133351837</v>
      </c>
      <c r="S697" t="n">
        <v>2.325581395348825</v>
      </c>
      <c r="T697" t="n">
        <v>0.1585623678646994</v>
      </c>
      <c r="U697" t="n">
        <v>0.1478382147838215</v>
      </c>
      <c r="V697" t="n">
        <v>0.3458856345885635</v>
      </c>
      <c r="W697" t="n">
        <v>0.1269177126917713</v>
      </c>
      <c r="X697" t="n">
        <v>0.2716485310396773</v>
      </c>
      <c r="Y697" t="n">
        <v>6.500627998700777</v>
      </c>
      <c r="Z697" t="n">
        <v>0.337746567216459</v>
      </c>
      <c r="AA697" t="n">
        <v>0</v>
      </c>
    </row>
    <row r="698">
      <c r="A698" t="inlineStr">
        <is>
          <t>2025-07-18</t>
        </is>
      </c>
      <c r="B698" t="inlineStr">
        <is>
          <t>CW</t>
        </is>
      </c>
      <c r="C698" t="inlineStr">
        <is>
          <t>09:20+</t>
        </is>
      </c>
      <c r="D698" t="n">
        <v>25.16120604297768</v>
      </c>
      <c r="E698" t="n">
        <v>0.3158228815534619</v>
      </c>
      <c r="F698" t="n">
        <v>10.47467062268247</v>
      </c>
      <c r="G698" t="n">
        <v>0.6433041301627034</v>
      </c>
      <c r="H698" t="n">
        <v>0.83729662077597</v>
      </c>
      <c r="I698" t="n">
        <v>0.3723849372384938</v>
      </c>
      <c r="J698" t="n">
        <v>0.6667172878231681</v>
      </c>
      <c r="K698" t="n">
        <v>0.6677157174036119</v>
      </c>
      <c r="L698" t="b">
        <v>0</v>
      </c>
      <c r="N698" t="n">
        <v>0</v>
      </c>
      <c r="O698" t="n">
        <v>0</v>
      </c>
      <c r="P698" t="n">
        <v>0</v>
      </c>
      <c r="Q698" t="n">
        <v>0</v>
      </c>
      <c r="R698" t="n">
        <v>6.95993040069512</v>
      </c>
      <c r="S698" t="n">
        <v>2.598327104466971</v>
      </c>
      <c r="T698" t="n">
        <v>0.2135611318739969</v>
      </c>
      <c r="U698" t="n">
        <v>0.3082287308228731</v>
      </c>
      <c r="V698" t="n">
        <v>0.4086471408647141</v>
      </c>
      <c r="W698" t="n">
        <v>0.400278940027894</v>
      </c>
      <c r="X698" t="n">
        <v>0.315822881553462</v>
      </c>
      <c r="Y698" t="n">
        <v>10.47467062268247</v>
      </c>
      <c r="Z698" t="n">
        <v>0.6667172878231681</v>
      </c>
      <c r="AA698" t="n">
        <v>0</v>
      </c>
    </row>
    <row r="699">
      <c r="A699" t="inlineStr">
        <is>
          <t>2025-07-21</t>
        </is>
      </c>
      <c r="B699" t="inlineStr">
        <is>
          <t>CW</t>
        </is>
      </c>
      <c r="C699" t="inlineStr">
        <is>
          <t>09:18</t>
        </is>
      </c>
      <c r="D699" t="n">
        <v>11.30736351885154</v>
      </c>
      <c r="E699" t="n">
        <v>0.3405827736855989</v>
      </c>
      <c r="F699" t="n">
        <v>7.191779528682148</v>
      </c>
      <c r="G699" t="n">
        <v>0.785982478097622</v>
      </c>
      <c r="H699" t="n">
        <v>0.4430538172715895</v>
      </c>
      <c r="I699" t="n">
        <v>0.1692236169223617</v>
      </c>
      <c r="J699" t="n">
        <v>0.525459241532157</v>
      </c>
      <c r="K699" t="n">
        <v>0.6677157174036119</v>
      </c>
      <c r="L699" t="b">
        <v>0</v>
      </c>
      <c r="N699" t="n">
        <v>0</v>
      </c>
      <c r="O699" t="n">
        <v>0</v>
      </c>
      <c r="P699" t="n">
        <v>0</v>
      </c>
      <c r="Q699" t="n">
        <v>0</v>
      </c>
      <c r="R699" t="n">
        <v>7.744445311608281</v>
      </c>
      <c r="S699" t="n">
        <v>0.817995910020455</v>
      </c>
      <c r="T699" t="n">
        <v>0.159054760281758</v>
      </c>
      <c r="U699" t="n">
        <v>0.3695955369595537</v>
      </c>
      <c r="V699" t="n">
        <v>0.009762900976290097</v>
      </c>
      <c r="W699" t="n">
        <v>0.1283124128312413</v>
      </c>
      <c r="X699" t="n">
        <v>0.3405827736855989</v>
      </c>
      <c r="Y699" t="n">
        <v>7.191779528682147</v>
      </c>
      <c r="Z699" t="n">
        <v>0.525459241532157</v>
      </c>
      <c r="AA699" t="n">
        <v>0</v>
      </c>
    </row>
    <row r="700">
      <c r="A700" t="inlineStr">
        <is>
          <t>2025-07-29</t>
        </is>
      </c>
      <c r="B700" t="inlineStr">
        <is>
          <t>CW</t>
        </is>
      </c>
      <c r="C700" t="inlineStr">
        <is>
          <t>09:18</t>
        </is>
      </c>
      <c r="D700" t="n">
        <v>19.31358803556216</v>
      </c>
      <c r="E700" t="n">
        <v>0.2848172585376776</v>
      </c>
      <c r="F700" t="n">
        <v>5.580176224979508</v>
      </c>
      <c r="G700" t="n">
        <v>0.493116395494368</v>
      </c>
      <c r="H700" t="n">
        <v>0.2127659574468085</v>
      </c>
      <c r="I700" t="n">
        <v>0.3812180381218038</v>
      </c>
      <c r="J700" t="n">
        <v>0.3585965488008314</v>
      </c>
      <c r="K700" t="n">
        <v>0.6677157174036119</v>
      </c>
      <c r="L700" t="b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11.04090401706579</v>
      </c>
      <c r="S700" t="n">
        <v>1.646887866311458</v>
      </c>
      <c r="T700" t="n">
        <v>0.2179704528941646</v>
      </c>
      <c r="U700" t="n">
        <v>0.5439330543933054</v>
      </c>
      <c r="V700" t="n">
        <v>0.1729428172942817</v>
      </c>
      <c r="W700" t="n">
        <v>0.4267782426778243</v>
      </c>
      <c r="X700" t="n">
        <v>0.2848172585376776</v>
      </c>
      <c r="Y700" t="n">
        <v>5.580176224979509</v>
      </c>
      <c r="Z700" t="n">
        <v>0.3585965488008314</v>
      </c>
      <c r="AA700" t="n">
        <v>-5.551115123125783e-17</v>
      </c>
    </row>
    <row r="701">
      <c r="A701" t="inlineStr">
        <is>
          <t>2025-07-31</t>
        </is>
      </c>
      <c r="B701" t="inlineStr">
        <is>
          <t>CW</t>
        </is>
      </c>
      <c r="C701" t="inlineStr">
        <is>
          <t>09:18</t>
        </is>
      </c>
      <c r="D701" t="n">
        <v>-13.49469792380301</v>
      </c>
      <c r="E701" t="n">
        <v>0.3758729190234569</v>
      </c>
      <c r="F701" t="n">
        <v>9.313876485212491</v>
      </c>
      <c r="G701" t="n">
        <v>0.8873591989987485</v>
      </c>
      <c r="H701" t="n">
        <v>0.7146433041301627</v>
      </c>
      <c r="I701" t="n">
        <v>0.6187819618781961</v>
      </c>
      <c r="J701" t="n">
        <v>0.7645573936272039</v>
      </c>
      <c r="K701" t="n">
        <v>0.6677157174036119</v>
      </c>
      <c r="L701" t="b">
        <v>1</v>
      </c>
      <c r="M701" t="inlineStr">
        <is>
          <t>top_quartile_risk</t>
        </is>
      </c>
      <c r="N701" t="n">
        <v>0</v>
      </c>
      <c r="O701" t="n">
        <v>0</v>
      </c>
      <c r="P701" t="n">
        <v>1</v>
      </c>
      <c r="Q701" t="n">
        <v>13.49469792380301</v>
      </c>
      <c r="R701" t="n">
        <v>11.94893402930663</v>
      </c>
      <c r="S701" t="n">
        <v>6.562380770698191</v>
      </c>
      <c r="T701" t="n">
        <v>0.2289202594429585</v>
      </c>
      <c r="U701" t="n">
        <v>0.5983263598326359</v>
      </c>
      <c r="V701" t="n">
        <v>0.7642956764295676</v>
      </c>
      <c r="W701" t="n">
        <v>0.4937238493723849</v>
      </c>
      <c r="X701" t="n">
        <v>0.3758729190234569</v>
      </c>
      <c r="Y701" t="n">
        <v>9.313876485212488</v>
      </c>
      <c r="Z701" t="n">
        <v>0.7645573936272039</v>
      </c>
      <c r="AA701" t="n">
        <v>0</v>
      </c>
    </row>
    <row r="702">
      <c r="A702" t="inlineStr">
        <is>
          <t>2025-08-06</t>
        </is>
      </c>
      <c r="B702" t="inlineStr">
        <is>
          <t>CW</t>
        </is>
      </c>
      <c r="C702" t="inlineStr">
        <is>
          <t>09:19</t>
        </is>
      </c>
      <c r="D702" t="n">
        <v>6.001873894126884</v>
      </c>
      <c r="E702" t="n">
        <v>0.3285726238754704</v>
      </c>
      <c r="F702" t="n">
        <v>9.654960349511665</v>
      </c>
      <c r="G702" t="n">
        <v>0.7271589486858573</v>
      </c>
      <c r="H702" t="n">
        <v>0.7421777221526908</v>
      </c>
      <c r="I702" t="n">
        <v>0.3435611343561134</v>
      </c>
      <c r="J702" t="n">
        <v>0.6564468952066419</v>
      </c>
      <c r="K702" t="n">
        <v>0.6677157174036119</v>
      </c>
      <c r="L702" t="b">
        <v>0</v>
      </c>
      <c r="N702" t="n">
        <v>13.49469792380296</v>
      </c>
      <c r="O702" t="n">
        <v>1</v>
      </c>
      <c r="P702" t="n">
        <v>0</v>
      </c>
      <c r="Q702" t="n">
        <v>0</v>
      </c>
      <c r="R702" t="n">
        <v>6.265067080823716</v>
      </c>
      <c r="S702" t="n">
        <v>3.095711445612036</v>
      </c>
      <c r="T702" t="n">
        <v>0.1988071570576589</v>
      </c>
      <c r="U702" t="n">
        <v>0.2454672245467225</v>
      </c>
      <c r="V702" t="n">
        <v>0.4783821478382148</v>
      </c>
      <c r="W702" t="n">
        <v>0.3068340306834031</v>
      </c>
      <c r="X702" t="n">
        <v>0.3285726238754704</v>
      </c>
      <c r="Y702" t="n">
        <v>9.654960349511663</v>
      </c>
      <c r="Z702" t="n">
        <v>0.6564468952066419</v>
      </c>
      <c r="AA702" t="n">
        <v>0</v>
      </c>
    </row>
    <row r="703">
      <c r="A703" t="inlineStr">
        <is>
          <t>2025-08-11</t>
        </is>
      </c>
      <c r="B703" t="inlineStr">
        <is>
          <t>CW</t>
        </is>
      </c>
      <c r="C703" t="inlineStr">
        <is>
          <t>09:18</t>
        </is>
      </c>
      <c r="D703" t="n">
        <v>18.17810679781944</v>
      </c>
      <c r="E703" t="n">
        <v>0.3619546040680436</v>
      </c>
      <c r="F703" t="n">
        <v>8.34976485052764</v>
      </c>
      <c r="G703" t="n">
        <v>0.8485607008760951</v>
      </c>
      <c r="H703" t="n">
        <v>0.5882352941176471</v>
      </c>
      <c r="I703" t="n">
        <v>0.1450488145048815</v>
      </c>
      <c r="J703" t="n">
        <v>0.6037281608984733</v>
      </c>
      <c r="K703" t="n">
        <v>0.6677157174036119</v>
      </c>
      <c r="L703" t="b">
        <v>0</v>
      </c>
      <c r="N703" t="n">
        <v>7.49282402967583</v>
      </c>
      <c r="O703" t="n">
        <v>0</v>
      </c>
      <c r="P703" t="n">
        <v>0</v>
      </c>
      <c r="Q703" t="n">
        <v>0</v>
      </c>
      <c r="R703" t="n">
        <v>6.555966441646777</v>
      </c>
      <c r="S703" t="n">
        <v>0.9743487770928684</v>
      </c>
      <c r="T703" t="n">
        <v>0.1590773513621021</v>
      </c>
      <c r="U703" t="n">
        <v>0.2789400278940028</v>
      </c>
      <c r="V703" t="n">
        <v>0.02649930264993026</v>
      </c>
      <c r="W703" t="n">
        <v>0.1297071129707113</v>
      </c>
      <c r="X703" t="n">
        <v>0.3619546040680435</v>
      </c>
      <c r="Y703" t="n">
        <v>8.34976485052764</v>
      </c>
      <c r="Z703" t="n">
        <v>0.6037281608984733</v>
      </c>
      <c r="AA703" t="n">
        <v>0</v>
      </c>
    </row>
    <row r="704">
      <c r="A704" t="inlineStr">
        <is>
          <t>2025-08-18</t>
        </is>
      </c>
      <c r="B704" t="inlineStr">
        <is>
          <t>CW</t>
        </is>
      </c>
      <c r="C704" t="inlineStr">
        <is>
          <t>09:16</t>
        </is>
      </c>
      <c r="D704" t="n">
        <v>35.10576221254642</v>
      </c>
      <c r="E704" t="n">
        <v>0.2620919373482195</v>
      </c>
      <c r="F704" t="n">
        <v>10.38730696514838</v>
      </c>
      <c r="G704" t="n">
        <v>0.3491864831038798</v>
      </c>
      <c r="H704" t="n">
        <v>0.8272841051314143</v>
      </c>
      <c r="I704" t="n">
        <v>0.7536029753602976</v>
      </c>
      <c r="J704" t="n">
        <v>0.6213088303661771</v>
      </c>
      <c r="K704" t="n">
        <v>0.6677157174036119</v>
      </c>
      <c r="L704" t="b">
        <v>0</v>
      </c>
      <c r="N704" t="n">
        <v>0</v>
      </c>
      <c r="O704" t="n">
        <v>0</v>
      </c>
      <c r="P704" t="n">
        <v>0</v>
      </c>
      <c r="Q704" t="n">
        <v>0</v>
      </c>
      <c r="R704" t="n">
        <v>25.26314945927616</v>
      </c>
      <c r="S704" t="n">
        <v>9.665089188205339</v>
      </c>
      <c r="T704" t="n">
        <v>0.2366217692027584</v>
      </c>
      <c r="U704" t="n">
        <v>0.8605299860529986</v>
      </c>
      <c r="V704" t="n">
        <v>0.8730822873082287</v>
      </c>
      <c r="W704" t="n">
        <v>0.5271966527196653</v>
      </c>
      <c r="X704" t="n">
        <v>0.2620919373482195</v>
      </c>
      <c r="Y704" t="n">
        <v>10.38730696514838</v>
      </c>
      <c r="Z704" t="n">
        <v>0.6213088303661771</v>
      </c>
      <c r="AA704" t="n">
        <v>0</v>
      </c>
    </row>
    <row r="705">
      <c r="A705" t="inlineStr">
        <is>
          <t>2025-08-25</t>
        </is>
      </c>
      <c r="B705" t="inlineStr">
        <is>
          <t>CW</t>
        </is>
      </c>
      <c r="C705" t="inlineStr">
        <is>
          <t>09:18</t>
        </is>
      </c>
      <c r="D705" t="n">
        <v>27.05707047010628</v>
      </c>
      <c r="E705" t="n">
        <v>0.2885884337464173</v>
      </c>
      <c r="F705" t="n">
        <v>5.907659686825085</v>
      </c>
      <c r="G705" t="n">
        <v>0.5143929912390488</v>
      </c>
      <c r="H705" t="n">
        <v>0.2503128911138924</v>
      </c>
      <c r="I705" t="n">
        <v>0.3714551371455137</v>
      </c>
      <c r="J705" t="n">
        <v>0.3801733803702793</v>
      </c>
      <c r="K705" t="n">
        <v>0.6677157174036119</v>
      </c>
      <c r="L705" t="b">
        <v>0</v>
      </c>
      <c r="N705" t="n">
        <v>0</v>
      </c>
      <c r="O705" t="n">
        <v>0</v>
      </c>
      <c r="P705" t="n">
        <v>0</v>
      </c>
      <c r="Q705" t="n">
        <v>0</v>
      </c>
      <c r="R705" t="n">
        <v>6.533458925386004</v>
      </c>
      <c r="S705" t="n">
        <v>1.545477577907277</v>
      </c>
      <c r="T705" t="n">
        <v>0.278692677983277</v>
      </c>
      <c r="U705" t="n">
        <v>0.2747559274755927</v>
      </c>
      <c r="V705" t="n">
        <v>0.1436541143654114</v>
      </c>
      <c r="W705" t="n">
        <v>0.6959553695955369</v>
      </c>
      <c r="X705" t="n">
        <v>0.2885884337464173</v>
      </c>
      <c r="Y705" t="n">
        <v>5.907659686825083</v>
      </c>
      <c r="Z705" t="n">
        <v>0.3801733803702793</v>
      </c>
      <c r="AA705" t="n">
        <v>-5.551115123125783e-17</v>
      </c>
    </row>
    <row r="706">
      <c r="A706" t="inlineStr">
        <is>
          <t>2025-09-03</t>
        </is>
      </c>
      <c r="B706" t="inlineStr">
        <is>
          <t>CW</t>
        </is>
      </c>
      <c r="C706" t="inlineStr">
        <is>
          <t>09:18</t>
        </is>
      </c>
      <c r="D706" t="n">
        <v>24.02653477014554</v>
      </c>
      <c r="E706" t="n">
        <v>0.2344105429834201</v>
      </c>
      <c r="F706" t="n">
        <v>4.655483276166096</v>
      </c>
      <c r="G706" t="n">
        <v>0.197747183979975</v>
      </c>
      <c r="H706" t="n">
        <v>0.09887359198998748</v>
      </c>
      <c r="I706" t="n">
        <v>0.4900046490004649</v>
      </c>
      <c r="J706" t="n">
        <v>0.216649240188078</v>
      </c>
      <c r="K706" t="n">
        <v>0.6677157174036119</v>
      </c>
      <c r="L706" t="b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13.65516932613588</v>
      </c>
      <c r="S706" t="n">
        <v>2.224334600760443</v>
      </c>
      <c r="T706" t="n">
        <v>0.2281368821292862</v>
      </c>
      <c r="U706" t="n">
        <v>0.6666666666666666</v>
      </c>
      <c r="V706" t="n">
        <v>0.3179916317991632</v>
      </c>
      <c r="W706" t="n">
        <v>0.4853556485355648</v>
      </c>
      <c r="X706" t="n">
        <v>0.2344105429834201</v>
      </c>
      <c r="Y706" t="n">
        <v>4.655483276166098</v>
      </c>
      <c r="Z706" t="n">
        <v>0.216649240188078</v>
      </c>
      <c r="AA706" t="n">
        <v>-2.775557561562891e-17</v>
      </c>
    </row>
    <row r="707">
      <c r="A707" t="inlineStr">
        <is>
          <t>2025-09-11</t>
        </is>
      </c>
      <c r="B707" t="inlineStr">
        <is>
          <t>CW</t>
        </is>
      </c>
      <c r="C707" t="inlineStr">
        <is>
          <t>09:18</t>
        </is>
      </c>
      <c r="D707" t="n">
        <v>12.85233054082619</v>
      </c>
      <c r="E707" t="n">
        <v>0.262717495070144</v>
      </c>
      <c r="F707" t="n">
        <v>5.106398904709049</v>
      </c>
      <c r="G707" t="n">
        <v>0.3516896120150187</v>
      </c>
      <c r="H707" t="n">
        <v>0.148936170212766</v>
      </c>
      <c r="I707" t="n">
        <v>0.203626220362622</v>
      </c>
      <c r="J707" t="n">
        <v>0.2409755569636383</v>
      </c>
      <c r="K707" t="n">
        <v>0.6677157174036119</v>
      </c>
      <c r="L707" t="b">
        <v>0</v>
      </c>
      <c r="N707" t="n">
        <v>0</v>
      </c>
      <c r="O707" t="n">
        <v>0</v>
      </c>
      <c r="P707" t="n">
        <v>0</v>
      </c>
      <c r="Q707" t="n">
        <v>0</v>
      </c>
      <c r="R707" t="n">
        <v>2.539207767176059</v>
      </c>
      <c r="S707" t="n">
        <v>0.8924144769459651</v>
      </c>
      <c r="T707" t="n">
        <v>0.2478929102627665</v>
      </c>
      <c r="U707" t="n">
        <v>0.01394700139470014</v>
      </c>
      <c r="V707" t="n">
        <v>0.01952580195258019</v>
      </c>
      <c r="W707" t="n">
        <v>0.5774058577405857</v>
      </c>
      <c r="X707" t="n">
        <v>0.262717495070144</v>
      </c>
      <c r="Y707" t="n">
        <v>5.106398904709048</v>
      </c>
      <c r="Z707" t="n">
        <v>0.2409755569636383</v>
      </c>
      <c r="AA707" t="n">
        <v>0</v>
      </c>
    </row>
    <row r="708">
      <c r="A708" t="inlineStr">
        <is>
          <t>2025-09-17</t>
        </is>
      </c>
      <c r="B708" t="inlineStr">
        <is>
          <t>CW</t>
        </is>
      </c>
      <c r="C708" t="inlineStr">
        <is>
          <t>09:17</t>
        </is>
      </c>
      <c r="D708" t="n">
        <v>7.691794718254015</v>
      </c>
      <c r="E708" t="n">
        <v>0.270356734162761</v>
      </c>
      <c r="F708" t="n">
        <v>8.273261094505568</v>
      </c>
      <c r="G708" t="n">
        <v>0.392991239048811</v>
      </c>
      <c r="H708" t="n">
        <v>0.5769712140175219</v>
      </c>
      <c r="I708" t="n">
        <v>0.2143189214318921</v>
      </c>
      <c r="J708" t="n">
        <v>0.4308487655129117</v>
      </c>
      <c r="K708" t="n">
        <v>0.6677157174036119</v>
      </c>
      <c r="L708" t="b">
        <v>0</v>
      </c>
      <c r="N708" t="n">
        <v>0</v>
      </c>
      <c r="O708" t="n">
        <v>0</v>
      </c>
      <c r="P708" t="n">
        <v>0</v>
      </c>
      <c r="Q708" t="n">
        <v>0</v>
      </c>
      <c r="R708" t="n">
        <v>5.699949903554769</v>
      </c>
      <c r="S708" t="n">
        <v>1.929902395740903</v>
      </c>
      <c r="T708" t="n">
        <v>0.1774622892635277</v>
      </c>
      <c r="U708" t="n">
        <v>0.1896792189679219</v>
      </c>
      <c r="V708" t="n">
        <v>0.2538354253835425</v>
      </c>
      <c r="W708" t="n">
        <v>0.199442119944212</v>
      </c>
      <c r="X708" t="n">
        <v>0.270356734162761</v>
      </c>
      <c r="Y708" t="n">
        <v>8.273261094505568</v>
      </c>
      <c r="Z708" t="n">
        <v>0.4308487655129117</v>
      </c>
      <c r="AA708" t="n">
        <v>0</v>
      </c>
    </row>
    <row r="709">
      <c r="A709" t="inlineStr">
        <is>
          <t>2025-10-09</t>
        </is>
      </c>
      <c r="B709" t="inlineStr">
        <is>
          <t>CW</t>
        </is>
      </c>
      <c r="C709" t="inlineStr">
        <is>
          <t>09:18</t>
        </is>
      </c>
      <c r="D709" t="n">
        <v>10.98109593981587</v>
      </c>
      <c r="E709" t="n">
        <v>0.2919806187396891</v>
      </c>
      <c r="F709" t="n">
        <v>7.527962906873444</v>
      </c>
      <c r="G709" t="n">
        <v>0.5331664580725908</v>
      </c>
      <c r="H709" t="n">
        <v>0.4856070087609512</v>
      </c>
      <c r="I709" t="n">
        <v>0.1496978149697815</v>
      </c>
      <c r="J709" t="n">
        <v>0.4374489497273731</v>
      </c>
      <c r="K709" t="n">
        <v>0.6677157174036119</v>
      </c>
      <c r="L709" t="b">
        <v>0</v>
      </c>
      <c r="N709" t="n">
        <v>0</v>
      </c>
      <c r="O709" t="n">
        <v>0</v>
      </c>
      <c r="P709" t="n">
        <v>0</v>
      </c>
      <c r="Q709" t="n">
        <v>0</v>
      </c>
      <c r="R709" t="n">
        <v>5.643183313722778</v>
      </c>
      <c r="S709" t="n">
        <v>1.358893472458133</v>
      </c>
      <c r="T709" t="n">
        <v>0.1698616840572648</v>
      </c>
      <c r="U709" t="n">
        <v>0.1827057182705718</v>
      </c>
      <c r="V709" t="n">
        <v>0.101813110181311</v>
      </c>
      <c r="W709" t="n">
        <v>0.1645746164574617</v>
      </c>
      <c r="X709" t="n">
        <v>0.2919806187396891</v>
      </c>
      <c r="Y709" t="n">
        <v>7.527962906873443</v>
      </c>
      <c r="Z709" t="n">
        <v>0.4374489497273731</v>
      </c>
      <c r="AA709" t="n">
        <v>5.551115123125783e-17</v>
      </c>
    </row>
    <row r="710">
      <c r="A710" t="inlineStr">
        <is>
          <t>2025-10-17</t>
        </is>
      </c>
      <c r="B710" t="inlineStr">
        <is>
          <t>CW</t>
        </is>
      </c>
      <c r="C710" t="inlineStr">
        <is>
          <t>09:18</t>
        </is>
      </c>
      <c r="D710" t="n">
        <v>-39.4425653851407</v>
      </c>
      <c r="E710" t="n">
        <v>0.2558267429742044</v>
      </c>
      <c r="F710" t="n">
        <v>4.424352187794877</v>
      </c>
      <c r="G710" t="n">
        <v>0.3003754693366709</v>
      </c>
      <c r="H710" t="n">
        <v>0.08260325406758448</v>
      </c>
      <c r="I710" t="n">
        <v>0.302649930264993</v>
      </c>
      <c r="J710" t="n">
        <v>0.2137214754147007</v>
      </c>
      <c r="K710" t="n">
        <v>0.6677157174036119</v>
      </c>
      <c r="L710" t="b">
        <v>0</v>
      </c>
      <c r="N710" t="n">
        <v>0</v>
      </c>
      <c r="O710" t="n">
        <v>0</v>
      </c>
      <c r="P710" t="n">
        <v>1</v>
      </c>
      <c r="Q710" t="n">
        <v>39.4425653851407</v>
      </c>
      <c r="R710" t="n">
        <v>5.614581478923231</v>
      </c>
      <c r="S710" t="n">
        <v>2.044198895027618</v>
      </c>
      <c r="T710" t="n">
        <v>0.2209944751381246</v>
      </c>
      <c r="U710" t="n">
        <v>0.1799163179916318</v>
      </c>
      <c r="V710" t="n">
        <v>0.2831241283124128</v>
      </c>
      <c r="W710" t="n">
        <v>0.4449093444909344</v>
      </c>
      <c r="X710" t="n">
        <v>0.2558267429742044</v>
      </c>
      <c r="Y710" t="n">
        <v>4.424352187794876</v>
      </c>
      <c r="Z710" t="n">
        <v>0.2137214754147007</v>
      </c>
      <c r="AA710" t="n">
        <v>2.775557561562891e-17</v>
      </c>
    </row>
    <row r="711">
      <c r="A711" t="inlineStr">
        <is>
          <t>2025-10-28</t>
        </is>
      </c>
      <c r="B711" t="inlineStr">
        <is>
          <t>CW</t>
        </is>
      </c>
      <c r="C711" t="inlineStr">
        <is>
          <t>09:16</t>
        </is>
      </c>
      <c r="D711" t="n">
        <v>-6.830605355565746</v>
      </c>
      <c r="E711" t="n">
        <v>0.1713454678695451</v>
      </c>
      <c r="F711" t="n">
        <v>3.99035189695822</v>
      </c>
      <c r="G711" t="n">
        <v>0.0425531914893617</v>
      </c>
      <c r="H711" t="n">
        <v>0.05131414267834793</v>
      </c>
      <c r="I711" t="n">
        <v>0.8270571827057184</v>
      </c>
      <c r="J711" t="n">
        <v>0.2029583702082275</v>
      </c>
      <c r="K711" t="n">
        <v>0.6677157174036119</v>
      </c>
      <c r="L711" t="b">
        <v>0</v>
      </c>
      <c r="N711" t="n">
        <v>39.44256538514128</v>
      </c>
      <c r="O711" t="n">
        <v>1</v>
      </c>
      <c r="P711" t="n">
        <v>1</v>
      </c>
      <c r="Q711" t="n">
        <v>6.830605355565746</v>
      </c>
      <c r="R711" t="n">
        <v>14.68073249937437</v>
      </c>
      <c r="S711" t="n">
        <v>18.31083419868466</v>
      </c>
      <c r="T711" t="n">
        <v>0.346140533056416</v>
      </c>
      <c r="U711" t="n">
        <v>0.7001394700139471</v>
      </c>
      <c r="V711" t="n">
        <v>0.9539748953974896</v>
      </c>
      <c r="W711" t="n">
        <v>0.8270571827057183</v>
      </c>
      <c r="X711" t="n">
        <v>0.171345467869545</v>
      </c>
      <c r="Y711" t="n">
        <v>3.99035189695822</v>
      </c>
      <c r="Z711" t="n">
        <v>0.2029583702082275</v>
      </c>
      <c r="AA711" t="n">
        <v>5.551115123125783e-17</v>
      </c>
    </row>
    <row r="712">
      <c r="A712" t="inlineStr">
        <is>
          <t>2025-10-30</t>
        </is>
      </c>
      <c r="B712" t="inlineStr">
        <is>
          <t>CW</t>
        </is>
      </c>
      <c r="C712" t="inlineStr">
        <is>
          <t>09:18</t>
        </is>
      </c>
      <c r="D712" t="n">
        <v>0.6905265921510448</v>
      </c>
      <c r="E712" t="n">
        <v>0.320393466017046</v>
      </c>
      <c r="F712" t="n">
        <v>6.731239131278706</v>
      </c>
      <c r="G712" t="n">
        <v>0.672090112640801</v>
      </c>
      <c r="H712" t="n">
        <v>0.3817271589486859</v>
      </c>
      <c r="I712" t="n">
        <v>0.1218038121803812</v>
      </c>
      <c r="J712" t="n">
        <v>0.4458876710718711</v>
      </c>
      <c r="K712" t="n">
        <v>0.6677157174036119</v>
      </c>
      <c r="L712" t="b">
        <v>0</v>
      </c>
      <c r="N712" t="n">
        <v>46.27317074070743</v>
      </c>
      <c r="O712" t="n">
        <v>2</v>
      </c>
      <c r="P712" t="n">
        <v>0</v>
      </c>
      <c r="Q712" t="n">
        <v>0</v>
      </c>
      <c r="R712" t="n">
        <v>2.689571570460052</v>
      </c>
      <c r="S712" t="n">
        <v>2.020202020202024</v>
      </c>
      <c r="T712" t="n">
        <v>0.1334095673718185</v>
      </c>
      <c r="U712" t="n">
        <v>0.01952580195258019</v>
      </c>
      <c r="V712" t="n">
        <v>0.2733612273361227</v>
      </c>
      <c r="W712" t="n">
        <v>0.07252440725244072</v>
      </c>
      <c r="X712" t="n">
        <v>0.320393466017046</v>
      </c>
      <c r="Y712" t="n">
        <v>6.731239131278704</v>
      </c>
      <c r="Z712" t="n">
        <v>0.4458876710718711</v>
      </c>
      <c r="AA712" t="n">
        <v>-5.551115123125783e-17</v>
      </c>
    </row>
    <row r="713">
      <c r="A713" t="inlineStr">
        <is>
          <t>2025-10-31</t>
        </is>
      </c>
      <c r="B713" t="inlineStr">
        <is>
          <t>CW</t>
        </is>
      </c>
      <c r="C713" t="inlineStr">
        <is>
          <t>09:18</t>
        </is>
      </c>
      <c r="D713" t="n">
        <v>-4.694131147530773</v>
      </c>
      <c r="E713" t="n">
        <v>0.285048623124612</v>
      </c>
      <c r="F713" t="n">
        <v>4.593101801444126</v>
      </c>
      <c r="G713" t="n">
        <v>0.4943679599499374</v>
      </c>
      <c r="H713" t="n">
        <v>0.09261576971214018</v>
      </c>
      <c r="I713" t="n">
        <v>0.1376104137610414</v>
      </c>
      <c r="J713" t="n">
        <v>0.2623155746170394</v>
      </c>
      <c r="K713" t="n">
        <v>0.6677157174036119</v>
      </c>
      <c r="L713" t="b">
        <v>0</v>
      </c>
      <c r="N713" t="n">
        <v>45.58264414855694</v>
      </c>
      <c r="O713" t="n">
        <v>0</v>
      </c>
      <c r="P713" t="n">
        <v>1</v>
      </c>
      <c r="Q713" t="n">
        <v>4.694131147530773</v>
      </c>
      <c r="R713" t="n">
        <v>3.939942909454986</v>
      </c>
      <c r="S713" t="n">
        <v>0.959821428571431</v>
      </c>
      <c r="T713" t="n">
        <v>0.2008928571428584</v>
      </c>
      <c r="U713" t="n">
        <v>0.07252440725244072</v>
      </c>
      <c r="V713" t="n">
        <v>0.02370990237099024</v>
      </c>
      <c r="W713" t="n">
        <v>0.3165969316596932</v>
      </c>
      <c r="X713" t="n">
        <v>0.2850486231246119</v>
      </c>
      <c r="Y713" t="n">
        <v>4.593101801444126</v>
      </c>
      <c r="Z713" t="n">
        <v>0.2623155746170394</v>
      </c>
      <c r="AA713" t="n">
        <v>-5.551115123125783e-17</v>
      </c>
    </row>
    <row r="714">
      <c r="A714" t="inlineStr">
        <is>
          <t>2025-11-04</t>
        </is>
      </c>
      <c r="B714" t="inlineStr">
        <is>
          <t>CW</t>
        </is>
      </c>
      <c r="C714" t="inlineStr">
        <is>
          <t>09:16</t>
        </is>
      </c>
      <c r="D714" t="n">
        <v>22.1921309927897</v>
      </c>
      <c r="E714" t="n">
        <v>0.2342869907027668</v>
      </c>
      <c r="F714" t="n">
        <v>5.96932509875213</v>
      </c>
      <c r="G714" t="n">
        <v>0.1964956195244055</v>
      </c>
      <c r="H714" t="n">
        <v>0.2615769712140175</v>
      </c>
      <c r="I714" t="n">
        <v>0.7131566713156672</v>
      </c>
      <c r="J714" t="n">
        <v>0.3258603705585027</v>
      </c>
      <c r="K714" t="n">
        <v>0.6677157174036119</v>
      </c>
      <c r="L714" t="b">
        <v>0</v>
      </c>
      <c r="N714" t="n">
        <v>50.27677529608809</v>
      </c>
      <c r="O714" t="n">
        <v>1</v>
      </c>
      <c r="P714" t="n">
        <v>0</v>
      </c>
      <c r="Q714" t="n">
        <v>0</v>
      </c>
      <c r="R714" t="n">
        <v>16.89457860537262</v>
      </c>
      <c r="S714" t="n">
        <v>6.085649887302798</v>
      </c>
      <c r="T714" t="n">
        <v>0.2629601803155479</v>
      </c>
      <c r="U714" t="n">
        <v>0.7447698744769874</v>
      </c>
      <c r="V714" t="n">
        <v>0.7489539748953975</v>
      </c>
      <c r="W714" t="n">
        <v>0.6457461645746164</v>
      </c>
      <c r="X714" t="n">
        <v>0.2342869907027669</v>
      </c>
      <c r="Y714" t="n">
        <v>5.96932509875213</v>
      </c>
      <c r="Z714" t="n">
        <v>0.3258603705585027</v>
      </c>
      <c r="AA714" t="n">
        <v>0</v>
      </c>
    </row>
    <row r="715">
      <c r="A715" t="inlineStr">
        <is>
          <t>2025-11-14</t>
        </is>
      </c>
      <c r="B715" t="inlineStr">
        <is>
          <t>CW</t>
        </is>
      </c>
      <c r="C715" t="inlineStr">
        <is>
          <t>09:18</t>
        </is>
      </c>
      <c r="D715" t="n">
        <v>3.660440561380067</v>
      </c>
      <c r="E715" t="n">
        <v>0.31372166874923</v>
      </c>
      <c r="F715" t="n">
        <v>4.913662641711786</v>
      </c>
      <c r="G715" t="n">
        <v>0.6370463078848561</v>
      </c>
      <c r="H715" t="n">
        <v>0.1276595744680851</v>
      </c>
      <c r="I715" t="n">
        <v>0.2380288238028824</v>
      </c>
      <c r="J715" t="n">
        <v>0.353488117701753</v>
      </c>
      <c r="K715" t="n">
        <v>0.6677157174036119</v>
      </c>
      <c r="L715" t="b">
        <v>0</v>
      </c>
      <c r="N715" t="n">
        <v>28.08464430329877</v>
      </c>
      <c r="O715" t="n">
        <v>0</v>
      </c>
      <c r="P715" t="n">
        <v>0</v>
      </c>
      <c r="Q715" t="n">
        <v>0</v>
      </c>
      <c r="R715" t="n">
        <v>7.39460271432193</v>
      </c>
      <c r="S715" t="n">
        <v>1.906941266209001</v>
      </c>
      <c r="T715" t="n">
        <v>0.1525553012967113</v>
      </c>
      <c r="U715" t="n">
        <v>0.3500697350069735</v>
      </c>
      <c r="V715" t="n">
        <v>0.2496513249651325</v>
      </c>
      <c r="W715" t="n">
        <v>0.1143654114365411</v>
      </c>
      <c r="X715" t="n">
        <v>0.31372166874923</v>
      </c>
      <c r="Y715" t="n">
        <v>4.913662641711785</v>
      </c>
      <c r="Z715" t="n">
        <v>0.353488117701753</v>
      </c>
      <c r="AA715" t="n">
        <v>0</v>
      </c>
    </row>
    <row r="716">
      <c r="A716" t="inlineStr">
        <is>
          <t>2025-11-20</t>
        </is>
      </c>
      <c r="B716" t="inlineStr">
        <is>
          <t>CW</t>
        </is>
      </c>
      <c r="C716" t="inlineStr">
        <is>
          <t>09:18</t>
        </is>
      </c>
      <c r="D716" t="n">
        <v>6.24959067080945</v>
      </c>
      <c r="E716" t="n">
        <v>0.3301246758633834</v>
      </c>
      <c r="F716" t="n">
        <v>9.352484020330431</v>
      </c>
      <c r="G716" t="n">
        <v>0.7321652065081352</v>
      </c>
      <c r="H716" t="n">
        <v>0.7171464330413017</v>
      </c>
      <c r="I716" t="n">
        <v>0.105532310553231</v>
      </c>
      <c r="J716" t="n">
        <v>0.6008311179304211</v>
      </c>
      <c r="K716" t="n">
        <v>0.6677157174036119</v>
      </c>
      <c r="L716" t="b">
        <v>0</v>
      </c>
      <c r="N716" t="n">
        <v>24.42420374191897</v>
      </c>
      <c r="O716" t="n">
        <v>0</v>
      </c>
      <c r="P716" t="n">
        <v>0</v>
      </c>
      <c r="Q716" t="n">
        <v>0</v>
      </c>
      <c r="R716" t="n">
        <v>5.533197269014618</v>
      </c>
      <c r="S716" t="n">
        <v>1.003667245705449</v>
      </c>
      <c r="T716" t="n">
        <v>0.1544103454931502</v>
      </c>
      <c r="U716" t="n">
        <v>0.1715481171548117</v>
      </c>
      <c r="V716" t="n">
        <v>0.02789400278940028</v>
      </c>
      <c r="W716" t="n">
        <v>0.1171548117154812</v>
      </c>
      <c r="X716" t="n">
        <v>0.3301246758633835</v>
      </c>
      <c r="Y716" t="n">
        <v>9.352484020330429</v>
      </c>
      <c r="Z716" t="n">
        <v>0.6008311179304211</v>
      </c>
      <c r="AA716" t="n">
        <v>0</v>
      </c>
    </row>
    <row r="717">
      <c r="A717" t="inlineStr">
        <is>
          <t>2025-12-03</t>
        </is>
      </c>
      <c r="B717" t="inlineStr">
        <is>
          <t>CW</t>
        </is>
      </c>
      <c r="C717" t="inlineStr">
        <is>
          <t>09:18</t>
        </is>
      </c>
      <c r="D717" t="n">
        <v>9.683267471678933</v>
      </c>
      <c r="E717" t="n">
        <v>0.2784537631903101</v>
      </c>
      <c r="F717" t="n">
        <v>4.952809148809699</v>
      </c>
      <c r="G717" t="n">
        <v>0.458072590738423</v>
      </c>
      <c r="H717" t="n">
        <v>0.1339173967459324</v>
      </c>
      <c r="I717" t="n">
        <v>0.1469084146908415</v>
      </c>
      <c r="J717" t="n">
        <v>0.2661776779319105</v>
      </c>
      <c r="K717" t="n">
        <v>0.6677157174036119</v>
      </c>
      <c r="L717" t="b">
        <v>0</v>
      </c>
      <c r="N717" t="n">
        <v>18.17461307110898</v>
      </c>
      <c r="O717" t="n">
        <v>0</v>
      </c>
      <c r="P717" t="n">
        <v>0</v>
      </c>
      <c r="Q717" t="n">
        <v>0</v>
      </c>
      <c r="R717" t="n">
        <v>3.720987327543588</v>
      </c>
      <c r="S717" t="n">
        <v>1.084923307145521</v>
      </c>
      <c r="T717" t="n">
        <v>0.2057613168724322</v>
      </c>
      <c r="U717" t="n">
        <v>0.05857740585774059</v>
      </c>
      <c r="V717" t="n">
        <v>0.03905160390516039</v>
      </c>
      <c r="W717" t="n">
        <v>0.3430962343096234</v>
      </c>
      <c r="X717" t="n">
        <v>0.2784537631903101</v>
      </c>
      <c r="Y717" t="n">
        <v>4.952809148809699</v>
      </c>
      <c r="Z717" t="n">
        <v>0.2661776779319105</v>
      </c>
      <c r="AA717" t="n">
        <v>0</v>
      </c>
    </row>
    <row r="718">
      <c r="A718" t="inlineStr">
        <is>
          <t>2025-12-04</t>
        </is>
      </c>
      <c r="B718" t="inlineStr">
        <is>
          <t>CW</t>
        </is>
      </c>
      <c r="C718" t="inlineStr">
        <is>
          <t>09:18</t>
        </is>
      </c>
      <c r="D718" t="n">
        <v>8.679890709193645</v>
      </c>
      <c r="E718" t="n">
        <v>0.2932196463533464</v>
      </c>
      <c r="F718" t="n">
        <v>6.225334366482952</v>
      </c>
      <c r="G718" t="n">
        <v>0.541927409261577</v>
      </c>
      <c r="H718" t="n">
        <v>0.2966207759699624</v>
      </c>
      <c r="I718" t="n">
        <v>0.09205020920502092</v>
      </c>
      <c r="J718" t="n">
        <v>0.35382931593362</v>
      </c>
      <c r="K718" t="n">
        <v>0.6677157174036119</v>
      </c>
      <c r="L718" t="b">
        <v>0</v>
      </c>
      <c r="N718" t="n">
        <v>8.491345599430133</v>
      </c>
      <c r="O718" t="n">
        <v>0</v>
      </c>
      <c r="P718" t="n">
        <v>0</v>
      </c>
      <c r="Q718" t="n">
        <v>0</v>
      </c>
      <c r="R718" t="n">
        <v>5.752367320397521</v>
      </c>
      <c r="S718" t="n">
        <v>0.8448873483535478</v>
      </c>
      <c r="T718" t="n">
        <v>0.1299826689774684</v>
      </c>
      <c r="U718" t="n">
        <v>0.199442119944212</v>
      </c>
      <c r="V718" t="n">
        <v>0.01255230125523013</v>
      </c>
      <c r="W718" t="n">
        <v>0.06415620641562064</v>
      </c>
      <c r="X718" t="n">
        <v>0.2932196463533464</v>
      </c>
      <c r="Y718" t="n">
        <v>6.225334366482951</v>
      </c>
      <c r="Z718" t="n">
        <v>0.35382931593362</v>
      </c>
      <c r="AA718" t="n">
        <v>0</v>
      </c>
    </row>
    <row r="719">
      <c r="A719" t="inlineStr">
        <is>
          <t>2025-12-11</t>
        </is>
      </c>
      <c r="B719" t="inlineStr">
        <is>
          <t>CW</t>
        </is>
      </c>
      <c r="C719" t="inlineStr">
        <is>
          <t>09:17</t>
        </is>
      </c>
      <c r="D719" t="n">
        <v>12.10838362928732</v>
      </c>
      <c r="E719" t="n">
        <v>0.274637071650067</v>
      </c>
      <c r="F719" t="n">
        <v>8.907540645567256</v>
      </c>
      <c r="G719" t="n">
        <v>0.4217772215269087</v>
      </c>
      <c r="H719" t="n">
        <v>0.6645807259073843</v>
      </c>
      <c r="I719" t="n">
        <v>0.507205950720595</v>
      </c>
      <c r="J719" t="n">
        <v>0.5359843691178362</v>
      </c>
      <c r="K719" t="n">
        <v>0.6677157174036119</v>
      </c>
      <c r="L719" t="b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11.6583803580536</v>
      </c>
      <c r="S719" t="n">
        <v>4.276904714541476</v>
      </c>
      <c r="T719" t="n">
        <v>0.1989258006763477</v>
      </c>
      <c r="U719" t="n">
        <v>0.5843793584379359</v>
      </c>
      <c r="V719" t="n">
        <v>0.6290097629009763</v>
      </c>
      <c r="W719" t="n">
        <v>0.3082287308228731</v>
      </c>
      <c r="X719" t="n">
        <v>0.274637071650067</v>
      </c>
      <c r="Y719" t="n">
        <v>8.907540645567256</v>
      </c>
      <c r="Z719" t="n">
        <v>0.5359843691178362</v>
      </c>
      <c r="AA719" t="n">
        <v>0</v>
      </c>
    </row>
    <row r="720">
      <c r="A720" t="inlineStr">
        <is>
          <t>2025-12-18</t>
        </is>
      </c>
      <c r="B720" t="inlineStr">
        <is>
          <t>CW</t>
        </is>
      </c>
      <c r="C720" t="inlineStr">
        <is>
          <t>09:18</t>
        </is>
      </c>
      <c r="D720" t="n">
        <v>-2.373893243576239</v>
      </c>
      <c r="E720" t="n">
        <v>0.2948024304448013</v>
      </c>
      <c r="F720" t="n">
        <v>5.898042633921023</v>
      </c>
      <c r="G720" t="n">
        <v>0.5469336670838548</v>
      </c>
      <c r="H720" t="n">
        <v>0.2490613266583229</v>
      </c>
      <c r="I720" t="n">
        <v>0.2101348210134821</v>
      </c>
      <c r="J720" t="n">
        <v>0.3604249616995675</v>
      </c>
      <c r="K720" t="n">
        <v>0.6677157174036119</v>
      </c>
      <c r="L720" t="b">
        <v>0</v>
      </c>
      <c r="N720" t="n">
        <v>0</v>
      </c>
      <c r="O720" t="n">
        <v>0</v>
      </c>
      <c r="P720" t="n">
        <v>1</v>
      </c>
      <c r="Q720" t="n">
        <v>2.373893243576239</v>
      </c>
      <c r="R720" t="n">
        <v>3.931944433682941</v>
      </c>
      <c r="S720" t="n">
        <v>1.209493382017346</v>
      </c>
      <c r="T720" t="n">
        <v>0.2282062984938384</v>
      </c>
      <c r="U720" t="n">
        <v>0.07112970711297072</v>
      </c>
      <c r="V720" t="n">
        <v>0.07252440725244072</v>
      </c>
      <c r="W720" t="n">
        <v>0.4867503486750349</v>
      </c>
      <c r="X720" t="n">
        <v>0.2948024304448013</v>
      </c>
      <c r="Y720" t="n">
        <v>5.898042633921019</v>
      </c>
      <c r="Z720" t="n">
        <v>0.3604249616995675</v>
      </c>
      <c r="AA720" t="n">
        <v>0</v>
      </c>
    </row>
    <row r="721">
      <c r="A721" t="inlineStr">
        <is>
          <t>2026-01-01</t>
        </is>
      </c>
      <c r="B721" t="inlineStr">
        <is>
          <t>CW</t>
        </is>
      </c>
      <c r="C721" t="inlineStr">
        <is>
          <t>09:18</t>
        </is>
      </c>
      <c r="D721" t="n">
        <v>17.76162761230397</v>
      </c>
      <c r="E721" t="n">
        <v>0.2820941271762647</v>
      </c>
      <c r="F721" t="n">
        <v>7.010932862188987</v>
      </c>
      <c r="G721" t="n">
        <v>0.4705882352941176</v>
      </c>
      <c r="H721" t="n">
        <v>0.4167709637046308</v>
      </c>
      <c r="I721" t="n">
        <v>0.1738726173872618</v>
      </c>
      <c r="J721" t="n">
        <v>0.3897182030769517</v>
      </c>
      <c r="K721" t="n">
        <v>0.6677157174036119</v>
      </c>
      <c r="L721" t="b">
        <v>0</v>
      </c>
      <c r="N721" t="n">
        <v>2.373893243575367</v>
      </c>
      <c r="O721" t="n">
        <v>1</v>
      </c>
      <c r="P721" t="n">
        <v>0</v>
      </c>
      <c r="Q721" t="n">
        <v>0</v>
      </c>
      <c r="R721" t="n">
        <v>3.701195257128417</v>
      </c>
      <c r="S721" t="n">
        <v>0.9655172413793104</v>
      </c>
      <c r="T721" t="n">
        <v>0.2206896551724169</v>
      </c>
      <c r="U721" t="n">
        <v>0.05578800557880056</v>
      </c>
      <c r="V721" t="n">
        <v>0.02510460251046025</v>
      </c>
      <c r="W721" t="n">
        <v>0.4407252440725244</v>
      </c>
      <c r="X721" t="n">
        <v>0.2820941271762646</v>
      </c>
      <c r="Y721" t="n">
        <v>7.010932862188986</v>
      </c>
      <c r="Z721" t="n">
        <v>0.3897182030769517</v>
      </c>
      <c r="AA721" t="n">
        <v>0</v>
      </c>
    </row>
    <row r="722">
      <c r="A722" t="inlineStr">
        <is>
          <t>2026-01-08</t>
        </is>
      </c>
      <c r="B722" t="inlineStr">
        <is>
          <t>CW</t>
        </is>
      </c>
      <c r="C722" t="inlineStr">
        <is>
          <t>09:20+</t>
        </is>
      </c>
      <c r="D722" t="n">
        <v>13.8033950160473</v>
      </c>
      <c r="E722" t="n">
        <v>0.3374494306413932</v>
      </c>
      <c r="F722" t="n">
        <v>9.96243026048143</v>
      </c>
      <c r="G722" t="n">
        <v>0.7709637046307884</v>
      </c>
      <c r="H722" t="n">
        <v>0.7847309136420526</v>
      </c>
      <c r="I722" t="n">
        <v>0.2803347280334729</v>
      </c>
      <c r="J722" t="n">
        <v>0.6783447929158311</v>
      </c>
      <c r="K722" t="n">
        <v>0.6677157174036119</v>
      </c>
      <c r="L722" t="b">
        <v>1</v>
      </c>
      <c r="M722" t="inlineStr">
        <is>
          <t>top_quartile_risk</t>
        </is>
      </c>
      <c r="N722" t="n">
        <v>0</v>
      </c>
      <c r="O722" t="n">
        <v>0</v>
      </c>
      <c r="P722" t="n">
        <v>0</v>
      </c>
      <c r="Q722" t="n">
        <v>0</v>
      </c>
      <c r="R722" t="n">
        <v>7.955480131526029</v>
      </c>
      <c r="S722" t="n">
        <v>1.701413850946567</v>
      </c>
      <c r="T722" t="n">
        <v>0.1917086029235589</v>
      </c>
      <c r="U722" t="n">
        <v>0.3849372384937239</v>
      </c>
      <c r="V722" t="n">
        <v>0.1924686192468619</v>
      </c>
      <c r="W722" t="n">
        <v>0.2635983263598327</v>
      </c>
      <c r="X722" t="n">
        <v>0.3374494306413932</v>
      </c>
      <c r="Y722" t="n">
        <v>9.962430260481426</v>
      </c>
      <c r="Z722" t="n">
        <v>0.6783447929158311</v>
      </c>
      <c r="AA722" t="n">
        <v>0</v>
      </c>
    </row>
    <row r="723">
      <c r="A723" t="inlineStr">
        <is>
          <t>2026-01-21</t>
        </is>
      </c>
      <c r="B723" t="inlineStr">
        <is>
          <t>CW</t>
        </is>
      </c>
      <c r="C723" t="inlineStr">
        <is>
          <t>09:18</t>
        </is>
      </c>
      <c r="D723" t="n">
        <v>26.13523514117367</v>
      </c>
      <c r="E723" t="n">
        <v>0.3175546205561932</v>
      </c>
      <c r="F723" t="n">
        <v>7.965295740151141</v>
      </c>
      <c r="G723" t="n">
        <v>0.655819774718398</v>
      </c>
      <c r="H723" t="n">
        <v>0.5381727158948686</v>
      </c>
      <c r="I723" t="n">
        <v>0.1636448163644816</v>
      </c>
      <c r="J723" t="n">
        <v>0.510325959518203</v>
      </c>
      <c r="K723" t="n">
        <v>0.6677157174036119</v>
      </c>
      <c r="L723" t="b">
        <v>0</v>
      </c>
      <c r="N723" t="n">
        <v>0</v>
      </c>
      <c r="O723" t="n">
        <v>0</v>
      </c>
      <c r="P723" t="n">
        <v>0</v>
      </c>
      <c r="Q723" t="n">
        <v>0</v>
      </c>
      <c r="R723" t="n">
        <v>7.255817999569863</v>
      </c>
      <c r="S723" t="n">
        <v>1.202185792349734</v>
      </c>
      <c r="T723" t="n">
        <v>0.1405152224824409</v>
      </c>
      <c r="U723" t="n">
        <v>0.3333333333333333</v>
      </c>
      <c r="V723" t="n">
        <v>0.0697350069735007</v>
      </c>
      <c r="W723" t="n">
        <v>0.08786610878661087</v>
      </c>
      <c r="X723" t="n">
        <v>0.3175546205561932</v>
      </c>
      <c r="Y723" t="n">
        <v>7.96529574015114</v>
      </c>
      <c r="Z723" t="n">
        <v>0.510325959518203</v>
      </c>
      <c r="AA723" t="n">
        <v>0</v>
      </c>
    </row>
    <row r="724">
      <c r="A724" t="inlineStr">
        <is>
          <t>2026-01-23</t>
        </is>
      </c>
      <c r="B724" t="inlineStr">
        <is>
          <t>CW</t>
        </is>
      </c>
      <c r="C724" t="inlineStr">
        <is>
          <t>09:18</t>
        </is>
      </c>
      <c r="D724" t="n">
        <v>31.67866670765329</v>
      </c>
      <c r="E724" t="n">
        <v>0.3096654681614532</v>
      </c>
      <c r="F724" t="n">
        <v>6.027600032532106</v>
      </c>
      <c r="G724" t="n">
        <v>0.6170212765957447</v>
      </c>
      <c r="H724" t="n">
        <v>0.2703379224030037</v>
      </c>
      <c r="I724" t="n">
        <v>0.2082752208275221</v>
      </c>
      <c r="J724" t="n">
        <v>0.3965987237650038</v>
      </c>
      <c r="K724" t="n">
        <v>0.6677157174036119</v>
      </c>
      <c r="L724" t="b">
        <v>0</v>
      </c>
      <c r="N724" t="n">
        <v>0</v>
      </c>
      <c r="O724" t="n">
        <v>0</v>
      </c>
      <c r="P724" t="n">
        <v>0</v>
      </c>
      <c r="Q724" t="n">
        <v>0</v>
      </c>
      <c r="R724" t="n">
        <v>8.141874132949114</v>
      </c>
      <c r="S724" t="n">
        <v>1.587612700901612</v>
      </c>
      <c r="T724" t="n">
        <v>0.137201097608773</v>
      </c>
      <c r="U724" t="n">
        <v>0.3919107391910739</v>
      </c>
      <c r="V724" t="n">
        <v>0.1520223152022315</v>
      </c>
      <c r="W724" t="n">
        <v>0.08089260808926081</v>
      </c>
      <c r="X724" t="n">
        <v>0.3096654681614531</v>
      </c>
      <c r="Y724" t="n">
        <v>6.027600032532106</v>
      </c>
      <c r="Z724" t="n">
        <v>0.3965987237650038</v>
      </c>
      <c r="AA724" t="n">
        <v>0</v>
      </c>
    </row>
    <row r="725">
      <c r="A725" t="inlineStr">
        <is>
          <t>2026-01-27</t>
        </is>
      </c>
      <c r="B725" t="inlineStr">
        <is>
          <t>CW</t>
        </is>
      </c>
      <c r="C725" t="inlineStr">
        <is>
          <t>09:16</t>
        </is>
      </c>
      <c r="D725" t="n">
        <v>-36.97017323698103</v>
      </c>
      <c r="E725" t="n">
        <v>0.2363880007227904</v>
      </c>
      <c r="F725" t="n">
        <v>8.529509233268813</v>
      </c>
      <c r="G725" t="n">
        <v>0.2065081351689612</v>
      </c>
      <c r="H725" t="n">
        <v>0.6120150187734669</v>
      </c>
      <c r="I725" t="n">
        <v>0.6327289632728963</v>
      </c>
      <c r="J725" t="n">
        <v>0.4539550542315505</v>
      </c>
      <c r="K725" t="n">
        <v>0.6677157174036119</v>
      </c>
      <c r="L725" t="b">
        <v>0</v>
      </c>
      <c r="N725" t="n">
        <v>0</v>
      </c>
      <c r="O725" t="n">
        <v>0</v>
      </c>
      <c r="P725" t="n">
        <v>1</v>
      </c>
      <c r="Q725" t="n">
        <v>36.97017323698103</v>
      </c>
      <c r="R725" t="n">
        <v>35.27954164437549</v>
      </c>
      <c r="S725" t="n">
        <v>15.79092159559834</v>
      </c>
      <c r="T725" t="n">
        <v>0.1100412654745467</v>
      </c>
      <c r="U725" t="n">
        <v>0.9288702928870293</v>
      </c>
      <c r="V725" t="n">
        <v>0.9386331938633193</v>
      </c>
      <c r="W725" t="n">
        <v>0.03068340306834031</v>
      </c>
      <c r="X725" t="n">
        <v>0.2363880007227905</v>
      </c>
      <c r="Y725" t="n">
        <v>8.529509233268813</v>
      </c>
      <c r="Z725" t="n">
        <v>0.4539550542315505</v>
      </c>
      <c r="AA725" t="n">
        <v>0</v>
      </c>
    </row>
    <row r="726">
      <c r="A726" t="inlineStr">
        <is>
          <t>2026-01-28</t>
        </is>
      </c>
      <c r="B726" t="inlineStr">
        <is>
          <t>CW</t>
        </is>
      </c>
      <c r="C726" t="inlineStr">
        <is>
          <t>09:17</t>
        </is>
      </c>
      <c r="D726" t="n">
        <v>35.14219732444345</v>
      </c>
      <c r="E726" t="n">
        <v>0.3058351259630006</v>
      </c>
      <c r="F726" t="n">
        <v>10.1581549123048</v>
      </c>
      <c r="G726" t="n">
        <v>0.5969962453066333</v>
      </c>
      <c r="H726" t="n">
        <v>0.8072590738423029</v>
      </c>
      <c r="I726" t="n">
        <v>0.3110181311018131</v>
      </c>
      <c r="J726" t="n">
        <v>0.6239057538799371</v>
      </c>
      <c r="K726" t="n">
        <v>0.6677157174036119</v>
      </c>
      <c r="L726" t="b">
        <v>0</v>
      </c>
      <c r="N726" t="n">
        <v>36.97017323698128</v>
      </c>
      <c r="O726" t="n">
        <v>1</v>
      </c>
      <c r="P726" t="n">
        <v>0</v>
      </c>
      <c r="Q726" t="n">
        <v>0</v>
      </c>
      <c r="R726" t="n">
        <v>9.147164871731553</v>
      </c>
      <c r="S726" t="n">
        <v>2.731677146685909</v>
      </c>
      <c r="T726" t="n">
        <v>0.123698587774455</v>
      </c>
      <c r="U726" t="n">
        <v>0.4546722454672246</v>
      </c>
      <c r="V726" t="n">
        <v>0.4295676429567643</v>
      </c>
      <c r="W726" t="n">
        <v>0.04881450488145049</v>
      </c>
      <c r="X726" t="n">
        <v>0.3058351259630006</v>
      </c>
      <c r="Y726" t="n">
        <v>10.1581549123048</v>
      </c>
      <c r="Z726" t="n">
        <v>0.6239057538799371</v>
      </c>
      <c r="AA726" t="n">
        <v>0</v>
      </c>
    </row>
    <row r="727">
      <c r="A727" t="inlineStr">
        <is>
          <t>2026-01-29</t>
        </is>
      </c>
      <c r="B727" t="inlineStr">
        <is>
          <t>CW</t>
        </is>
      </c>
      <c r="C727" t="inlineStr">
        <is>
          <t>09:17</t>
        </is>
      </c>
      <c r="D727" t="n">
        <v>13.89045135237859</v>
      </c>
      <c r="E727" t="n">
        <v>0.3712862989342792</v>
      </c>
      <c r="F727" t="n">
        <v>11.54883748889485</v>
      </c>
      <c r="G727" t="n">
        <v>0.8798498122653317</v>
      </c>
      <c r="H727" t="n">
        <v>0.904881101376721</v>
      </c>
      <c r="I727" t="n">
        <v>0.1668991166899116</v>
      </c>
      <c r="J727" t="n">
        <v>0.7472721887948034</v>
      </c>
      <c r="K727" t="n">
        <v>0.6677157174036119</v>
      </c>
      <c r="L727" t="b">
        <v>1</v>
      </c>
      <c r="M727" t="inlineStr">
        <is>
          <t>top_quartile_risk</t>
        </is>
      </c>
      <c r="N727" t="n">
        <v>1.827975912538022</v>
      </c>
      <c r="O727" t="n">
        <v>0</v>
      </c>
      <c r="P727" t="n">
        <v>0</v>
      </c>
      <c r="Q727" t="n">
        <v>0</v>
      </c>
      <c r="R727" t="n">
        <v>9.346015988998754</v>
      </c>
      <c r="S727" t="n">
        <v>1.051859099804322</v>
      </c>
      <c r="T727" t="n">
        <v>0.07338551859099381</v>
      </c>
      <c r="U727" t="n">
        <v>0.4630404463040446</v>
      </c>
      <c r="V727" t="n">
        <v>0.03347280334728033</v>
      </c>
      <c r="W727" t="n">
        <v>0.004184100418410041</v>
      </c>
      <c r="X727" t="n">
        <v>0.3712862989342792</v>
      </c>
      <c r="Y727" t="n">
        <v>11.54883748889485</v>
      </c>
      <c r="Z727" t="n">
        <v>0.7472721887948034</v>
      </c>
      <c r="AA727" t="n">
        <v>0</v>
      </c>
    </row>
    <row r="728">
      <c r="A728" t="inlineStr">
        <is>
          <t>2026-01-30</t>
        </is>
      </c>
      <c r="B728" t="inlineStr">
        <is>
          <t>CW</t>
        </is>
      </c>
      <c r="C728" t="inlineStr">
        <is>
          <t>09:17</t>
        </is>
      </c>
      <c r="D728" t="n">
        <v>2.787091788842136</v>
      </c>
      <c r="E728" t="n">
        <v>0.3013351630387004</v>
      </c>
      <c r="F728" t="n">
        <v>8.956166253977743</v>
      </c>
      <c r="G728" t="n">
        <v>0.5757196495619524</v>
      </c>
      <c r="H728" t="n">
        <v>0.6758448060075094</v>
      </c>
      <c r="I728" t="n">
        <v>0.5620641562064156</v>
      </c>
      <c r="J728" t="n">
        <v>0.6130386134690679</v>
      </c>
      <c r="K728" t="n">
        <v>0.6677157174036119</v>
      </c>
      <c r="L728" t="b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16.94318792901597</v>
      </c>
      <c r="S728" t="n">
        <v>4.027529951567696</v>
      </c>
      <c r="T728" t="n">
        <v>0.2039255671679793</v>
      </c>
      <c r="U728" t="n">
        <v>0.7475592747559274</v>
      </c>
      <c r="V728" t="n">
        <v>0.601115760111576</v>
      </c>
      <c r="W728" t="n">
        <v>0.3375174337517434</v>
      </c>
      <c r="X728" t="n">
        <v>0.3013351630387004</v>
      </c>
      <c r="Y728" t="n">
        <v>8.956166253977743</v>
      </c>
      <c r="Z728" t="n">
        <v>0.6130386134690679</v>
      </c>
      <c r="AA728" t="n">
        <v>0</v>
      </c>
    </row>
    <row r="729">
      <c r="A729" t="inlineStr">
        <is>
          <t>2026-02-01</t>
        </is>
      </c>
      <c r="B729" t="inlineStr">
        <is>
          <t>CW</t>
        </is>
      </c>
      <c r="C729" t="inlineStr">
        <is>
          <t>09:18</t>
        </is>
      </c>
      <c r="D729" t="n">
        <v>-13.38268451760931</v>
      </c>
      <c r="E729" t="n">
        <v>0.537064335208131</v>
      </c>
      <c r="F729" t="n">
        <v>14.40452256996464</v>
      </c>
      <c r="G729" t="n">
        <v>1</v>
      </c>
      <c r="H729" t="n">
        <v>0.9787234042553191</v>
      </c>
      <c r="I729" t="n">
        <v>0.1603905160390516</v>
      </c>
      <c r="J729" t="n">
        <v>0.823567464909938</v>
      </c>
      <c r="K729" t="n">
        <v>0.6677157174036119</v>
      </c>
      <c r="L729" t="b">
        <v>1</v>
      </c>
      <c r="M729" t="inlineStr">
        <is>
          <t>top_quartile_risk</t>
        </is>
      </c>
      <c r="N729" t="n">
        <v>0</v>
      </c>
      <c r="O729" t="n">
        <v>0</v>
      </c>
      <c r="P729" t="n">
        <v>1</v>
      </c>
      <c r="Q729" t="n">
        <v>13.38268451760931</v>
      </c>
      <c r="R729" t="n">
        <v>7.683601535138982</v>
      </c>
      <c r="S729" t="n">
        <v>0.729467991447611</v>
      </c>
      <c r="T729" t="n">
        <v>0.1509244120236434</v>
      </c>
      <c r="U729" t="n">
        <v>0.3668061366806137</v>
      </c>
      <c r="V729" t="n">
        <v>0.005578800557880056</v>
      </c>
      <c r="W729" t="n">
        <v>0.1087866108786611</v>
      </c>
      <c r="X729" t="n">
        <v>0.537064335208131</v>
      </c>
      <c r="Y729" t="n">
        <v>14.40452256996464</v>
      </c>
      <c r="Z729" t="n">
        <v>0.823567464909938</v>
      </c>
      <c r="AA729" t="n">
        <v>0</v>
      </c>
    </row>
    <row r="730">
      <c r="A730" t="inlineStr">
        <is>
          <t>2026-02-02</t>
        </is>
      </c>
      <c r="B730" t="inlineStr">
        <is>
          <t>CW</t>
        </is>
      </c>
      <c r="C730" t="inlineStr">
        <is>
          <t>09:16</t>
        </is>
      </c>
      <c r="D730" t="n">
        <v>68.69274371212875</v>
      </c>
      <c r="E730" t="n">
        <v>0.3241226089909849</v>
      </c>
      <c r="F730" t="n">
        <v>9.746102538815851</v>
      </c>
      <c r="G730" t="n">
        <v>0.6996245306633292</v>
      </c>
      <c r="H730" t="n">
        <v>0.7584480600750939</v>
      </c>
      <c r="I730" t="n">
        <v>0.6108786610878661</v>
      </c>
      <c r="J730" t="n">
        <v>0.7054047685129425</v>
      </c>
      <c r="K730" t="n">
        <v>0.6677157174036119</v>
      </c>
      <c r="L730" t="b">
        <v>1</v>
      </c>
      <c r="M730" t="inlineStr">
        <is>
          <t>top_quartile_risk</t>
        </is>
      </c>
      <c r="N730" t="n">
        <v>13.38268451760996</v>
      </c>
      <c r="O730" t="n">
        <v>1</v>
      </c>
      <c r="P730" t="n">
        <v>0</v>
      </c>
      <c r="Q730" t="n">
        <v>0</v>
      </c>
      <c r="R730" t="n">
        <v>22.92534706428224</v>
      </c>
      <c r="S730" t="n">
        <v>9.047619047619076</v>
      </c>
      <c r="T730" t="n">
        <v>0.1636904761904711</v>
      </c>
      <c r="U730" t="n">
        <v>0.8354253835425384</v>
      </c>
      <c r="V730" t="n">
        <v>0.8479776847977685</v>
      </c>
      <c r="W730" t="n">
        <v>0.1492329149232915</v>
      </c>
      <c r="X730" t="n">
        <v>0.3241226089909849</v>
      </c>
      <c r="Y730" t="n">
        <v>9.746102538815853</v>
      </c>
      <c r="Z730" t="n">
        <v>0.7054047685129425</v>
      </c>
      <c r="AA730" t="n">
        <v>0</v>
      </c>
    </row>
    <row r="731">
      <c r="A731" t="inlineStr">
        <is>
          <t>2026-02-03</t>
        </is>
      </c>
      <c r="B731" t="inlineStr">
        <is>
          <t>CW</t>
        </is>
      </c>
      <c r="C731" t="inlineStr">
        <is>
          <t>09:17</t>
        </is>
      </c>
      <c r="D731" t="n">
        <v>103.6979996720015</v>
      </c>
      <c r="E731" t="n">
        <v>0.2203484715257512</v>
      </c>
      <c r="F731" t="n">
        <v>12.37808887497032</v>
      </c>
      <c r="G731" t="n">
        <v>0.1451814768460576</v>
      </c>
      <c r="H731" t="n">
        <v>0.934918648310388</v>
      </c>
      <c r="I731" t="n">
        <v>0.6666666666666666</v>
      </c>
      <c r="J731" t="n">
        <v>0.5653733833959116</v>
      </c>
      <c r="K731" t="n">
        <v>0.6677157174036119</v>
      </c>
      <c r="L731" t="b">
        <v>0</v>
      </c>
      <c r="N731" t="n">
        <v>0</v>
      </c>
      <c r="O731" t="n">
        <v>0</v>
      </c>
      <c r="P731" t="n">
        <v>0</v>
      </c>
      <c r="Q731" t="n">
        <v>0</v>
      </c>
      <c r="R731" t="n">
        <v>55.04686947637379</v>
      </c>
      <c r="S731" t="n">
        <v>47.38562091503268</v>
      </c>
      <c r="T731" t="n">
        <v>0.0980392156862782</v>
      </c>
      <c r="U731" t="n">
        <v>0.9832635983263598</v>
      </c>
      <c r="V731" t="n">
        <v>1</v>
      </c>
      <c r="W731" t="n">
        <v>0.01673640167364017</v>
      </c>
      <c r="X731" t="n">
        <v>0.2203484715257512</v>
      </c>
      <c r="Y731" t="n">
        <v>12.37808887497031</v>
      </c>
      <c r="Z731" t="n">
        <v>0.5653733833959116</v>
      </c>
      <c r="AA731" t="n">
        <v>0</v>
      </c>
    </row>
    <row r="732">
      <c r="A732" t="inlineStr">
        <is>
          <t>2026-02-06</t>
        </is>
      </c>
      <c r="B732" t="inlineStr">
        <is>
          <t>CW</t>
        </is>
      </c>
      <c r="C732" t="inlineStr">
        <is>
          <t>09:17</t>
        </is>
      </c>
      <c r="D732" t="n">
        <v>31.69539382383196</v>
      </c>
      <c r="E732" t="n">
        <v>0.290108944643239</v>
      </c>
      <c r="F732" t="n">
        <v>6.60613600642507</v>
      </c>
      <c r="G732" t="n">
        <v>0.5244055068836045</v>
      </c>
      <c r="H732" t="n">
        <v>0.3617021276595745</v>
      </c>
      <c r="I732" t="n">
        <v>0.3286843328684333</v>
      </c>
      <c r="J732" t="n">
        <v>0.4201799203909583</v>
      </c>
      <c r="K732" t="n">
        <v>0.6677157174036119</v>
      </c>
      <c r="L732" t="b">
        <v>0</v>
      </c>
      <c r="N732" t="n">
        <v>0</v>
      </c>
      <c r="O732" t="n">
        <v>0</v>
      </c>
      <c r="P732" t="n">
        <v>0</v>
      </c>
      <c r="Q732" t="n">
        <v>0</v>
      </c>
      <c r="R732" t="n">
        <v>7.463969737705374</v>
      </c>
      <c r="S732" t="n">
        <v>2.273176517098241</v>
      </c>
      <c r="T732" t="n">
        <v>0.197667523225934</v>
      </c>
      <c r="U732" t="n">
        <v>0.3542538354253835</v>
      </c>
      <c r="V732" t="n">
        <v>0.3305439330543933</v>
      </c>
      <c r="W732" t="n">
        <v>0.301255230125523</v>
      </c>
      <c r="X732" t="n">
        <v>0.290108944643239</v>
      </c>
      <c r="Y732" t="n">
        <v>6.60613600642507</v>
      </c>
      <c r="Z732" t="n">
        <v>0.4201799203909583</v>
      </c>
      <c r="AA732" t="n">
        <v>-5.551115123125783e-17</v>
      </c>
    </row>
    <row r="733">
      <c r="A733" t="inlineStr">
        <is>
          <t>2026-02-12</t>
        </is>
      </c>
      <c r="B733" t="inlineStr">
        <is>
          <t>CW</t>
        </is>
      </c>
      <c r="C733" t="inlineStr">
        <is>
          <t>09:18</t>
        </is>
      </c>
      <c r="D733" t="n">
        <v>7.671950995651815</v>
      </c>
      <c r="E733" t="n">
        <v>0.2781563799247596</v>
      </c>
      <c r="F733" t="n">
        <v>5.29915419754926</v>
      </c>
      <c r="G733" t="n">
        <v>0.4543178973717146</v>
      </c>
      <c r="H733" t="n">
        <v>0.1714643304130163</v>
      </c>
      <c r="I733" t="n">
        <v>0.1496978149697815</v>
      </c>
      <c r="J733" t="n">
        <v>0.2802524541078487</v>
      </c>
      <c r="K733" t="n">
        <v>0.6677157174036119</v>
      </c>
      <c r="L733" t="b">
        <v>0</v>
      </c>
      <c r="N733" t="n">
        <v>0</v>
      </c>
      <c r="O733" t="n">
        <v>0</v>
      </c>
      <c r="P733" t="n">
        <v>0</v>
      </c>
      <c r="Q733" t="n">
        <v>0</v>
      </c>
      <c r="R733" t="n">
        <v>3.784726312150815</v>
      </c>
      <c r="S733" t="n">
        <v>1.273885350318461</v>
      </c>
      <c r="T733" t="n">
        <v>0.1976718647045916</v>
      </c>
      <c r="U733" t="n">
        <v>0.06276150627615062</v>
      </c>
      <c r="V733" t="n">
        <v>0.08368200836820083</v>
      </c>
      <c r="W733" t="n">
        <v>0.302649930264993</v>
      </c>
      <c r="X733" t="n">
        <v>0.2781563799247596</v>
      </c>
      <c r="Y733" t="n">
        <v>5.299154197549262</v>
      </c>
      <c r="Z733" t="n">
        <v>0.2802524541078487</v>
      </c>
      <c r="AA733" t="n">
        <v>-5.551115123125783e-17</v>
      </c>
    </row>
    <row r="734">
      <c r="A734" t="inlineStr">
        <is>
          <t>2026-02-17</t>
        </is>
      </c>
      <c r="B734" t="inlineStr">
        <is>
          <t>NW</t>
        </is>
      </c>
      <c r="C734" t="inlineStr">
        <is>
          <t>NW</t>
        </is>
      </c>
      <c r="D734" t="n">
        <v>-3.952221604077879</v>
      </c>
      <c r="E734" t="n">
        <v>0.3222213511441753</v>
      </c>
      <c r="F734" t="n">
        <v>8.380508623813324</v>
      </c>
      <c r="G734" t="n">
        <v>0.6821026282853567</v>
      </c>
      <c r="H734" t="n">
        <v>0.5894868585732165</v>
      </c>
      <c r="I734" t="n">
        <v>0.5</v>
      </c>
      <c r="J734" t="n">
        <v>0.6086357947434293</v>
      </c>
      <c r="K734" t="n">
        <v>0.6677157174036119</v>
      </c>
      <c r="L734" t="b">
        <v>0</v>
      </c>
      <c r="N734" t="n">
        <v>0</v>
      </c>
      <c r="O734" t="n">
        <v>0</v>
      </c>
      <c r="P734" t="n">
        <v>1</v>
      </c>
      <c r="Q734" t="n">
        <v>3.952221604077879</v>
      </c>
      <c r="U734" t="n">
        <v>0.5</v>
      </c>
      <c r="V734" t="n">
        <v>0.5</v>
      </c>
      <c r="W734" t="n">
        <v>0.5</v>
      </c>
      <c r="X734" t="n">
        <v>0.3222213511441753</v>
      </c>
      <c r="Y734" t="n">
        <v>8.380508623813325</v>
      </c>
      <c r="Z734" t="n">
        <v>0.6086357947434293</v>
      </c>
      <c r="AA734" t="n">
        <v>0</v>
      </c>
    </row>
    <row r="735">
      <c r="A735" t="inlineStr">
        <is>
          <t>2026-02-23</t>
        </is>
      </c>
      <c r="B735" t="inlineStr">
        <is>
          <t>NW</t>
        </is>
      </c>
      <c r="C735" t="inlineStr">
        <is>
          <t>NW</t>
        </is>
      </c>
      <c r="D735" t="n">
        <v>7.5795901088763</v>
      </c>
      <c r="E735" t="n">
        <v>0.3480917679424554</v>
      </c>
      <c r="F735" t="n">
        <v>9.676426235767735</v>
      </c>
      <c r="G735" t="n">
        <v>0.8097622027534418</v>
      </c>
      <c r="H735" t="n">
        <v>0.7459324155193993</v>
      </c>
      <c r="I735" t="n">
        <v>0.5</v>
      </c>
      <c r="J735" t="n">
        <v>0.7222778473091364</v>
      </c>
      <c r="K735" t="n">
        <v>0.6677157174036119</v>
      </c>
      <c r="L735" t="b">
        <v>1</v>
      </c>
      <c r="M735" t="inlineStr">
        <is>
          <t>top_quartile_risk</t>
        </is>
      </c>
      <c r="N735" t="n">
        <v>3.952221604078659</v>
      </c>
      <c r="O735" t="n">
        <v>1</v>
      </c>
      <c r="P735" t="n">
        <v>0</v>
      </c>
      <c r="Q735" t="n">
        <v>0</v>
      </c>
      <c r="U735" t="n">
        <v>0.5</v>
      </c>
      <c r="V735" t="n">
        <v>0.5</v>
      </c>
      <c r="W735" t="n">
        <v>0.5</v>
      </c>
      <c r="X735" t="n">
        <v>0.3480917679424554</v>
      </c>
      <c r="Y735" t="n">
        <v>9.676426235767737</v>
      </c>
      <c r="Z735" t="n">
        <v>0.7222778473091364</v>
      </c>
      <c r="AA735" t="n">
        <v>0</v>
      </c>
    </row>
    <row r="736">
      <c r="A736" t="inlineStr">
        <is>
          <t>2026-02-24</t>
        </is>
      </c>
      <c r="B736" t="inlineStr">
        <is>
          <t>CW</t>
        </is>
      </c>
      <c r="C736" t="inlineStr">
        <is>
          <t>09:17</t>
        </is>
      </c>
      <c r="D736" t="n">
        <v>-1.5772480006039</v>
      </c>
      <c r="E736" t="n">
        <v>0.2402229472020256</v>
      </c>
      <c r="F736" t="n">
        <v>3.859738527524113</v>
      </c>
      <c r="G736" t="n">
        <v>0.2227784730913642</v>
      </c>
      <c r="H736" t="n">
        <v>0.04630788485607009</v>
      </c>
      <c r="I736" t="n">
        <v>0.4672245467224547</v>
      </c>
      <c r="J736" t="n">
        <v>0.2010794525234647</v>
      </c>
      <c r="K736" t="n">
        <v>0.6677157174036119</v>
      </c>
      <c r="L736" t="b">
        <v>0</v>
      </c>
      <c r="N736" t="n">
        <v>0</v>
      </c>
      <c r="O736" t="n">
        <v>0</v>
      </c>
      <c r="P736" t="n">
        <v>1</v>
      </c>
      <c r="Q736" t="n">
        <v>1.5772480006039</v>
      </c>
      <c r="R736" t="n">
        <v>8.982006697452819</v>
      </c>
      <c r="S736" t="n">
        <v>5.030721966205847</v>
      </c>
      <c r="T736" t="n">
        <v>0.1920122887864769</v>
      </c>
      <c r="U736" t="n">
        <v>0.4421199442119944</v>
      </c>
      <c r="V736" t="n">
        <v>0.6917712691771269</v>
      </c>
      <c r="W736" t="n">
        <v>0.2677824267782427</v>
      </c>
      <c r="X736" t="n">
        <v>0.2402229472020256</v>
      </c>
      <c r="Y736" t="n">
        <v>3.859738527524113</v>
      </c>
      <c r="Z736" t="n">
        <v>0.2010794525234647</v>
      </c>
      <c r="AA736" t="n">
        <v>-5.551115123125783e-17</v>
      </c>
    </row>
    <row r="737">
      <c r="A737" t="inlineStr">
        <is>
          <t>2026-03-02</t>
        </is>
      </c>
      <c r="B737" t="inlineStr">
        <is>
          <t>CW</t>
        </is>
      </c>
      <c r="C737" t="inlineStr">
        <is>
          <t>09:18</t>
        </is>
      </c>
      <c r="D737" t="n">
        <v>25.82367077644975</v>
      </c>
      <c r="E737" t="n">
        <v>0.3023249429862831</v>
      </c>
      <c r="F737" t="n">
        <v>4.245489606517265</v>
      </c>
      <c r="G737" t="n">
        <v>0.5782227784730913</v>
      </c>
      <c r="H737" t="n">
        <v>0.06883604505632041</v>
      </c>
      <c r="I737" t="n">
        <v>0.6118084611808462</v>
      </c>
      <c r="J737" t="n">
        <v>0.381185221647934</v>
      </c>
      <c r="K737" t="n">
        <v>0.6677157174036119</v>
      </c>
      <c r="L737" t="b">
        <v>0</v>
      </c>
      <c r="N737" t="n">
        <v>1.577248000603504</v>
      </c>
      <c r="O737" t="n">
        <v>1</v>
      </c>
      <c r="P737" t="n">
        <v>0</v>
      </c>
      <c r="Q737" t="n">
        <v>0</v>
      </c>
      <c r="R737" t="n">
        <v>24.58374339713621</v>
      </c>
      <c r="S737" t="n">
        <v>12.60089686098654</v>
      </c>
      <c r="T737" t="n">
        <v>0.1345291479820615</v>
      </c>
      <c r="U737" t="n">
        <v>0.8521617852161785</v>
      </c>
      <c r="V737" t="n">
        <v>0.9079497907949791</v>
      </c>
      <c r="W737" t="n">
        <v>0.07531380753138076</v>
      </c>
      <c r="X737" t="n">
        <v>0.3023249429862831</v>
      </c>
      <c r="Y737" t="n">
        <v>4.245489606517263</v>
      </c>
      <c r="Z737" t="n">
        <v>0.381185221647934</v>
      </c>
      <c r="AA737" t="n">
        <v>0</v>
      </c>
    </row>
    <row r="738">
      <c r="A738" t="inlineStr">
        <is>
          <t>2026-03-06</t>
        </is>
      </c>
      <c r="B738" t="inlineStr">
        <is>
          <t>CW</t>
        </is>
      </c>
      <c r="C738" t="inlineStr">
        <is>
          <t>09:18</t>
        </is>
      </c>
      <c r="D738" t="n">
        <v>-15.67011015224174</v>
      </c>
      <c r="E738" t="n">
        <v>0.3714827039990138</v>
      </c>
      <c r="F738" t="n">
        <v>5.303387196807775</v>
      </c>
      <c r="G738" t="n">
        <v>0.8811013767209012</v>
      </c>
      <c r="H738" t="n">
        <v>0.1727158948685857</v>
      </c>
      <c r="I738" t="n">
        <v>0.303114830311483</v>
      </c>
      <c r="J738" t="n">
        <v>0.4821498746980914</v>
      </c>
      <c r="K738" t="n">
        <v>0.6677157174036119</v>
      </c>
      <c r="L738" t="b">
        <v>0</v>
      </c>
      <c r="N738" t="n">
        <v>0</v>
      </c>
      <c r="O738" t="n">
        <v>0</v>
      </c>
      <c r="P738" t="n">
        <v>1</v>
      </c>
      <c r="Q738" t="n">
        <v>15.67011015224174</v>
      </c>
      <c r="R738" t="n">
        <v>8.286569055758234</v>
      </c>
      <c r="S738" t="n">
        <v>1.845695288318242</v>
      </c>
      <c r="T738" t="n">
        <v>0.194887080132987</v>
      </c>
      <c r="U738" t="n">
        <v>0.397489539748954</v>
      </c>
      <c r="V738" t="n">
        <v>0.2287308228730823</v>
      </c>
      <c r="W738" t="n">
        <v>0.2831241283124128</v>
      </c>
      <c r="X738" t="n">
        <v>0.3714827039990138</v>
      </c>
      <c r="Y738" t="n">
        <v>5.303387196807777</v>
      </c>
      <c r="Z738" t="n">
        <v>0.4821498746980914</v>
      </c>
      <c r="AA738" t="n">
        <v>0</v>
      </c>
    </row>
    <row r="739">
      <c r="A739" t="inlineStr">
        <is>
          <t>2026-03-09</t>
        </is>
      </c>
      <c r="B739" t="inlineStr">
        <is>
          <t>CW</t>
        </is>
      </c>
      <c r="C739" t="inlineStr">
        <is>
          <t>09:18</t>
        </is>
      </c>
      <c r="D739" t="n">
        <v>24.63755606831653</v>
      </c>
      <c r="E739" t="n">
        <v>0.485118504998715</v>
      </c>
      <c r="F739" t="n">
        <v>11.83174084378591</v>
      </c>
      <c r="G739" t="n">
        <v>0.9899874843554443</v>
      </c>
      <c r="H739" t="n">
        <v>0.9148936170212766</v>
      </c>
      <c r="I739" t="n">
        <v>0.5485820548582055</v>
      </c>
      <c r="J739" t="n">
        <v>0.8716688515223294</v>
      </c>
      <c r="K739" t="n">
        <v>0.6677157174036119</v>
      </c>
      <c r="L739" t="b">
        <v>1</v>
      </c>
      <c r="M739" t="inlineStr">
        <is>
          <t>top_quartile_risk</t>
        </is>
      </c>
      <c r="N739" t="n">
        <v>15.67011015224125</v>
      </c>
      <c r="O739" t="n">
        <v>1</v>
      </c>
      <c r="P739" t="n">
        <v>0</v>
      </c>
      <c r="Q739" t="n">
        <v>0</v>
      </c>
      <c r="R739" t="n">
        <v>19.85690421407634</v>
      </c>
      <c r="S739" t="n">
        <v>3.543944916970433</v>
      </c>
      <c r="T739" t="n">
        <v>0.2025111381125962</v>
      </c>
      <c r="U739" t="n">
        <v>0.7866108786610879</v>
      </c>
      <c r="V739" t="n">
        <v>0.5313807531380753</v>
      </c>
      <c r="W739" t="n">
        <v>0.3277545327754533</v>
      </c>
      <c r="X739" t="n">
        <v>0.485118504998715</v>
      </c>
      <c r="Y739" t="n">
        <v>11.83174084378591</v>
      </c>
      <c r="Z739" t="n">
        <v>0.8716688515223294</v>
      </c>
      <c r="AA739" t="n">
        <v>0</v>
      </c>
    </row>
    <row r="740">
      <c r="A740" t="inlineStr">
        <is>
          <t>2026-03-10</t>
        </is>
      </c>
      <c r="B740" t="inlineStr">
        <is>
          <t>NW</t>
        </is>
      </c>
      <c r="C740" t="inlineStr">
        <is>
          <t>NW</t>
        </is>
      </c>
      <c r="D740" t="n">
        <v>75.59908134047865</v>
      </c>
      <c r="E740" t="n">
        <v>0.4651569667295405</v>
      </c>
      <c r="F740" t="n">
        <v>16.78871722652632</v>
      </c>
      <c r="G740" t="n">
        <v>0.9874843554443054</v>
      </c>
      <c r="H740" t="n">
        <v>0.9937421777221527</v>
      </c>
      <c r="I740" t="n">
        <v>0.5</v>
      </c>
      <c r="J740" t="n">
        <v>0.8924906132665832</v>
      </c>
      <c r="K740" t="n">
        <v>0.6677157174036119</v>
      </c>
      <c r="L740" t="b">
        <v>1</v>
      </c>
      <c r="M740" t="inlineStr">
        <is>
          <t>top_quartile_risk</t>
        </is>
      </c>
      <c r="N740" t="n">
        <v>0</v>
      </c>
      <c r="O740" t="n">
        <v>0</v>
      </c>
      <c r="P740" t="n">
        <v>0</v>
      </c>
      <c r="Q740" t="n">
        <v>0</v>
      </c>
      <c r="U740" t="n">
        <v>0.5</v>
      </c>
      <c r="V740" t="n">
        <v>0.5</v>
      </c>
      <c r="W740" t="n">
        <v>0.5</v>
      </c>
      <c r="X740" t="n">
        <v>0.4651569667295405</v>
      </c>
      <c r="Y740" t="n">
        <v>16.78871722652631</v>
      </c>
      <c r="Z740" t="n">
        <v>0.8924906132665832</v>
      </c>
      <c r="AA740" t="n">
        <v>0</v>
      </c>
    </row>
    <row r="741">
      <c r="A741" t="inlineStr">
        <is>
          <t>2026-03-12</t>
        </is>
      </c>
      <c r="B741" t="inlineStr">
        <is>
          <t>CW</t>
        </is>
      </c>
      <c r="C741" t="inlineStr">
        <is>
          <t>09:18</t>
        </is>
      </c>
      <c r="D741" t="n">
        <v>15.42829269673272</v>
      </c>
      <c r="E741" t="n">
        <v>0.4521999308760973</v>
      </c>
      <c r="F741" t="n">
        <v>10.62153870080064</v>
      </c>
      <c r="G741" t="n">
        <v>0.981226533166458</v>
      </c>
      <c r="H741" t="n">
        <v>0.8523153942428036</v>
      </c>
      <c r="I741" t="n">
        <v>0.3598326359832635</v>
      </c>
      <c r="J741" t="n">
        <v>0.8053832981603575</v>
      </c>
      <c r="K741" t="n">
        <v>0.6677157174036119</v>
      </c>
      <c r="L741" t="b">
        <v>1</v>
      </c>
      <c r="M741" t="inlineStr">
        <is>
          <t>top_quartile_risk</t>
        </is>
      </c>
      <c r="N741" t="n">
        <v>0</v>
      </c>
      <c r="O741" t="n">
        <v>0</v>
      </c>
      <c r="P741" t="n">
        <v>0</v>
      </c>
      <c r="Q741" t="n">
        <v>0</v>
      </c>
      <c r="R741" t="n">
        <v>11.63567000476902</v>
      </c>
      <c r="S741" t="n">
        <v>2.792070856178839</v>
      </c>
      <c r="T741" t="n">
        <v>0.1265288907633814</v>
      </c>
      <c r="U741" t="n">
        <v>0.5801952580195258</v>
      </c>
      <c r="V741" t="n">
        <v>0.4435146443514644</v>
      </c>
      <c r="W741" t="n">
        <v>0.05578800557880056</v>
      </c>
      <c r="X741" t="n">
        <v>0.4521999308760973</v>
      </c>
      <c r="Y741" t="n">
        <v>10.62153870080064</v>
      </c>
      <c r="Z741" t="n">
        <v>0.8053832981603575</v>
      </c>
      <c r="AA741" t="n">
        <v>0</v>
      </c>
    </row>
    <row r="742">
      <c r="A742" t="inlineStr">
        <is>
          <t>2026-03-13</t>
        </is>
      </c>
      <c r="B742" t="inlineStr">
        <is>
          <t>CW</t>
        </is>
      </c>
      <c r="C742" t="inlineStr">
        <is>
          <t>09:18</t>
        </is>
      </c>
      <c r="D742" t="n">
        <v>-12.96825505434786</v>
      </c>
      <c r="E742" t="n">
        <v>0.3974759697634782</v>
      </c>
      <c r="F742" t="n">
        <v>6.356806751442845</v>
      </c>
      <c r="G742" t="n">
        <v>0.9361702127659575</v>
      </c>
      <c r="H742" t="n">
        <v>0.3216520650813517</v>
      </c>
      <c r="I742" t="n">
        <v>0.1283124128312413</v>
      </c>
      <c r="J742" t="n">
        <v>0.5287913937051719</v>
      </c>
      <c r="K742" t="n">
        <v>0.6677157174036119</v>
      </c>
      <c r="L742" t="b">
        <v>0</v>
      </c>
      <c r="N742" t="n">
        <v>0</v>
      </c>
      <c r="O742" t="n">
        <v>0</v>
      </c>
      <c r="P742" t="n">
        <v>1</v>
      </c>
      <c r="Q742" t="n">
        <v>12.96825505434786</v>
      </c>
      <c r="R742" t="n">
        <v>6.222311247680882</v>
      </c>
      <c r="S742" t="n">
        <v>1.394276129573338</v>
      </c>
      <c r="T742" t="n">
        <v>0.1153160708669695</v>
      </c>
      <c r="U742" t="n">
        <v>0.2398884239888424</v>
      </c>
      <c r="V742" t="n">
        <v>0.1073919107391911</v>
      </c>
      <c r="W742" t="n">
        <v>0.03765690376569038</v>
      </c>
      <c r="X742" t="n">
        <v>0.3974759697634782</v>
      </c>
      <c r="Y742" t="n">
        <v>6.356806751442847</v>
      </c>
      <c r="Z742" t="n">
        <v>0.5287913937051719</v>
      </c>
      <c r="AA742" t="n">
        <v>0</v>
      </c>
    </row>
    <row r="743">
      <c r="A743" t="inlineStr">
        <is>
          <t>2026-03-16</t>
        </is>
      </c>
      <c r="B743" t="inlineStr">
        <is>
          <t>NW</t>
        </is>
      </c>
      <c r="C743" t="inlineStr">
        <is>
          <t>NW</t>
        </is>
      </c>
      <c r="D743" t="n">
        <v>-39.2760772080976</v>
      </c>
      <c r="E743" t="n">
        <v>0.4613993170411269</v>
      </c>
      <c r="F743" t="n">
        <v>16.95951454097377</v>
      </c>
      <c r="G743" t="n">
        <v>0.983729662077597</v>
      </c>
      <c r="H743" t="n">
        <v>0.9949937421777222</v>
      </c>
      <c r="I743" t="n">
        <v>0.5</v>
      </c>
      <c r="J743" t="n">
        <v>0.8914893617021277</v>
      </c>
      <c r="K743" t="n">
        <v>0.6677157174036119</v>
      </c>
      <c r="L743" t="b">
        <v>1</v>
      </c>
      <c r="M743" t="inlineStr">
        <is>
          <t>top_quartile_risk</t>
        </is>
      </c>
      <c r="N743" t="n">
        <v>12.96825505434754</v>
      </c>
      <c r="O743" t="n">
        <v>1</v>
      </c>
      <c r="P743" t="n">
        <v>1</v>
      </c>
      <c r="Q743" t="n">
        <v>39.2760772080976</v>
      </c>
      <c r="U743" t="n">
        <v>0.5</v>
      </c>
      <c r="V743" t="n">
        <v>0.5</v>
      </c>
      <c r="W743" t="n">
        <v>0.5</v>
      </c>
      <c r="X743" t="n">
        <v>0.4613993170411269</v>
      </c>
      <c r="Y743" t="n">
        <v>16.95951454097377</v>
      </c>
      <c r="Z743" t="n">
        <v>0.8914893617021277</v>
      </c>
      <c r="AA743" t="n">
        <v>0</v>
      </c>
    </row>
    <row r="744">
      <c r="A744" t="inlineStr">
        <is>
          <t>2026-03-17</t>
        </is>
      </c>
      <c r="B744" t="inlineStr">
        <is>
          <t>NW</t>
        </is>
      </c>
      <c r="C744" t="inlineStr">
        <is>
          <t>NW</t>
        </is>
      </c>
      <c r="D744" t="n">
        <v>42.69274592040735</v>
      </c>
      <c r="E744" t="n">
        <v>0.4241084633098134</v>
      </c>
      <c r="F744" t="n">
        <v>15.05199413155863</v>
      </c>
      <c r="G744" t="n">
        <v>0.9662077596996246</v>
      </c>
      <c r="H744" t="n">
        <v>0.9849812265331664</v>
      </c>
      <c r="I744" t="n">
        <v>0.5</v>
      </c>
      <c r="J744" t="n">
        <v>0.8804755944931164</v>
      </c>
      <c r="K744" t="n">
        <v>0.6677157174036119</v>
      </c>
      <c r="L744" t="b">
        <v>1</v>
      </c>
      <c r="M744" t="inlineStr">
        <is>
          <t>top_quartile_risk</t>
        </is>
      </c>
      <c r="N744" t="n">
        <v>52.24433226244582</v>
      </c>
      <c r="O744" t="n">
        <v>2</v>
      </c>
      <c r="P744" t="n">
        <v>0</v>
      </c>
      <c r="Q744" t="n">
        <v>0</v>
      </c>
      <c r="U744" t="n">
        <v>0.5</v>
      </c>
      <c r="V744" t="n">
        <v>0.5</v>
      </c>
      <c r="W744" t="n">
        <v>0.5</v>
      </c>
      <c r="X744" t="n">
        <v>0.4241084633098134</v>
      </c>
      <c r="Y744" t="n">
        <v>15.05199413155863</v>
      </c>
      <c r="Z744" t="n">
        <v>0.8804755944931164</v>
      </c>
      <c r="AA744" t="n">
        <v>0</v>
      </c>
    </row>
    <row r="745">
      <c r="A745" t="inlineStr">
        <is>
          <t>2026-03-19</t>
        </is>
      </c>
      <c r="B745" t="inlineStr">
        <is>
          <t>CW</t>
        </is>
      </c>
      <c r="C745" t="inlineStr">
        <is>
          <t>09:18</t>
        </is>
      </c>
      <c r="D745" t="n">
        <v>-10.45694191820462</v>
      </c>
      <c r="E745" t="n">
        <v>0.3930357134762876</v>
      </c>
      <c r="F745" t="n">
        <v>5.250059153938848</v>
      </c>
      <c r="G745" t="n">
        <v>0.9286608260325406</v>
      </c>
      <c r="H745" t="n">
        <v>0.165206508135169</v>
      </c>
      <c r="I745" t="n">
        <v>0.2742910274291028</v>
      </c>
      <c r="J745" t="n">
        <v>0.4924051391529044</v>
      </c>
      <c r="K745" t="n">
        <v>0.6677157174036119</v>
      </c>
      <c r="L745" t="b">
        <v>0</v>
      </c>
      <c r="N745" t="n">
        <v>9.551586342038718</v>
      </c>
      <c r="O745" t="n">
        <v>0</v>
      </c>
      <c r="P745" t="n">
        <v>1</v>
      </c>
      <c r="Q745" t="n">
        <v>10.45694191820462</v>
      </c>
      <c r="R745" t="n">
        <v>9.443965091672412</v>
      </c>
      <c r="S745" t="n">
        <v>1.666666666666669</v>
      </c>
      <c r="T745" t="n">
        <v>0.1709401709401673</v>
      </c>
      <c r="U745" t="n">
        <v>0.4741980474198048</v>
      </c>
      <c r="V745" t="n">
        <v>0.1771269177126918</v>
      </c>
      <c r="W745" t="n">
        <v>0.1715481171548117</v>
      </c>
      <c r="X745" t="n">
        <v>0.3930357134762877</v>
      </c>
      <c r="Y745" t="n">
        <v>5.250059153938848</v>
      </c>
      <c r="Z745" t="n">
        <v>0.4924051391529044</v>
      </c>
      <c r="AA745" t="n">
        <v>0</v>
      </c>
    </row>
    <row r="746">
      <c r="A746" t="inlineStr">
        <is>
          <t>2026-03-23</t>
        </is>
      </c>
      <c r="B746" t="inlineStr">
        <is>
          <t>CW</t>
        </is>
      </c>
      <c r="C746" t="inlineStr">
        <is>
          <t>09:20+</t>
        </is>
      </c>
      <c r="D746" t="n">
        <v>73.72205874650699</v>
      </c>
      <c r="E746" t="n">
        <v>0.4999461966134234</v>
      </c>
      <c r="F746" t="n">
        <v>15.1511748412364</v>
      </c>
      <c r="G746" t="n">
        <v>0.9949937421777222</v>
      </c>
      <c r="H746" t="n">
        <v>0.986232790988736</v>
      </c>
      <c r="I746" t="n">
        <v>0.3142724314272431</v>
      </c>
      <c r="J746" t="n">
        <v>0.8553450995520319</v>
      </c>
      <c r="K746" t="n">
        <v>0.6677157174036119</v>
      </c>
      <c r="L746" t="b">
        <v>1</v>
      </c>
      <c r="M746" t="inlineStr">
        <is>
          <t>top_quartile_risk</t>
        </is>
      </c>
      <c r="N746" t="n">
        <v>20.00852826024311</v>
      </c>
      <c r="O746" t="n">
        <v>1</v>
      </c>
      <c r="P746" t="n">
        <v>0</v>
      </c>
      <c r="Q746" t="n">
        <v>0</v>
      </c>
      <c r="R746" t="n">
        <v>11.41517155940945</v>
      </c>
      <c r="S746" t="n">
        <v>1.544485534043947</v>
      </c>
      <c r="T746" t="n">
        <v>0.1849031977376537</v>
      </c>
      <c r="U746" t="n">
        <v>0.5690376569037657</v>
      </c>
      <c r="V746" t="n">
        <v>0.1422594142259414</v>
      </c>
      <c r="W746" t="n">
        <v>0.2315202231520223</v>
      </c>
      <c r="X746" t="n">
        <v>0.4999461966134234</v>
      </c>
      <c r="Y746" t="n">
        <v>15.1511748412364</v>
      </c>
      <c r="Z746" t="n">
        <v>0.8553450995520319</v>
      </c>
      <c r="AA746" t="n">
        <v>0</v>
      </c>
    </row>
    <row r="747">
      <c r="A747" t="inlineStr">
        <is>
          <t>2026-03-24</t>
        </is>
      </c>
      <c r="B747" t="inlineStr">
        <is>
          <t>NW</t>
        </is>
      </c>
      <c r="C747" t="inlineStr">
        <is>
          <t>NW</t>
        </is>
      </c>
      <c r="D747" t="n">
        <v>55.728603852728</v>
      </c>
      <c r="E747" t="n">
        <v>0.4888337515994761</v>
      </c>
      <c r="F747" t="n">
        <v>18.1449188446752</v>
      </c>
      <c r="G747" t="n">
        <v>0.9912390488110138</v>
      </c>
      <c r="H747" t="n">
        <v>0.9962453066332916</v>
      </c>
      <c r="I747" t="n">
        <v>0.5</v>
      </c>
      <c r="J747" t="n">
        <v>0.8949937421777222</v>
      </c>
      <c r="K747" t="n">
        <v>0.6677157174036119</v>
      </c>
      <c r="L747" t="b">
        <v>1</v>
      </c>
      <c r="M747" t="inlineStr">
        <is>
          <t>top_quartile_risk</t>
        </is>
      </c>
      <c r="N747" t="n">
        <v>0</v>
      </c>
      <c r="O747" t="n">
        <v>0</v>
      </c>
      <c r="P747" t="n">
        <v>0</v>
      </c>
      <c r="Q747" t="n">
        <v>0</v>
      </c>
      <c r="U747" t="n">
        <v>0.5</v>
      </c>
      <c r="V747" t="n">
        <v>0.5</v>
      </c>
      <c r="W747" t="n">
        <v>0.5</v>
      </c>
      <c r="X747" t="n">
        <v>0.4888337515994761</v>
      </c>
      <c r="Y747" t="n">
        <v>18.1449188446752</v>
      </c>
      <c r="Z747" t="n">
        <v>0.8949937421777222</v>
      </c>
      <c r="AA747" t="n">
        <v>0</v>
      </c>
    </row>
    <row r="748">
      <c r="A748" t="inlineStr">
        <is>
          <t>2026-03-27</t>
        </is>
      </c>
      <c r="B748" t="inlineStr">
        <is>
          <t>CW</t>
        </is>
      </c>
      <c r="C748" t="inlineStr">
        <is>
          <t>09:16</t>
        </is>
      </c>
      <c r="D748" t="n">
        <v>71.40375288928453</v>
      </c>
      <c r="E748" t="n">
        <v>0.2608701726284196</v>
      </c>
      <c r="F748" t="n">
        <v>8.625034905535109</v>
      </c>
      <c r="G748" t="n">
        <v>0.3379224030037547</v>
      </c>
      <c r="H748" t="n">
        <v>0.6270337922403004</v>
      </c>
      <c r="I748" t="n">
        <v>0.6717805671780567</v>
      </c>
      <c r="J748" t="n">
        <v>0.5203385915332335</v>
      </c>
      <c r="K748" t="n">
        <v>0.6677157174036119</v>
      </c>
      <c r="L748" t="b">
        <v>0</v>
      </c>
      <c r="N748" t="n">
        <v>0</v>
      </c>
      <c r="O748" t="n">
        <v>0</v>
      </c>
      <c r="P748" t="n">
        <v>0</v>
      </c>
      <c r="Q748" t="n">
        <v>0</v>
      </c>
      <c r="R748" t="n">
        <v>35.79053120683223</v>
      </c>
      <c r="S748" t="n">
        <v>9.972271736977611</v>
      </c>
      <c r="T748" t="n">
        <v>0.1782531194295967</v>
      </c>
      <c r="U748" t="n">
        <v>0.9344490934449093</v>
      </c>
      <c r="V748" t="n">
        <v>0.8800557880055788</v>
      </c>
      <c r="W748" t="n">
        <v>0.200836820083682</v>
      </c>
      <c r="X748" t="n">
        <v>0.2608701726284195</v>
      </c>
      <c r="Y748" t="n">
        <v>8.625034905535108</v>
      </c>
      <c r="Z748" t="n">
        <v>0.5203385915332335</v>
      </c>
      <c r="AA748" t="n">
        <v>0</v>
      </c>
    </row>
    <row r="749">
      <c r="A749" t="inlineStr">
        <is>
          <t>2026-04-06</t>
        </is>
      </c>
      <c r="B749" t="inlineStr">
        <is>
          <t>CW</t>
        </is>
      </c>
      <c r="C749" t="inlineStr">
        <is>
          <t>09:17</t>
        </is>
      </c>
      <c r="D749" t="n">
        <v>19.77418680340085</v>
      </c>
      <c r="E749" t="n">
        <v>0.3791814323777677</v>
      </c>
      <c r="F749" t="n">
        <v>12.63094214100907</v>
      </c>
      <c r="G749" t="n">
        <v>0.8973717146433041</v>
      </c>
      <c r="H749" t="n">
        <v>0.9461827284105131</v>
      </c>
      <c r="I749" t="n">
        <v>0.4156206415620642</v>
      </c>
      <c r="J749" t="n">
        <v>0.8205459055339397</v>
      </c>
      <c r="K749" t="n">
        <v>0.6677157174036119</v>
      </c>
      <c r="L749" t="b">
        <v>1</v>
      </c>
      <c r="M749" t="inlineStr">
        <is>
          <t>top_quartile_risk</t>
        </is>
      </c>
      <c r="N749" t="n">
        <v>0</v>
      </c>
      <c r="O749" t="n">
        <v>0</v>
      </c>
      <c r="P749" t="n">
        <v>0</v>
      </c>
      <c r="Q749" t="n">
        <v>0</v>
      </c>
      <c r="R749" t="n">
        <v>11.53832577348604</v>
      </c>
      <c r="S749" t="n">
        <v>2.559144676979072</v>
      </c>
      <c r="T749" t="n">
        <v>0.1933575978161952</v>
      </c>
      <c r="U749" t="n">
        <v>0.5746164574616457</v>
      </c>
      <c r="V749" t="n">
        <v>0.397489539748954</v>
      </c>
      <c r="W749" t="n">
        <v>0.2747559274755927</v>
      </c>
      <c r="X749" t="n">
        <v>0.3791814323777677</v>
      </c>
      <c r="Y749" t="n">
        <v>12.63094214100908</v>
      </c>
      <c r="Z749" t="n">
        <v>0.8205459055339397</v>
      </c>
      <c r="AA749" t="n">
        <v>0</v>
      </c>
    </row>
    <row r="750">
      <c r="A750" t="inlineStr">
        <is>
          <t>2026-04-07</t>
        </is>
      </c>
      <c r="B750" t="inlineStr">
        <is>
          <t>NW</t>
        </is>
      </c>
      <c r="C750" t="inlineStr">
        <is>
          <t>NW</t>
        </is>
      </c>
      <c r="D750" t="n">
        <v>21.96818288573418</v>
      </c>
      <c r="E750" t="n">
        <v>0.4920409774917739</v>
      </c>
      <c r="F750" t="n">
        <v>18.63334243636708</v>
      </c>
      <c r="G750" t="n">
        <v>0.9924906132665833</v>
      </c>
      <c r="H750" t="n">
        <v>0.9974968710888611</v>
      </c>
      <c r="I750" t="n">
        <v>0.5</v>
      </c>
      <c r="J750" t="n">
        <v>0.8959949937421777</v>
      </c>
      <c r="K750" t="n">
        <v>0.6677157174036119</v>
      </c>
      <c r="L750" t="b">
        <v>1</v>
      </c>
      <c r="M750" t="inlineStr">
        <is>
          <t>top_quartile_risk</t>
        </is>
      </c>
      <c r="N750" t="n">
        <v>0</v>
      </c>
      <c r="O750" t="n">
        <v>0</v>
      </c>
      <c r="P750" t="n">
        <v>0</v>
      </c>
      <c r="Q750" t="n">
        <v>0</v>
      </c>
      <c r="U750" t="n">
        <v>0.5</v>
      </c>
      <c r="V750" t="n">
        <v>0.5</v>
      </c>
      <c r="W750" t="n">
        <v>0.5</v>
      </c>
      <c r="X750" t="n">
        <v>0.4920409774917739</v>
      </c>
      <c r="Y750" t="n">
        <v>18.63334243636708</v>
      </c>
      <c r="Z750" t="n">
        <v>0.8959949937421777</v>
      </c>
      <c r="AA750" t="n">
        <v>0</v>
      </c>
    </row>
    <row r="751">
      <c r="A751" t="inlineStr">
        <is>
          <t>2026-04-13</t>
        </is>
      </c>
      <c r="B751" t="inlineStr">
        <is>
          <t>CW</t>
        </is>
      </c>
      <c r="C751" t="inlineStr">
        <is>
          <t>09:18</t>
        </is>
      </c>
      <c r="D751" t="n">
        <v>13.86799925228275</v>
      </c>
      <c r="E751" t="n">
        <v>0.3257414920510722</v>
      </c>
      <c r="F751" t="n">
        <v>4.924222085431045</v>
      </c>
      <c r="G751" t="n">
        <v>0.7096370463078848</v>
      </c>
      <c r="H751" t="n">
        <v>0.1314142678347935</v>
      </c>
      <c r="I751" t="n">
        <v>0.5392840539284054</v>
      </c>
      <c r="J751" t="n">
        <v>0.4442773364427524</v>
      </c>
      <c r="K751" t="n">
        <v>0.6677157174036119</v>
      </c>
      <c r="L751" t="b">
        <v>0</v>
      </c>
      <c r="N751" t="n">
        <v>0</v>
      </c>
      <c r="O751" t="n">
        <v>0</v>
      </c>
      <c r="P751" t="n">
        <v>0</v>
      </c>
      <c r="Q751" t="n">
        <v>0</v>
      </c>
      <c r="R751" t="n">
        <v>8.543493377201727</v>
      </c>
      <c r="S751" t="n">
        <v>3.926553672316393</v>
      </c>
      <c r="T751" t="n">
        <v>0.2542372881355948</v>
      </c>
      <c r="U751" t="n">
        <v>0.4225941422594142</v>
      </c>
      <c r="V751" t="n">
        <v>0.5871687587168759</v>
      </c>
      <c r="W751" t="n">
        <v>0.6080892608089261</v>
      </c>
      <c r="X751" t="n">
        <v>0.3257414920510722</v>
      </c>
      <c r="Y751" t="n">
        <v>4.924222085431043</v>
      </c>
      <c r="Z751" t="n">
        <v>0.4442773364427524</v>
      </c>
      <c r="AA751" t="n">
        <v>0</v>
      </c>
    </row>
    <row r="752">
      <c r="A752" t="inlineStr">
        <is>
          <t>2026-04-17</t>
        </is>
      </c>
      <c r="B752" t="inlineStr">
        <is>
          <t>CW</t>
        </is>
      </c>
      <c r="C752" t="inlineStr">
        <is>
          <t>09:17</t>
        </is>
      </c>
      <c r="D752" t="n">
        <v>2.814293057052748</v>
      </c>
      <c r="E752" t="n">
        <v>0.2844765378065676</v>
      </c>
      <c r="F752" t="n">
        <v>7.551437733826201</v>
      </c>
      <c r="G752" t="n">
        <v>0.4856070087609512</v>
      </c>
      <c r="H752" t="n">
        <v>0.4893617021276596</v>
      </c>
      <c r="I752" t="n">
        <v>0.4407252440725244</v>
      </c>
      <c r="J752" t="n">
        <v>0.4781325331699492</v>
      </c>
      <c r="K752" t="n">
        <v>0.6677157174036119</v>
      </c>
      <c r="L752" t="b">
        <v>0</v>
      </c>
      <c r="N752" t="n">
        <v>0</v>
      </c>
      <c r="O752" t="n">
        <v>0</v>
      </c>
      <c r="P752" t="n">
        <v>0</v>
      </c>
      <c r="Q752" t="n">
        <v>0</v>
      </c>
      <c r="R752" t="n">
        <v>23.03904217200475</v>
      </c>
      <c r="S752" t="n">
        <v>3.080466388369093</v>
      </c>
      <c r="T752" t="n">
        <v>0.0863682164963244</v>
      </c>
      <c r="U752" t="n">
        <v>0.8368200836820083</v>
      </c>
      <c r="V752" t="n">
        <v>0.4741980474198048</v>
      </c>
      <c r="W752" t="n">
        <v>0.01115760111576011</v>
      </c>
      <c r="X752" t="n">
        <v>0.2844765378065676</v>
      </c>
      <c r="Y752" t="n">
        <v>7.551437733826201</v>
      </c>
      <c r="Z752" t="n">
        <v>0.4781325331699492</v>
      </c>
      <c r="AA752" t="n">
        <v>5.551115123125783e-17</v>
      </c>
    </row>
    <row r="753">
      <c r="A753" t="inlineStr">
        <is>
          <t>2026-04-20</t>
        </is>
      </c>
      <c r="B753" t="inlineStr">
        <is>
          <t>CW</t>
        </is>
      </c>
      <c r="C753" t="inlineStr">
        <is>
          <t>09:17</t>
        </is>
      </c>
      <c r="D753" t="n">
        <v>-39.93100238550339</v>
      </c>
      <c r="E753" t="n">
        <v>0.2867936619540866</v>
      </c>
      <c r="F753" t="n">
        <v>7.61723647242244</v>
      </c>
      <c r="G753" t="n">
        <v>0.5043804755944932</v>
      </c>
      <c r="H753" t="n">
        <v>0.4993742177722152</v>
      </c>
      <c r="I753" t="n">
        <v>0.686192468619247</v>
      </c>
      <c r="J753" t="n">
        <v>0.5387403710705329</v>
      </c>
      <c r="K753" t="n">
        <v>0.6677157174036119</v>
      </c>
      <c r="L753" t="b">
        <v>0</v>
      </c>
      <c r="N753" t="n">
        <v>0</v>
      </c>
      <c r="O753" t="n">
        <v>0</v>
      </c>
      <c r="P753" t="n">
        <v>1</v>
      </c>
      <c r="Q753" t="n">
        <v>39.93100238550339</v>
      </c>
      <c r="R753" t="n">
        <v>19.40883411009817</v>
      </c>
      <c r="S753" t="n">
        <v>3.997799376489998</v>
      </c>
      <c r="T753" t="n">
        <v>0.2750779387493123</v>
      </c>
      <c r="U753" t="n">
        <v>0.7810320781032078</v>
      </c>
      <c r="V753" t="n">
        <v>0.5983263598326359</v>
      </c>
      <c r="W753" t="n">
        <v>0.6792189679218968</v>
      </c>
      <c r="X753" t="n">
        <v>0.2867936619540865</v>
      </c>
      <c r="Y753" t="n">
        <v>7.617236472422439</v>
      </c>
      <c r="Z753" t="n">
        <v>0.5387403710705329</v>
      </c>
      <c r="AA753" t="n">
        <v>0</v>
      </c>
    </row>
    <row r="754">
      <c r="A754" t="inlineStr">
        <is>
          <t>2026-04-21</t>
        </is>
      </c>
      <c r="B754" t="inlineStr">
        <is>
          <t>NW</t>
        </is>
      </c>
      <c r="C754" t="inlineStr">
        <is>
          <t>NW</t>
        </is>
      </c>
      <c r="D754" t="n">
        <v>19.47878869835166</v>
      </c>
      <c r="E754" t="n">
        <v>0.3862742603471572</v>
      </c>
      <c r="F754" t="n">
        <v>11.75699825432994</v>
      </c>
      <c r="G754" t="n">
        <v>0.9173967459324155</v>
      </c>
      <c r="H754" t="n">
        <v>0.9111389236545682</v>
      </c>
      <c r="I754" t="n">
        <v>0.5</v>
      </c>
      <c r="J754" t="n">
        <v>0.8314142678347934</v>
      </c>
      <c r="K754" t="n">
        <v>0.6677157174036119</v>
      </c>
      <c r="L754" t="b">
        <v>1</v>
      </c>
      <c r="M754" t="inlineStr">
        <is>
          <t>top_quartile_risk</t>
        </is>
      </c>
      <c r="N754" t="n">
        <v>39.93100238550323</v>
      </c>
      <c r="O754" t="n">
        <v>1</v>
      </c>
      <c r="P754" t="n">
        <v>0</v>
      </c>
      <c r="Q754" t="n">
        <v>0</v>
      </c>
      <c r="U754" t="n">
        <v>0.5</v>
      </c>
      <c r="V754" t="n">
        <v>0.5</v>
      </c>
      <c r="W754" t="n">
        <v>0.5</v>
      </c>
      <c r="X754" t="n">
        <v>0.3862742603471572</v>
      </c>
      <c r="Y754" t="n">
        <v>11.75699825432994</v>
      </c>
      <c r="Z754" t="n">
        <v>0.8314142678347934</v>
      </c>
      <c r="AA754" t="n">
        <v>0</v>
      </c>
    </row>
    <row r="755">
      <c r="A755" t="inlineStr">
        <is>
          <t>2026-04-22</t>
        </is>
      </c>
      <c r="B755" t="inlineStr">
        <is>
          <t>CW</t>
        </is>
      </c>
      <c r="C755" t="inlineStr">
        <is>
          <t>09:17</t>
        </is>
      </c>
      <c r="D755" t="n">
        <v>16.71197099405046</v>
      </c>
      <c r="E755" t="n">
        <v>0.2763198770299021</v>
      </c>
      <c r="F755" t="n">
        <v>6.180896838553397</v>
      </c>
      <c r="G755" t="n">
        <v>0.4355444305381727</v>
      </c>
      <c r="H755" t="n">
        <v>0.2916145181476846</v>
      </c>
      <c r="I755" t="n">
        <v>0.4472338447233845</v>
      </c>
      <c r="J755" t="n">
        <v>0.3803103484190198</v>
      </c>
      <c r="K755" t="n">
        <v>0.6677157174036119</v>
      </c>
      <c r="L755" t="b">
        <v>0</v>
      </c>
      <c r="N755" t="n">
        <v>20.45221368715102</v>
      </c>
      <c r="O755" t="n">
        <v>0</v>
      </c>
      <c r="P755" t="n">
        <v>0</v>
      </c>
      <c r="Q755" t="n">
        <v>0</v>
      </c>
      <c r="R755" t="n">
        <v>12.7076744547135</v>
      </c>
      <c r="S755" t="n">
        <v>2.552376900989046</v>
      </c>
      <c r="T755" t="n">
        <v>0.2020631713283031</v>
      </c>
      <c r="U755" t="n">
        <v>0.6234309623430963</v>
      </c>
      <c r="V755" t="n">
        <v>0.3947001394700139</v>
      </c>
      <c r="W755" t="n">
        <v>0.3235704323570432</v>
      </c>
      <c r="X755" t="n">
        <v>0.2763198770299022</v>
      </c>
      <c r="Y755" t="n">
        <v>6.1808968385534</v>
      </c>
      <c r="Z755" t="n">
        <v>0.3803103484190198</v>
      </c>
      <c r="AA755" t="n">
        <v>5.551115123125783e-17</v>
      </c>
    </row>
    <row r="756">
      <c r="A756" t="inlineStr">
        <is>
          <t>2026-04-23</t>
        </is>
      </c>
      <c r="B756" t="inlineStr">
        <is>
          <t>CW</t>
        </is>
      </c>
      <c r="C756" t="inlineStr">
        <is>
          <t>09:18</t>
        </is>
      </c>
      <c r="D756" t="n">
        <v>35.61117961907052</v>
      </c>
      <c r="E756" t="n">
        <v>0.3570748676706852</v>
      </c>
      <c r="F756" t="n">
        <v>7.417678950727185</v>
      </c>
      <c r="G756" t="n">
        <v>0.8347934918648311</v>
      </c>
      <c r="H756" t="n">
        <v>0.4643304130162703</v>
      </c>
      <c r="I756" t="n">
        <v>0.2105997210599721</v>
      </c>
      <c r="J756" t="n">
        <v>0.561769506164435</v>
      </c>
      <c r="K756" t="n">
        <v>0.6677157174036119</v>
      </c>
      <c r="L756" t="b">
        <v>0</v>
      </c>
      <c r="N756" t="n">
        <v>3.740242693100299</v>
      </c>
      <c r="O756" t="n">
        <v>0</v>
      </c>
      <c r="P756" t="n">
        <v>0</v>
      </c>
      <c r="Q756" t="n">
        <v>0</v>
      </c>
      <c r="R756" t="n">
        <v>5.420457883869191</v>
      </c>
      <c r="S756" t="n">
        <v>1.331153666510974</v>
      </c>
      <c r="T756" t="n">
        <v>0.2101821578701554</v>
      </c>
      <c r="U756" t="n">
        <v>0.1617852161785216</v>
      </c>
      <c r="V756" t="n">
        <v>0.09205020920502092</v>
      </c>
      <c r="W756" t="n">
        <v>0.3779637377963738</v>
      </c>
      <c r="X756" t="n">
        <v>0.3570748676706852</v>
      </c>
      <c r="Y756" t="n">
        <v>7.417678950727182</v>
      </c>
      <c r="Z756" t="n">
        <v>0.561769506164435</v>
      </c>
      <c r="AA756" t="n">
        <v>0</v>
      </c>
    </row>
    <row r="757">
      <c r="A757" t="inlineStr">
        <is>
          <t>2026-04-27</t>
        </is>
      </c>
      <c r="B757" t="inlineStr">
        <is>
          <t>NW</t>
        </is>
      </c>
      <c r="C757" t="inlineStr">
        <is>
          <t>NW</t>
        </is>
      </c>
      <c r="D757" t="n">
        <v>50.11044949797881</v>
      </c>
      <c r="E757" t="n">
        <v>0.4000293953953978</v>
      </c>
      <c r="F757" t="n">
        <v>12.08500171148802</v>
      </c>
      <c r="G757" t="n">
        <v>0.9411764705882353</v>
      </c>
      <c r="H757" t="n">
        <v>0.9211514392991239</v>
      </c>
      <c r="I757" t="n">
        <v>0.5</v>
      </c>
      <c r="J757" t="n">
        <v>0.8449311639549436</v>
      </c>
      <c r="K757" t="n">
        <v>0.6677157174036119</v>
      </c>
      <c r="L757" t="b">
        <v>1</v>
      </c>
      <c r="M757" t="inlineStr">
        <is>
          <t>top_quartile_risk</t>
        </is>
      </c>
      <c r="N757" t="n">
        <v>0</v>
      </c>
      <c r="O757" t="n">
        <v>0</v>
      </c>
      <c r="P757" t="n">
        <v>0</v>
      </c>
      <c r="Q757" t="n">
        <v>0</v>
      </c>
      <c r="U757" t="n">
        <v>0.5</v>
      </c>
      <c r="V757" t="n">
        <v>0.5</v>
      </c>
      <c r="W757" t="n">
        <v>0.5</v>
      </c>
      <c r="X757" t="n">
        <v>0.4000293953953977</v>
      </c>
      <c r="Y757" t="n">
        <v>12.08500171148802</v>
      </c>
      <c r="Z757" t="n">
        <v>0.8449311639549436</v>
      </c>
      <c r="AA757" t="n">
        <v>0</v>
      </c>
    </row>
    <row r="758">
      <c r="A758" t="inlineStr">
        <is>
          <t>2026-04-28</t>
        </is>
      </c>
      <c r="B758" t="inlineStr">
        <is>
          <t>NW</t>
        </is>
      </c>
      <c r="C758" t="inlineStr">
        <is>
          <t>NW</t>
        </is>
      </c>
      <c r="D758" t="n">
        <v>31.29688863713791</v>
      </c>
      <c r="E758" t="n">
        <v>0.3895116679165869</v>
      </c>
      <c r="F758" t="n">
        <v>11.27360787491463</v>
      </c>
      <c r="G758" t="n">
        <v>0.9224030037546934</v>
      </c>
      <c r="H758" t="n">
        <v>0.8986232790988736</v>
      </c>
      <c r="I758" t="n">
        <v>0.5</v>
      </c>
      <c r="J758" t="n">
        <v>0.8284105131414269</v>
      </c>
      <c r="K758" t="n">
        <v>0.6677157174036119</v>
      </c>
      <c r="L758" t="b">
        <v>1</v>
      </c>
      <c r="M758" t="inlineStr">
        <is>
          <t>top_quartile_risk</t>
        </is>
      </c>
      <c r="N758" t="n">
        <v>0</v>
      </c>
      <c r="O758" t="n">
        <v>0</v>
      </c>
      <c r="P758" t="n">
        <v>0</v>
      </c>
      <c r="Q758" t="n">
        <v>0</v>
      </c>
      <c r="U758" t="n">
        <v>0.5</v>
      </c>
      <c r="V758" t="n">
        <v>0.5</v>
      </c>
      <c r="W758" t="n">
        <v>0.5</v>
      </c>
      <c r="X758" t="n">
        <v>0.3895116679165869</v>
      </c>
      <c r="Y758" t="n">
        <v>11.27360787491463</v>
      </c>
      <c r="Z758" t="n">
        <v>0.8284105131414269</v>
      </c>
      <c r="AA758" t="n">
        <v>0</v>
      </c>
    </row>
    <row r="759">
      <c r="A759" t="inlineStr">
        <is>
          <t>2026-04-30</t>
        </is>
      </c>
      <c r="B759" t="inlineStr">
        <is>
          <t>CW</t>
        </is>
      </c>
      <c r="C759" t="inlineStr">
        <is>
          <t>09:20+</t>
        </is>
      </c>
      <c r="D759" t="n">
        <v>-0.09679895669160071</v>
      </c>
      <c r="E759" t="n">
        <v>0.4108532162449145</v>
      </c>
      <c r="F759" t="n">
        <v>10.21140749022886</v>
      </c>
      <c r="G759" t="n">
        <v>0.9574468085106383</v>
      </c>
      <c r="H759" t="n">
        <v>0.8110137672090113</v>
      </c>
      <c r="I759" t="n">
        <v>0.1483031148303115</v>
      </c>
      <c r="J759" t="n">
        <v>0.7370448532539222</v>
      </c>
      <c r="K759" t="n">
        <v>0.6677157174036119</v>
      </c>
      <c r="L759" t="b">
        <v>1</v>
      </c>
      <c r="M759" t="inlineStr">
        <is>
          <t>top_quartile_risk</t>
        </is>
      </c>
      <c r="N759" t="n">
        <v>0</v>
      </c>
      <c r="O759" t="n">
        <v>0</v>
      </c>
      <c r="P759" t="n">
        <v>1</v>
      </c>
      <c r="Q759" t="n">
        <v>0.09679895669160071</v>
      </c>
      <c r="R759" t="n">
        <v>4.624151100442867</v>
      </c>
      <c r="S759" t="n">
        <v>1.549418967887054</v>
      </c>
      <c r="T759" t="n">
        <v>0.1749343996001542</v>
      </c>
      <c r="U759" t="n">
        <v>0.1087866108786611</v>
      </c>
      <c r="V759" t="n">
        <v>0.1464435146443515</v>
      </c>
      <c r="W759" t="n">
        <v>0.1896792189679219</v>
      </c>
      <c r="X759" t="n">
        <v>0.4108532162449145</v>
      </c>
      <c r="Y759" t="n">
        <v>10.21140749022886</v>
      </c>
      <c r="Z759" t="n">
        <v>0.7370448532539222</v>
      </c>
      <c r="AA759" t="n">
        <v>0</v>
      </c>
    </row>
    <row r="760">
      <c r="A760" t="inlineStr">
        <is>
          <t>2026-05-04</t>
        </is>
      </c>
      <c r="B760" t="inlineStr">
        <is>
          <t>NW</t>
        </is>
      </c>
      <c r="C760" t="inlineStr">
        <is>
          <t>NW</t>
        </is>
      </c>
      <c r="D760" t="n">
        <v>-43.98061065518753</v>
      </c>
      <c r="E760" t="n">
        <v>0.3915430304072263</v>
      </c>
      <c r="F760" t="n">
        <v>12.06017589215031</v>
      </c>
      <c r="G760" t="n">
        <v>0.9249061326658323</v>
      </c>
      <c r="H760" t="n">
        <v>0.9198998748435544</v>
      </c>
      <c r="I760" t="n">
        <v>0.5</v>
      </c>
      <c r="J760" t="n">
        <v>0.8379224030037548</v>
      </c>
      <c r="K760" t="n">
        <v>0.6677157174036119</v>
      </c>
      <c r="L760" t="b">
        <v>1</v>
      </c>
      <c r="M760" t="inlineStr">
        <is>
          <t>top_quartile_risk</t>
        </is>
      </c>
      <c r="N760" t="n">
        <v>0.09679895669250982</v>
      </c>
      <c r="O760" t="n">
        <v>1</v>
      </c>
      <c r="P760" t="n">
        <v>1</v>
      </c>
      <c r="Q760" t="n">
        <v>43.98061065518753</v>
      </c>
      <c r="U760" t="n">
        <v>0.5</v>
      </c>
      <c r="V760" t="n">
        <v>0.5</v>
      </c>
      <c r="W760" t="n">
        <v>0.5</v>
      </c>
      <c r="X760" t="n">
        <v>0.3915430304072263</v>
      </c>
      <c r="Y760" t="n">
        <v>12.06017589215031</v>
      </c>
      <c r="Z760" t="n">
        <v>0.8379224030037548</v>
      </c>
      <c r="AA760" t="n">
        <v>0</v>
      </c>
    </row>
    <row r="761">
      <c r="A761" t="inlineStr">
        <is>
          <t>2026-05-05</t>
        </is>
      </c>
      <c r="B761" t="inlineStr">
        <is>
          <t>CW</t>
        </is>
      </c>
      <c r="C761" t="inlineStr">
        <is>
          <t>09:18</t>
        </is>
      </c>
      <c r="D761" t="n">
        <v>38.05616416613262</v>
      </c>
      <c r="E761" t="n">
        <v>0.2266352496091747</v>
      </c>
      <c r="F761" t="n">
        <v>0.7820336286981071</v>
      </c>
      <c r="G761" t="n">
        <v>0.1614518147684606</v>
      </c>
      <c r="H761" t="n">
        <v>0.006257822277847309</v>
      </c>
      <c r="I761" t="n">
        <v>0.5764760576476058</v>
      </c>
      <c r="J761" t="n">
        <v>0.1823790663480443</v>
      </c>
      <c r="K761" t="n">
        <v>0.6677157174036119</v>
      </c>
      <c r="L761" t="b">
        <v>0</v>
      </c>
      <c r="N761" t="n">
        <v>44.07740961188028</v>
      </c>
      <c r="O761" t="n">
        <v>2</v>
      </c>
      <c r="P761" t="n">
        <v>0</v>
      </c>
      <c r="Q761" t="n">
        <v>0</v>
      </c>
      <c r="R761" t="n">
        <v>7.926452506819833</v>
      </c>
      <c r="S761" t="n">
        <v>4.52776795189247</v>
      </c>
      <c r="T761" t="n">
        <v>0.2829854969932831</v>
      </c>
      <c r="U761" t="n">
        <v>0.3807531380753138</v>
      </c>
      <c r="V761" t="n">
        <v>0.6457461645746164</v>
      </c>
      <c r="W761" t="n">
        <v>0.702928870292887</v>
      </c>
      <c r="X761" t="n">
        <v>0.2266352496091747</v>
      </c>
      <c r="Y761" t="n">
        <v>0.7820336286981061</v>
      </c>
      <c r="Z761" t="n">
        <v>0.1823790663480443</v>
      </c>
      <c r="AA761" t="n">
        <v>0</v>
      </c>
    </row>
    <row r="762">
      <c r="A762" t="inlineStr">
        <is>
          <t>2026-05-08</t>
        </is>
      </c>
      <c r="B762" t="inlineStr">
        <is>
          <t>CW</t>
        </is>
      </c>
      <c r="C762" t="inlineStr">
        <is>
          <t>09:18</t>
        </is>
      </c>
      <c r="D762" t="n">
        <v>27.67848609115503</v>
      </c>
      <c r="E762" t="n">
        <v>0.2937975089226362</v>
      </c>
      <c r="F762" t="n">
        <v>4.728219967235176</v>
      </c>
      <c r="G762" t="n">
        <v>0.5456821026282853</v>
      </c>
      <c r="H762" t="n">
        <v>0.1026282853566959</v>
      </c>
      <c r="I762" t="n">
        <v>0.4086471408647141</v>
      </c>
      <c r="J762" t="n">
        <v>0.3410535833669353</v>
      </c>
      <c r="K762" t="n">
        <v>0.6677157174036119</v>
      </c>
      <c r="L762" t="b">
        <v>0</v>
      </c>
      <c r="N762" t="n">
        <v>6.021245445746899</v>
      </c>
      <c r="O762" t="n">
        <v>0</v>
      </c>
      <c r="P762" t="n">
        <v>0</v>
      </c>
      <c r="Q762" t="n">
        <v>0</v>
      </c>
      <c r="R762" t="n">
        <v>11.41731633192299</v>
      </c>
      <c r="S762" t="n">
        <v>0.8738310593285019</v>
      </c>
      <c r="T762" t="n">
        <v>0.2606162808523668</v>
      </c>
      <c r="U762" t="n">
        <v>0.5704323570432357</v>
      </c>
      <c r="V762" t="n">
        <v>0.01673640167364017</v>
      </c>
      <c r="W762" t="n">
        <v>0.6387726638772664</v>
      </c>
      <c r="X762" t="n">
        <v>0.2937975089226362</v>
      </c>
      <c r="Y762" t="n">
        <v>4.728219967235175</v>
      </c>
      <c r="Z762" t="n">
        <v>0.3410535833669353</v>
      </c>
      <c r="AA762" t="n">
        <v>0</v>
      </c>
    </row>
    <row r="763">
      <c r="A763" t="inlineStr">
        <is>
          <t>2026-05-12</t>
        </is>
      </c>
      <c r="B763" t="inlineStr">
        <is>
          <t>CW</t>
        </is>
      </c>
      <c r="C763" t="inlineStr">
        <is>
          <t>09:17</t>
        </is>
      </c>
      <c r="D763" t="n">
        <v>3.125005777882519</v>
      </c>
      <c r="E763" t="n">
        <v>0.2081081266892635</v>
      </c>
      <c r="F763" t="n">
        <v>2.800647727765574</v>
      </c>
      <c r="G763" t="n">
        <v>0.1176470588235294</v>
      </c>
      <c r="H763" t="n">
        <v>0.02002503128911139</v>
      </c>
      <c r="I763" t="n">
        <v>0.5276615527661552</v>
      </c>
      <c r="J763" t="n">
        <v>0.1606011465982874</v>
      </c>
      <c r="K763" t="n">
        <v>0.6677157174036119</v>
      </c>
      <c r="L763" t="b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16.92025958463022</v>
      </c>
      <c r="S763" t="n">
        <v>3.992537313432831</v>
      </c>
      <c r="T763" t="n">
        <v>0.1865671641791044</v>
      </c>
      <c r="U763" t="n">
        <v>0.7461645746164575</v>
      </c>
      <c r="V763" t="n">
        <v>0.596931659693166</v>
      </c>
      <c r="W763" t="n">
        <v>0.2398884239888424</v>
      </c>
      <c r="X763" t="n">
        <v>0.2081081266892635</v>
      </c>
      <c r="Y763" t="n">
        <v>2.800647727765576</v>
      </c>
      <c r="Z763" t="n">
        <v>0.1606011465982874</v>
      </c>
      <c r="AA763" t="n">
        <v>-2.775557561562891e-17</v>
      </c>
    </row>
    <row r="764">
      <c r="A764" t="inlineStr">
        <is>
          <t>2026-05-13</t>
        </is>
      </c>
      <c r="B764" t="inlineStr">
        <is>
          <t>CW</t>
        </is>
      </c>
      <c r="C764" t="inlineStr">
        <is>
          <t>09:17</t>
        </is>
      </c>
      <c r="D764" t="n">
        <v>-39.08158268426224</v>
      </c>
      <c r="E764" t="n">
        <v>0.2499841570865885</v>
      </c>
      <c r="F764" t="n">
        <v>8.568024496627489</v>
      </c>
      <c r="G764" t="n">
        <v>0.2665832290362954</v>
      </c>
      <c r="H764" t="n">
        <v>0.6157697121401752</v>
      </c>
      <c r="I764" t="n">
        <v>0.6071594607159461</v>
      </c>
      <c r="J764" t="n">
        <v>0.4743730686137775</v>
      </c>
      <c r="K764" t="n">
        <v>0.6677157174036119</v>
      </c>
      <c r="L764" t="b">
        <v>0</v>
      </c>
      <c r="N764" t="n">
        <v>0</v>
      </c>
      <c r="O764" t="n">
        <v>0</v>
      </c>
      <c r="P764" t="n">
        <v>1</v>
      </c>
      <c r="Q764" t="n">
        <v>39.08158268426224</v>
      </c>
      <c r="R764" t="n">
        <v>22.2316008457804</v>
      </c>
      <c r="S764" t="n">
        <v>2.592875040854119</v>
      </c>
      <c r="T764" t="n">
        <v>0.2505719577295952</v>
      </c>
      <c r="U764" t="n">
        <v>0.8228730822873083</v>
      </c>
      <c r="V764" t="n">
        <v>0.4072524407252441</v>
      </c>
      <c r="W764" t="n">
        <v>0.5913528591352859</v>
      </c>
      <c r="X764" t="n">
        <v>0.2499841570865885</v>
      </c>
      <c r="Y764" t="n">
        <v>8.568024496627491</v>
      </c>
      <c r="Z764" t="n">
        <v>0.4743730686137775</v>
      </c>
      <c r="AA764" t="n">
        <v>0</v>
      </c>
    </row>
    <row r="765">
      <c r="A765" t="inlineStr">
        <is>
          <t>2026-05-15</t>
        </is>
      </c>
      <c r="B765" t="inlineStr">
        <is>
          <t>CW</t>
        </is>
      </c>
      <c r="C765" t="inlineStr">
        <is>
          <t>09:19</t>
        </is>
      </c>
      <c r="D765" t="n">
        <v>1.097418326599476</v>
      </c>
      <c r="E765" t="n">
        <v>0.2872499459589043</v>
      </c>
      <c r="F765" t="n">
        <v>8.228881660394219</v>
      </c>
      <c r="G765" t="n">
        <v>0.5056320400500626</v>
      </c>
      <c r="H765" t="n">
        <v>0.571964956195244</v>
      </c>
      <c r="I765" t="n">
        <v>0.4700139470013947</v>
      </c>
      <c r="J765" t="n">
        <v>0.5250415878984016</v>
      </c>
      <c r="K765" t="n">
        <v>0.6677157174036119</v>
      </c>
      <c r="L765" t="b">
        <v>0</v>
      </c>
      <c r="N765" t="n">
        <v>39.08158268426268</v>
      </c>
      <c r="O765" t="n">
        <v>1</v>
      </c>
      <c r="P765" t="n">
        <v>0</v>
      </c>
      <c r="Q765" t="n">
        <v>0</v>
      </c>
      <c r="R765" t="n">
        <v>14.42336036923956</v>
      </c>
      <c r="S765" t="n">
        <v>1.350962920379433</v>
      </c>
      <c r="T765" t="n">
        <v>0.2586950273066908</v>
      </c>
      <c r="U765" t="n">
        <v>0.6889818688981869</v>
      </c>
      <c r="V765" t="n">
        <v>0.09762900976290098</v>
      </c>
      <c r="W765" t="n">
        <v>0.6234309623430963</v>
      </c>
      <c r="X765" t="n">
        <v>0.2872499459589043</v>
      </c>
      <c r="Y765" t="n">
        <v>8.228881660394219</v>
      </c>
      <c r="Z765" t="n">
        <v>0.5250415878984016</v>
      </c>
      <c r="AA765" t="n">
        <v>0</v>
      </c>
    </row>
    <row r="766">
      <c r="A766" t="inlineStr">
        <is>
          <t>2026-05-18</t>
        </is>
      </c>
      <c r="B766" t="inlineStr">
        <is>
          <t>CW</t>
        </is>
      </c>
      <c r="C766" t="inlineStr">
        <is>
          <t>09:17</t>
        </is>
      </c>
      <c r="D766" t="n">
        <v>14.76853933562878</v>
      </c>
      <c r="E766" t="n">
        <v>0.3060166969741311</v>
      </c>
      <c r="F766" t="n">
        <v>7.883829303686607</v>
      </c>
      <c r="G766" t="n">
        <v>0.5994993742177722</v>
      </c>
      <c r="H766" t="n">
        <v>0.5256570713391739</v>
      </c>
      <c r="I766" t="n">
        <v>0.5281264528126454</v>
      </c>
      <c r="J766" t="n">
        <v>0.5556878687853076</v>
      </c>
      <c r="K766" t="n">
        <v>0.6677157174036119</v>
      </c>
      <c r="L766" t="b">
        <v>0</v>
      </c>
      <c r="N766" t="n">
        <v>37.98416435766376</v>
      </c>
      <c r="O766" t="n">
        <v>0</v>
      </c>
      <c r="P766" t="n">
        <v>0</v>
      </c>
      <c r="Q766" t="n">
        <v>0</v>
      </c>
      <c r="R766" t="n">
        <v>13.75742078267792</v>
      </c>
      <c r="S766" t="n">
        <v>2.152287936335701</v>
      </c>
      <c r="T766" t="n">
        <v>0.2532103454512529</v>
      </c>
      <c r="U766" t="n">
        <v>0.6736401673640168</v>
      </c>
      <c r="V766" t="n">
        <v>0.3054393305439331</v>
      </c>
      <c r="W766" t="n">
        <v>0.6052998605299861</v>
      </c>
      <c r="X766" t="n">
        <v>0.3060166969741311</v>
      </c>
      <c r="Y766" t="n">
        <v>7.883829303686608</v>
      </c>
      <c r="Z766" t="n">
        <v>0.5556878687853076</v>
      </c>
      <c r="AA766" t="n">
        <v>0</v>
      </c>
    </row>
    <row r="767">
      <c r="A767" t="inlineStr">
        <is>
          <t>2026-05-19</t>
        </is>
      </c>
      <c r="B767" t="inlineStr">
        <is>
          <t>CW</t>
        </is>
      </c>
      <c r="C767" t="inlineStr">
        <is>
          <t>09:17</t>
        </is>
      </c>
      <c r="D767" t="n">
        <v>18.78073436251109</v>
      </c>
      <c r="E767" t="n">
        <v>0.2339186303087431</v>
      </c>
      <c r="F767" t="n">
        <v>5.313430961995994</v>
      </c>
      <c r="G767" t="n">
        <v>0.1939924906132666</v>
      </c>
      <c r="H767" t="n">
        <v>0.1752190237797246</v>
      </c>
      <c r="I767" t="n">
        <v>0.5039516503951651</v>
      </c>
      <c r="J767" t="n">
        <v>0.2484749358362295</v>
      </c>
      <c r="K767" t="n">
        <v>0.6677157174036119</v>
      </c>
      <c r="L767" t="b">
        <v>0</v>
      </c>
      <c r="N767" t="n">
        <v>23.21562502203415</v>
      </c>
      <c r="O767" t="n">
        <v>0</v>
      </c>
      <c r="P767" t="n">
        <v>0</v>
      </c>
      <c r="Q767" t="n">
        <v>0</v>
      </c>
      <c r="R767" t="n">
        <v>13.15550908025466</v>
      </c>
      <c r="S767" t="n">
        <v>7.164179104477602</v>
      </c>
      <c r="T767" t="n">
        <v>0.1326699834162634</v>
      </c>
      <c r="U767" t="n">
        <v>0.6499302649930265</v>
      </c>
      <c r="V767" t="n">
        <v>0.793584379358438</v>
      </c>
      <c r="W767" t="n">
        <v>0.06834030683403068</v>
      </c>
      <c r="X767" t="n">
        <v>0.2339186303087431</v>
      </c>
      <c r="Y767" t="n">
        <v>5.313430961995995</v>
      </c>
      <c r="Z767" t="n">
        <v>0.2484749358362295</v>
      </c>
      <c r="AA767" t="n">
        <v>2.775557561562891e-17</v>
      </c>
    </row>
    <row r="768">
      <c r="A768" t="inlineStr">
        <is>
          <t>2026-05-26</t>
        </is>
      </c>
      <c r="B768" t="inlineStr">
        <is>
          <t>NW</t>
        </is>
      </c>
      <c r="C768" t="inlineStr">
        <is>
          <t>NW</t>
        </is>
      </c>
      <c r="D768" t="n">
        <v>12.87531267781952</v>
      </c>
      <c r="E768" t="n">
        <v>0.3468472366212685</v>
      </c>
      <c r="F768" t="n">
        <v>10.34794673679303</v>
      </c>
      <c r="G768" t="n">
        <v>0.804755944931164</v>
      </c>
      <c r="H768" t="n">
        <v>0.8247809762202754</v>
      </c>
      <c r="I768" t="n">
        <v>0.5</v>
      </c>
      <c r="J768" t="n">
        <v>0.7518147684605757</v>
      </c>
      <c r="K768" t="n">
        <v>0.6677157174036119</v>
      </c>
      <c r="L768" t="b">
        <v>1</v>
      </c>
      <c r="M768" t="inlineStr">
        <is>
          <t>top_quartile_risk</t>
        </is>
      </c>
      <c r="N768" t="n">
        <v>4.434890659522353</v>
      </c>
      <c r="O768" t="n">
        <v>0</v>
      </c>
      <c r="P768" t="n">
        <v>0</v>
      </c>
      <c r="Q768" t="n">
        <v>0</v>
      </c>
      <c r="U768" t="n">
        <v>0.5</v>
      </c>
      <c r="V768" t="n">
        <v>0.5</v>
      </c>
      <c r="W768" t="n">
        <v>0.5</v>
      </c>
      <c r="X768" t="n">
        <v>0.3468472366212685</v>
      </c>
      <c r="Y768" t="n">
        <v>10.34794673679303</v>
      </c>
      <c r="Z768" t="n">
        <v>0.7518147684605757</v>
      </c>
      <c r="AA768" t="n">
        <v>0</v>
      </c>
    </row>
    <row r="769">
      <c r="A769" t="inlineStr">
        <is>
          <t>2026-05-27</t>
        </is>
      </c>
      <c r="B769" t="inlineStr">
        <is>
          <t>CW</t>
        </is>
      </c>
      <c r="C769" t="inlineStr">
        <is>
          <t>09:18</t>
        </is>
      </c>
      <c r="D769" t="n">
        <v>29.66315496580021</v>
      </c>
      <c r="E769" t="n">
        <v>0.309589597728639</v>
      </c>
      <c r="F769" t="n">
        <v>6.448363763110295</v>
      </c>
      <c r="G769" t="n">
        <v>0.6145181476846058</v>
      </c>
      <c r="H769" t="n">
        <v>0.3329161451814768</v>
      </c>
      <c r="I769" t="n">
        <v>0.1390051139005114</v>
      </c>
      <c r="J769" t="n">
        <v>0.4067747399265353</v>
      </c>
      <c r="K769" t="n">
        <v>0.6677157174036119</v>
      </c>
      <c r="L769" t="b">
        <v>0</v>
      </c>
      <c r="N769" t="n">
        <v>0</v>
      </c>
      <c r="O769" t="n">
        <v>0</v>
      </c>
      <c r="P769" t="n">
        <v>0</v>
      </c>
      <c r="Q769" t="n">
        <v>0</v>
      </c>
      <c r="R769" t="n">
        <v>6.577875784646611</v>
      </c>
      <c r="S769" t="n">
        <v>0.8648801928257673</v>
      </c>
      <c r="T769" t="n">
        <v>0.1559620019849661</v>
      </c>
      <c r="U769" t="n">
        <v>0.2803347280334728</v>
      </c>
      <c r="V769" t="n">
        <v>0.01534170153417015</v>
      </c>
      <c r="W769" t="n">
        <v>0.1213389121338912</v>
      </c>
      <c r="X769" t="n">
        <v>0.3095895977286391</v>
      </c>
      <c r="Y769" t="n">
        <v>6.448363763110295</v>
      </c>
      <c r="Z769" t="n">
        <v>0.4067747399265353</v>
      </c>
      <c r="AA769" t="n">
        <v>0</v>
      </c>
    </row>
    <row r="770">
      <c r="A770" t="inlineStr">
        <is>
          <t>2026-06-01</t>
        </is>
      </c>
      <c r="B770" t="inlineStr">
        <is>
          <t>NW</t>
        </is>
      </c>
      <c r="C770" t="inlineStr">
        <is>
          <t>NW</t>
        </is>
      </c>
      <c r="D770" t="n">
        <v>-3.507471422390406</v>
      </c>
      <c r="E770" t="n">
        <v>0.4006811722284004</v>
      </c>
      <c r="F770" t="n">
        <v>12.29533136946943</v>
      </c>
      <c r="G770" t="n">
        <v>0.9436795994993742</v>
      </c>
      <c r="H770" t="n">
        <v>0.932415519399249</v>
      </c>
      <c r="I770" t="n">
        <v>0.5</v>
      </c>
      <c r="J770" t="n">
        <v>0.8504380475594493</v>
      </c>
      <c r="K770" t="n">
        <v>0.6677157174036119</v>
      </c>
      <c r="L770" t="b">
        <v>1</v>
      </c>
      <c r="M770" t="inlineStr">
        <is>
          <t>top_quartile_risk</t>
        </is>
      </c>
      <c r="N770" t="n">
        <v>0</v>
      </c>
      <c r="O770" t="n">
        <v>0</v>
      </c>
      <c r="P770" t="n">
        <v>1</v>
      </c>
      <c r="Q770" t="n">
        <v>3.507471422390406</v>
      </c>
      <c r="U770" t="n">
        <v>0.5</v>
      </c>
      <c r="V770" t="n">
        <v>0.5</v>
      </c>
      <c r="W770" t="n">
        <v>0.5</v>
      </c>
      <c r="X770" t="n">
        <v>0.4006811722284004</v>
      </c>
      <c r="Y770" t="n">
        <v>12.29533136946943</v>
      </c>
      <c r="Z770" t="n">
        <v>0.8504380475594493</v>
      </c>
      <c r="AA770" t="n">
        <v>0</v>
      </c>
    </row>
    <row r="771">
      <c r="A771" t="inlineStr">
        <is>
          <t>2026-06-02</t>
        </is>
      </c>
      <c r="B771" t="inlineStr">
        <is>
          <t>CW</t>
        </is>
      </c>
      <c r="C771" t="inlineStr">
        <is>
          <t>09:18</t>
        </is>
      </c>
      <c r="D771" t="n">
        <v>-19.26458868195962</v>
      </c>
      <c r="E771" t="n">
        <v>0.2720709747967719</v>
      </c>
      <c r="F771" t="n">
        <v>2.98951270854127</v>
      </c>
      <c r="G771" t="n">
        <v>0.4030037546933667</v>
      </c>
      <c r="H771" t="n">
        <v>0.02377972465581978</v>
      </c>
      <c r="I771" t="n">
        <v>0.4165504416550441</v>
      </c>
      <c r="J771" t="n">
        <v>0.2540234800706834</v>
      </c>
      <c r="K771" t="n">
        <v>0.6677157174036119</v>
      </c>
      <c r="L771" t="b">
        <v>0</v>
      </c>
      <c r="N771" t="n">
        <v>3.507471422390154</v>
      </c>
      <c r="O771" t="n">
        <v>1</v>
      </c>
      <c r="P771" t="n">
        <v>1</v>
      </c>
      <c r="Q771" t="n">
        <v>19.26458868195962</v>
      </c>
      <c r="R771" t="n">
        <v>5.589618788000222</v>
      </c>
      <c r="S771" t="n">
        <v>3.062080536912757</v>
      </c>
      <c r="T771" t="n">
        <v>0.2516778523489968</v>
      </c>
      <c r="U771" t="n">
        <v>0.1771269177126918</v>
      </c>
      <c r="V771" t="n">
        <v>0.4714086471408647</v>
      </c>
      <c r="W771" t="n">
        <v>0.601115760111576</v>
      </c>
      <c r="X771" t="n">
        <v>0.272070974796772</v>
      </c>
      <c r="Y771" t="n">
        <v>2.989512708541271</v>
      </c>
      <c r="Z771" t="n">
        <v>0.2540234800706834</v>
      </c>
      <c r="AA771" t="n">
        <v>0</v>
      </c>
    </row>
    <row r="772">
      <c r="A772" t="inlineStr">
        <is>
          <t>2026-06-05</t>
        </is>
      </c>
      <c r="B772" t="inlineStr">
        <is>
          <t>CW</t>
        </is>
      </c>
      <c r="C772" t="inlineStr">
        <is>
          <t>09:18</t>
        </is>
      </c>
      <c r="D772" t="n">
        <v>11.73073986381846</v>
      </c>
      <c r="E772" t="n">
        <v>0.2984464853750129</v>
      </c>
      <c r="F772" t="n">
        <v>7.415445548360561</v>
      </c>
      <c r="G772" t="n">
        <v>0.5594493116395495</v>
      </c>
      <c r="H772" t="n">
        <v>0.4618272841051314</v>
      </c>
      <c r="I772" t="n">
        <v>0.3212459321245932</v>
      </c>
      <c r="J772" t="n">
        <v>0.472759824722791</v>
      </c>
      <c r="K772" t="n">
        <v>0.6677157174036119</v>
      </c>
      <c r="L772" t="b">
        <v>0</v>
      </c>
      <c r="N772" t="n">
        <v>22.77206010434929</v>
      </c>
      <c r="O772" t="n">
        <v>2</v>
      </c>
      <c r="P772" t="n">
        <v>0</v>
      </c>
      <c r="Q772" t="n">
        <v>0</v>
      </c>
      <c r="R772" t="n">
        <v>6.00044684178702</v>
      </c>
      <c r="S772" t="n">
        <v>1.268002504696327</v>
      </c>
      <c r="T772" t="n">
        <v>0.2661239824671151</v>
      </c>
      <c r="U772" t="n">
        <v>0.2273361227336123</v>
      </c>
      <c r="V772" t="n">
        <v>0.08228730822873083</v>
      </c>
      <c r="W772" t="n">
        <v>0.6541143654114365</v>
      </c>
      <c r="X772" t="n">
        <v>0.2984464853750129</v>
      </c>
      <c r="Y772" t="n">
        <v>7.415445548360561</v>
      </c>
      <c r="Z772" t="n">
        <v>0.472759824722791</v>
      </c>
      <c r="AA772" t="n">
        <v>5.551115123125783e-17</v>
      </c>
    </row>
    <row r="773">
      <c r="A773" t="inlineStr">
        <is>
          <t>2026-06-09</t>
        </is>
      </c>
      <c r="B773" t="inlineStr">
        <is>
          <t>CW</t>
        </is>
      </c>
      <c r="C773" t="inlineStr">
        <is>
          <t>09:17</t>
        </is>
      </c>
      <c r="D773" t="n">
        <v>50.63480484686607</v>
      </c>
      <c r="E773" t="n">
        <v>0.1739453271941093</v>
      </c>
      <c r="F773" t="n">
        <v>2.919132432077216</v>
      </c>
      <c r="G773" t="n">
        <v>0.04755944931163955</v>
      </c>
      <c r="H773" t="n">
        <v>0.02252816020025031</v>
      </c>
      <c r="I773" t="n">
        <v>0.590887959088796</v>
      </c>
      <c r="J773" t="n">
        <v>0.1462126356225152</v>
      </c>
      <c r="K773" t="n">
        <v>0.6677157174036119</v>
      </c>
      <c r="L773" t="b">
        <v>0</v>
      </c>
      <c r="N773" t="n">
        <v>11.04132024053069</v>
      </c>
      <c r="O773" t="n">
        <v>0</v>
      </c>
      <c r="P773" t="n">
        <v>0</v>
      </c>
      <c r="Q773" t="n">
        <v>0</v>
      </c>
      <c r="R773" t="n">
        <v>5.316561411664813</v>
      </c>
      <c r="S773" t="n">
        <v>9.184075679936941</v>
      </c>
      <c r="T773" t="n">
        <v>0.3153330705557678</v>
      </c>
      <c r="U773" t="n">
        <v>0.1506276150627615</v>
      </c>
      <c r="V773" t="n">
        <v>0.8563458856345886</v>
      </c>
      <c r="W773" t="n">
        <v>0.7656903765690377</v>
      </c>
      <c r="X773" t="n">
        <v>0.1739453271941093</v>
      </c>
      <c r="Y773" t="n">
        <v>2.919132432077216</v>
      </c>
      <c r="Z773" t="n">
        <v>0.1462126356225152</v>
      </c>
      <c r="AA773" t="n">
        <v>-5.551115123125783e-17</v>
      </c>
    </row>
    <row r="774">
      <c r="A774" t="inlineStr">
        <is>
          <t>2026-06-11</t>
        </is>
      </c>
      <c r="B774" t="inlineStr">
        <is>
          <t>CW</t>
        </is>
      </c>
      <c r="C774" t="inlineStr">
        <is>
          <t>09:17</t>
        </is>
      </c>
      <c r="D774" t="n">
        <v>8.899940327782756</v>
      </c>
      <c r="E774" t="n">
        <v>0.2890188964245146</v>
      </c>
      <c r="F774" t="n">
        <v>8.695359856827658</v>
      </c>
      <c r="G774" t="n">
        <v>0.5193992490613266</v>
      </c>
      <c r="H774" t="n">
        <v>0.6332916145181476</v>
      </c>
      <c r="I774" t="n">
        <v>0.5039516503951651</v>
      </c>
      <c r="J774" t="n">
        <v>0.5618666755108227</v>
      </c>
      <c r="K774" t="n">
        <v>0.6677157174036119</v>
      </c>
      <c r="L774" t="b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13.75176228292248</v>
      </c>
      <c r="S774" t="n">
        <v>3.67481625918704</v>
      </c>
      <c r="T774" t="n">
        <v>0.1949902504874773</v>
      </c>
      <c r="U774" t="n">
        <v>0.6722454672245467</v>
      </c>
      <c r="V774" t="n">
        <v>0.5550906555090656</v>
      </c>
      <c r="W774" t="n">
        <v>0.2845188284518829</v>
      </c>
      <c r="X774" t="n">
        <v>0.2890188964245146</v>
      </c>
      <c r="Y774" t="n">
        <v>8.695359856827656</v>
      </c>
      <c r="Z774" t="n">
        <v>0.5618666755108227</v>
      </c>
      <c r="AA774" t="n">
        <v>0</v>
      </c>
    </row>
    <row r="775">
      <c r="A775" t="inlineStr">
        <is>
          <t>2026-06-16</t>
        </is>
      </c>
      <c r="B775" t="inlineStr">
        <is>
          <t>NW</t>
        </is>
      </c>
      <c r="C775" t="inlineStr">
        <is>
          <t>NW</t>
        </is>
      </c>
      <c r="D775" t="n">
        <v>26.98653527819096</v>
      </c>
      <c r="E775" t="n">
        <v>0.3575284539627294</v>
      </c>
      <c r="F775" t="n">
        <v>10.39887602210681</v>
      </c>
      <c r="G775" t="n">
        <v>0.8385481852315394</v>
      </c>
      <c r="H775" t="n">
        <v>0.8297872340425532</v>
      </c>
      <c r="I775" t="n">
        <v>0.5</v>
      </c>
      <c r="J775" t="n">
        <v>0.7673341677096371</v>
      </c>
      <c r="K775" t="n">
        <v>0.6677157174036119</v>
      </c>
      <c r="L775" t="b">
        <v>1</v>
      </c>
      <c r="M775" t="inlineStr">
        <is>
          <t>top_quartile_risk</t>
        </is>
      </c>
      <c r="N775" t="n">
        <v>0</v>
      </c>
      <c r="O775" t="n">
        <v>0</v>
      </c>
      <c r="P775" t="n">
        <v>0</v>
      </c>
      <c r="Q775" t="n">
        <v>0</v>
      </c>
      <c r="U775" t="n">
        <v>0.5</v>
      </c>
      <c r="V775" t="n">
        <v>0.5</v>
      </c>
      <c r="W775" t="n">
        <v>0.5</v>
      </c>
      <c r="X775" t="n">
        <v>0.3575284539627294</v>
      </c>
      <c r="Y775" t="n">
        <v>10.39887602210681</v>
      </c>
      <c r="Z775" t="n">
        <v>0.7673341677096371</v>
      </c>
      <c r="AA775" t="n">
        <v>0</v>
      </c>
    </row>
    <row r="776">
      <c r="A776" t="inlineStr">
        <is>
          <t>2026-06-18</t>
        </is>
      </c>
      <c r="B776" t="inlineStr">
        <is>
          <t>CW</t>
        </is>
      </c>
      <c r="C776" t="inlineStr">
        <is>
          <t>09:17</t>
        </is>
      </c>
      <c r="D776" t="n">
        <v>24.96688453122966</v>
      </c>
      <c r="E776" t="n">
        <v>0.2959181425835469</v>
      </c>
      <c r="F776" t="n">
        <v>8.507869258234383</v>
      </c>
      <c r="G776" t="n">
        <v>0.5506883604505632</v>
      </c>
      <c r="H776" t="n">
        <v>0.6057571964956195</v>
      </c>
      <c r="I776" t="n">
        <v>0.1548117154811715</v>
      </c>
      <c r="J776" t="n">
        <v>0.4935405658747075</v>
      </c>
      <c r="K776" t="n">
        <v>0.6677157174036119</v>
      </c>
      <c r="L776" t="b">
        <v>0</v>
      </c>
      <c r="N776" t="n">
        <v>0</v>
      </c>
      <c r="O776" t="n">
        <v>0</v>
      </c>
      <c r="P776" t="n">
        <v>0</v>
      </c>
      <c r="Q776" t="n">
        <v>0</v>
      </c>
      <c r="R776" t="n">
        <v>6.089210044495481</v>
      </c>
      <c r="S776" t="n">
        <v>1.304584163797777</v>
      </c>
      <c r="T776" t="n">
        <v>0.1630730204747195</v>
      </c>
      <c r="U776" t="n">
        <v>0.2301255230125523</v>
      </c>
      <c r="V776" t="n">
        <v>0.08786610878661087</v>
      </c>
      <c r="W776" t="n">
        <v>0.1464435146443515</v>
      </c>
      <c r="X776" t="n">
        <v>0.2959181425835469</v>
      </c>
      <c r="Y776" t="n">
        <v>8.507869258234381</v>
      </c>
      <c r="Z776" t="n">
        <v>0.4935405658747075</v>
      </c>
      <c r="AA776" t="n">
        <v>-5.551115123125783e-17</v>
      </c>
    </row>
    <row r="777">
      <c r="A777" t="inlineStr">
        <is>
          <t>2026-06-19</t>
        </is>
      </c>
      <c r="B777" t="inlineStr">
        <is>
          <t>CW</t>
        </is>
      </c>
      <c r="C777" t="inlineStr">
        <is>
          <t>09:17</t>
        </is>
      </c>
      <c r="D777" t="n">
        <v>33.5208098888202</v>
      </c>
      <c r="E777" t="n">
        <v>0.2521844314050777</v>
      </c>
      <c r="F777" t="n">
        <v>3.103960679013208</v>
      </c>
      <c r="G777" t="n">
        <v>0.27909887359199</v>
      </c>
      <c r="H777" t="n">
        <v>0.02753441802252816</v>
      </c>
      <c r="I777" t="n">
        <v>0.3598326359832636</v>
      </c>
      <c r="J777" t="n">
        <v>0.19461984384246</v>
      </c>
      <c r="K777" t="n">
        <v>0.6677157174036119</v>
      </c>
      <c r="L777" t="b">
        <v>0</v>
      </c>
      <c r="N777" t="n">
        <v>0</v>
      </c>
      <c r="O777" t="n">
        <v>0</v>
      </c>
      <c r="P777" t="n">
        <v>0</v>
      </c>
      <c r="Q777" t="n">
        <v>0</v>
      </c>
      <c r="R777" t="n">
        <v>9.295927300012202</v>
      </c>
      <c r="S777" t="n">
        <v>3.842202588863775</v>
      </c>
      <c r="T777" t="n">
        <v>0.1232792274501734</v>
      </c>
      <c r="U777" t="n">
        <v>0.4602510460251046</v>
      </c>
      <c r="V777" t="n">
        <v>0.5732217573221757</v>
      </c>
      <c r="W777" t="n">
        <v>0.04602510460251046</v>
      </c>
      <c r="X777" t="n">
        <v>0.2521844314050777</v>
      </c>
      <c r="Y777" t="n">
        <v>3.103960679013204</v>
      </c>
      <c r="Z777" t="n">
        <v>0.19461984384246</v>
      </c>
      <c r="AA777" t="n">
        <v>-2.775557561562891e-17</v>
      </c>
    </row>
    <row r="778">
      <c r="A778" t="inlineStr">
        <is>
          <t>2026-06-30</t>
        </is>
      </c>
      <c r="B778" t="inlineStr">
        <is>
          <t>CW</t>
        </is>
      </c>
      <c r="C778" t="inlineStr">
        <is>
          <t>09:18</t>
        </is>
      </c>
      <c r="D778" t="n">
        <v>-43.79597420538059</v>
      </c>
      <c r="E778" t="n">
        <v>0.2735031866961658</v>
      </c>
      <c r="F778" t="n">
        <v>5.462490265807745</v>
      </c>
      <c r="G778" t="n">
        <v>0.4130162703379224</v>
      </c>
      <c r="H778" t="n">
        <v>0.1927409261576971</v>
      </c>
      <c r="I778" t="n">
        <v>0.400743840074384</v>
      </c>
      <c r="J778" t="n">
        <v>0.3224516466131246</v>
      </c>
      <c r="K778" t="n">
        <v>0.6677157174036119</v>
      </c>
      <c r="L778" t="b">
        <v>0</v>
      </c>
      <c r="N778" t="n">
        <v>0</v>
      </c>
      <c r="O778" t="n">
        <v>0</v>
      </c>
      <c r="P778" t="n">
        <v>1</v>
      </c>
      <c r="Q778" t="n">
        <v>43.79597420538059</v>
      </c>
      <c r="R778" t="n">
        <v>5.509158976799231</v>
      </c>
      <c r="S778" t="n">
        <v>2.179276315789467</v>
      </c>
      <c r="T778" t="n">
        <v>0.2878289473684104</v>
      </c>
      <c r="U778" t="n">
        <v>0.1687587168758717</v>
      </c>
      <c r="V778" t="n">
        <v>0.3110181311018131</v>
      </c>
      <c r="W778" t="n">
        <v>0.7224546722454672</v>
      </c>
      <c r="X778" t="n">
        <v>0.2735031866961657</v>
      </c>
      <c r="Y778" t="n">
        <v>5.462490265807746</v>
      </c>
      <c r="Z778" t="n">
        <v>0.3224516466131246</v>
      </c>
      <c r="AA778" t="n">
        <v>5.551115123125783e-17</v>
      </c>
    </row>
    <row r="779">
      <c r="A779" t="inlineStr">
        <is>
          <t>2026-07-01</t>
        </is>
      </c>
      <c r="B779" t="inlineStr">
        <is>
          <t>CW</t>
        </is>
      </c>
      <c r="C779" t="inlineStr">
        <is>
          <t>09:16</t>
        </is>
      </c>
      <c r="D779" t="n">
        <v>29.37587085708801</v>
      </c>
      <c r="E779" t="n">
        <v>0.2264536904464371</v>
      </c>
      <c r="F779" t="n">
        <v>5.552256612080019</v>
      </c>
      <c r="G779" t="n">
        <v>0.1602002503128911</v>
      </c>
      <c r="H779" t="n">
        <v>0.2090112640801001</v>
      </c>
      <c r="I779" t="n">
        <v>0.5574151557415156</v>
      </c>
      <c r="J779" t="n">
        <v>0.2591676369054996</v>
      </c>
      <c r="K779" t="n">
        <v>0.6677157174036119</v>
      </c>
      <c r="L779" t="b">
        <v>0</v>
      </c>
      <c r="N779" t="n">
        <v>43.79597420538084</v>
      </c>
      <c r="O779" t="n">
        <v>1</v>
      </c>
      <c r="P779" t="n">
        <v>0</v>
      </c>
      <c r="Q779" t="n">
        <v>0</v>
      </c>
      <c r="R779" t="n">
        <v>20.757806104551</v>
      </c>
      <c r="S779" t="n">
        <v>3.981509096331633</v>
      </c>
      <c r="T779" t="n">
        <v>0.1938562481359993</v>
      </c>
      <c r="U779" t="n">
        <v>0.800557880055788</v>
      </c>
      <c r="V779" t="n">
        <v>0.5941422594142259</v>
      </c>
      <c r="W779" t="n">
        <v>0.2775453277545328</v>
      </c>
      <c r="X779" t="n">
        <v>0.2264536904464371</v>
      </c>
      <c r="Y779" t="n">
        <v>5.552256612080018</v>
      </c>
      <c r="Z779" t="n">
        <v>0.2591676369054996</v>
      </c>
      <c r="AA779" t="n">
        <v>0</v>
      </c>
    </row>
    <row r="780">
      <c r="A780" t="inlineStr">
        <is>
          <t>2026-07-02</t>
        </is>
      </c>
      <c r="B780" t="inlineStr">
        <is>
          <t>CW</t>
        </is>
      </c>
      <c r="C780" t="inlineStr">
        <is>
          <t>09:18</t>
        </is>
      </c>
      <c r="D780" t="n">
        <v>20.70549422964813</v>
      </c>
      <c r="E780" t="n">
        <v>0.2999559886758259</v>
      </c>
      <c r="F780" t="n">
        <v>7.680177679844478</v>
      </c>
      <c r="G780" t="n">
        <v>0.5669586983729662</v>
      </c>
      <c r="H780" t="n">
        <v>0.5118898623279099</v>
      </c>
      <c r="I780" t="n">
        <v>0.1329614132961413</v>
      </c>
      <c r="J780" t="n">
        <v>0.4581317069395787</v>
      </c>
      <c r="K780" t="n">
        <v>0.6677157174036119</v>
      </c>
      <c r="L780" t="b">
        <v>0</v>
      </c>
      <c r="N780" t="n">
        <v>14.4201033482932</v>
      </c>
      <c r="O780" t="n">
        <v>0</v>
      </c>
      <c r="P780" t="n">
        <v>0</v>
      </c>
      <c r="Q780" t="n">
        <v>0</v>
      </c>
      <c r="R780" t="n">
        <v>3.857480608900937</v>
      </c>
      <c r="S780" t="n">
        <v>1.219512195121968</v>
      </c>
      <c r="T780" t="n">
        <v>0.1905487804877994</v>
      </c>
      <c r="U780" t="n">
        <v>0.06555090655509066</v>
      </c>
      <c r="V780" t="n">
        <v>0.07531380753138076</v>
      </c>
      <c r="W780" t="n">
        <v>0.2580195258019526</v>
      </c>
      <c r="X780" t="n">
        <v>0.2999559886758259</v>
      </c>
      <c r="Y780" t="n">
        <v>7.680177679844476</v>
      </c>
      <c r="Z780" t="n">
        <v>0.4581317069395787</v>
      </c>
      <c r="AA780" t="n">
        <v>0</v>
      </c>
    </row>
    <row r="781">
      <c r="A781" t="inlineStr">
        <is>
          <t>2026-07-13</t>
        </is>
      </c>
      <c r="B781" t="inlineStr">
        <is>
          <t>CW</t>
        </is>
      </c>
      <c r="C781" t="inlineStr">
        <is>
          <t>09:20+</t>
        </is>
      </c>
      <c r="D781" t="n">
        <v>30.16167606199756</v>
      </c>
      <c r="E781" t="n">
        <v>0.3359949151998193</v>
      </c>
      <c r="F781" t="n">
        <v>7.423682373001323</v>
      </c>
      <c r="G781" t="n">
        <v>0.7609511889862328</v>
      </c>
      <c r="H781" t="n">
        <v>0.4668335419274093</v>
      </c>
      <c r="I781" t="n">
        <v>0.5911204091120409</v>
      </c>
      <c r="J781" t="n">
        <v>0.6093379741878651</v>
      </c>
      <c r="K781" t="n">
        <v>0.6677157174036119</v>
      </c>
      <c r="L781" t="b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15.99772403513847</v>
      </c>
      <c r="S781" t="n">
        <v>5.45592321293255</v>
      </c>
      <c r="T781" t="n">
        <v>0.2020712301086161</v>
      </c>
      <c r="U781" t="n">
        <v>0.7294281729428173</v>
      </c>
      <c r="V781" t="n">
        <v>0.7182705718270572</v>
      </c>
      <c r="W781" t="n">
        <v>0.3256624825662482</v>
      </c>
      <c r="X781" t="n">
        <v>0.3359949151998193</v>
      </c>
      <c r="Y781" t="n">
        <v>7.423682373001322</v>
      </c>
      <c r="Z781" t="n">
        <v>0.6093379741878651</v>
      </c>
      <c r="AA781" t="n">
        <v>0</v>
      </c>
    </row>
    <row r="782">
      <c r="A782" t="inlineStr">
        <is>
          <t>2026-07-14</t>
        </is>
      </c>
      <c r="B782" t="inlineStr">
        <is>
          <t>CW</t>
        </is>
      </c>
      <c r="C782" t="inlineStr">
        <is>
          <t>09:18</t>
        </is>
      </c>
      <c r="D782" t="n">
        <v>36.83254598619764</v>
      </c>
      <c r="E782" t="n">
        <v>0.2350045880872423</v>
      </c>
      <c r="F782" t="n">
        <v>3.291263634291992</v>
      </c>
      <c r="G782" t="n">
        <v>0.2002503128911139</v>
      </c>
      <c r="H782" t="n">
        <v>0.03254067584480601</v>
      </c>
      <c r="I782" t="n">
        <v>0.7261738726173873</v>
      </c>
      <c r="J782" t="n">
        <v>0.2383511700178454</v>
      </c>
      <c r="K782" t="n">
        <v>0.6677157174036119</v>
      </c>
      <c r="L782" t="b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13.42061921533914</v>
      </c>
      <c r="S782" t="n">
        <v>4.820229158435407</v>
      </c>
      <c r="T782" t="n">
        <v>0.3555906756222803</v>
      </c>
      <c r="U782" t="n">
        <v>0.6582984658298466</v>
      </c>
      <c r="V782" t="n">
        <v>0.6764295676429568</v>
      </c>
      <c r="W782" t="n">
        <v>0.8437935843793585</v>
      </c>
      <c r="X782" t="n">
        <v>0.2350045880872423</v>
      </c>
      <c r="Y782" t="n">
        <v>3.291263634291993</v>
      </c>
      <c r="Z782" t="n">
        <v>0.2383511700178454</v>
      </c>
      <c r="AA782" t="n">
        <v>5.551115123125783e-17</v>
      </c>
    </row>
    <row r="783">
      <c r="A783" t="inlineStr">
        <is>
          <t>2026-07-21</t>
        </is>
      </c>
      <c r="B783" t="inlineStr">
        <is>
          <t>NW</t>
        </is>
      </c>
      <c r="C783" t="inlineStr">
        <is>
          <t>NW</t>
        </is>
      </c>
      <c r="D783" t="n">
        <v>10.40600704618307</v>
      </c>
      <c r="E783" t="n">
        <v>0.3336694916228833</v>
      </c>
      <c r="F783" t="n">
        <v>9.663782690594291</v>
      </c>
      <c r="G783" t="n">
        <v>0.7521902377972466</v>
      </c>
      <c r="H783" t="n">
        <v>0.7434292866082604</v>
      </c>
      <c r="I783" t="n">
        <v>0.5</v>
      </c>
      <c r="J783" t="n">
        <v>0.6982478097622028</v>
      </c>
      <c r="K783" t="n">
        <v>0.6677157174036119</v>
      </c>
      <c r="L783" t="b">
        <v>1</v>
      </c>
      <c r="M783" t="inlineStr">
        <is>
          <t>top_quartile_risk</t>
        </is>
      </c>
      <c r="N783" t="n">
        <v>0</v>
      </c>
      <c r="O783" t="n">
        <v>0</v>
      </c>
      <c r="P783" t="n">
        <v>0</v>
      </c>
      <c r="Q783" t="n">
        <v>0</v>
      </c>
      <c r="U783" t="n">
        <v>0.5</v>
      </c>
      <c r="V783" t="n">
        <v>0.5</v>
      </c>
      <c r="W783" t="n">
        <v>0.5</v>
      </c>
      <c r="X783" t="n">
        <v>0.3336694916228832</v>
      </c>
      <c r="Y783" t="n">
        <v>9.663782690594291</v>
      </c>
      <c r="Z783" t="n">
        <v>0.6982478097622028</v>
      </c>
      <c r="AA783" t="n">
        <v>0</v>
      </c>
    </row>
    <row r="784">
      <c r="A784" t="inlineStr">
        <is>
          <t>2026-07-22</t>
        </is>
      </c>
      <c r="B784" t="inlineStr">
        <is>
          <t>CW</t>
        </is>
      </c>
      <c r="C784" t="inlineStr">
        <is>
          <t>09:16</t>
        </is>
      </c>
      <c r="D784" t="n">
        <v>11.96706897751828</v>
      </c>
      <c r="E784" t="n">
        <v>0.2048499566512329</v>
      </c>
      <c r="F784" t="n">
        <v>4.271480051142444</v>
      </c>
      <c r="G784" t="n">
        <v>0.1113892365456821</v>
      </c>
      <c r="H784" t="n">
        <v>0.07133917396745933</v>
      </c>
      <c r="I784" t="n">
        <v>0.6810785681078567</v>
      </c>
      <c r="J784" t="n">
        <v>0.2093070778268279</v>
      </c>
      <c r="K784" t="n">
        <v>0.6677157174036119</v>
      </c>
      <c r="L784" t="b">
        <v>0</v>
      </c>
      <c r="N784" t="n">
        <v>0</v>
      </c>
      <c r="O784" t="n">
        <v>0</v>
      </c>
      <c r="P784" t="n">
        <v>0</v>
      </c>
      <c r="Q784" t="n">
        <v>0</v>
      </c>
      <c r="R784" t="n">
        <v>26.96571324103835</v>
      </c>
      <c r="S784" t="n">
        <v>3.144078144078148</v>
      </c>
      <c r="T784" t="n">
        <v>0.2747252747252764</v>
      </c>
      <c r="U784" t="n">
        <v>0.8814504881450488</v>
      </c>
      <c r="V784" t="n">
        <v>0.4853556485355648</v>
      </c>
      <c r="W784" t="n">
        <v>0.6764295676429568</v>
      </c>
      <c r="X784" t="n">
        <v>0.2048499566512329</v>
      </c>
      <c r="Y784" t="n">
        <v>4.271480051142444</v>
      </c>
      <c r="Z784" t="n">
        <v>0.2093070778268279</v>
      </c>
      <c r="AA784" t="n">
        <v>2.775557561562891e-17</v>
      </c>
    </row>
    <row r="785">
      <c r="A785" t="inlineStr">
        <is>
          <t>2026-07-28</t>
        </is>
      </c>
      <c r="B785" t="inlineStr">
        <is>
          <t>NW</t>
        </is>
      </c>
      <c r="C785" t="inlineStr">
        <is>
          <t>NW</t>
        </is>
      </c>
      <c r="D785" t="n">
        <v>4.716074904991</v>
      </c>
      <c r="E785" t="n">
        <v>0.3323485104127352</v>
      </c>
      <c r="F785" t="n">
        <v>8.843533714634972</v>
      </c>
      <c r="G785" t="n">
        <v>0.7471839799749687</v>
      </c>
      <c r="H785" t="n">
        <v>0.6583229036295369</v>
      </c>
      <c r="I785" t="n">
        <v>0.5</v>
      </c>
      <c r="J785" t="n">
        <v>0.6622027534418022</v>
      </c>
      <c r="K785" t="n">
        <v>0.6677157174036119</v>
      </c>
      <c r="L785" t="b">
        <v>0</v>
      </c>
      <c r="N785" t="n">
        <v>0</v>
      </c>
      <c r="O785" t="n">
        <v>0</v>
      </c>
      <c r="P785" t="n">
        <v>0</v>
      </c>
      <c r="Q785" t="n">
        <v>0</v>
      </c>
      <c r="U785" t="n">
        <v>0.5</v>
      </c>
      <c r="V785" t="n">
        <v>0.5</v>
      </c>
      <c r="W785" t="n">
        <v>0.5</v>
      </c>
      <c r="X785" t="n">
        <v>0.3323485104127352</v>
      </c>
      <c r="Y785" t="n">
        <v>8.843533714634972</v>
      </c>
      <c r="Z785" t="n">
        <v>0.6622027534418022</v>
      </c>
      <c r="AA785" t="n">
        <v>0</v>
      </c>
    </row>
    <row r="786">
      <c r="A786" t="inlineStr">
        <is>
          <t>2026-08-07</t>
        </is>
      </c>
      <c r="B786" t="inlineStr">
        <is>
          <t>CW</t>
        </is>
      </c>
      <c r="C786" t="inlineStr">
        <is>
          <t>09:16</t>
        </is>
      </c>
      <c r="D786" t="n">
        <v>33.43472509919754</v>
      </c>
      <c r="E786" t="n">
        <v>0.231482506333867</v>
      </c>
      <c r="F786" t="n">
        <v>5.595660060641497</v>
      </c>
      <c r="G786" t="n">
        <v>0.1827284105131414</v>
      </c>
      <c r="H786" t="n">
        <v>0.2177722152690864</v>
      </c>
      <c r="I786" t="n">
        <v>0.7694095769409577</v>
      </c>
      <c r="J786" t="n">
        <v>0.3140821657010827</v>
      </c>
      <c r="K786" t="n">
        <v>0.6677157174036119</v>
      </c>
      <c r="L786" t="b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19.41822510110244</v>
      </c>
      <c r="S786" t="n">
        <v>12.45777866083846</v>
      </c>
      <c r="T786" t="n">
        <v>0.258295251341145</v>
      </c>
      <c r="U786" t="n">
        <v>0.7824267782426778</v>
      </c>
      <c r="V786" t="n">
        <v>0.9065550906555091</v>
      </c>
      <c r="W786" t="n">
        <v>0.6192468619246861</v>
      </c>
      <c r="X786" t="n">
        <v>0.231482506333867</v>
      </c>
      <c r="Y786" t="n">
        <v>5.595660060641497</v>
      </c>
      <c r="Z786" t="n">
        <v>0.3140821657010827</v>
      </c>
      <c r="AA786" t="n">
        <v>-5.551115123125783e-17</v>
      </c>
    </row>
    <row r="787">
      <c r="A787" t="inlineStr">
        <is>
          <t>2026-08-10</t>
        </is>
      </c>
      <c r="B787" t="inlineStr">
        <is>
          <t>CW</t>
        </is>
      </c>
      <c r="C787" t="inlineStr">
        <is>
          <t>09:17</t>
        </is>
      </c>
      <c r="D787" t="n">
        <v>47.27038432573348</v>
      </c>
      <c r="E787" t="n">
        <v>0.3288658673029743</v>
      </c>
      <c r="F787" t="n">
        <v>9.717741826353528</v>
      </c>
      <c r="G787" t="n">
        <v>0.7296620775969962</v>
      </c>
      <c r="H787" t="n">
        <v>0.7521902377972466</v>
      </c>
      <c r="I787" t="n">
        <v>0.4100418410041841</v>
      </c>
      <c r="J787" t="n">
        <v>0.674749294358534</v>
      </c>
      <c r="K787" t="n">
        <v>0.6677157174036119</v>
      </c>
      <c r="L787" t="b">
        <v>1</v>
      </c>
      <c r="M787" t="inlineStr">
        <is>
          <t>top_quartile_risk</t>
        </is>
      </c>
      <c r="N787" t="n">
        <v>0</v>
      </c>
      <c r="O787" t="n">
        <v>0</v>
      </c>
      <c r="P787" t="n">
        <v>0</v>
      </c>
      <c r="Q787" t="n">
        <v>0</v>
      </c>
      <c r="R787" t="n">
        <v>5.856301013871226</v>
      </c>
      <c r="S787" t="n">
        <v>3.724716329551065</v>
      </c>
      <c r="T787" t="n">
        <v>0.2220029600394686</v>
      </c>
      <c r="U787" t="n">
        <v>0.2147838214783822</v>
      </c>
      <c r="V787" t="n">
        <v>0.5634588563458857</v>
      </c>
      <c r="W787" t="n">
        <v>0.4518828451882845</v>
      </c>
      <c r="X787" t="n">
        <v>0.3288658673029744</v>
      </c>
      <c r="Y787" t="n">
        <v>9.717741826353528</v>
      </c>
      <c r="Z787" t="n">
        <v>0.674749294358534</v>
      </c>
      <c r="AA787" t="n">
        <v>0</v>
      </c>
    </row>
    <row r="788">
      <c r="A788" t="inlineStr">
        <is>
          <t>2026-08-11</t>
        </is>
      </c>
      <c r="B788" t="inlineStr">
        <is>
          <t>CW</t>
        </is>
      </c>
      <c r="C788" t="inlineStr">
        <is>
          <t>09:16</t>
        </is>
      </c>
      <c r="D788" t="n">
        <v>39.83315164280065</v>
      </c>
      <c r="E788" t="n">
        <v>0.1963992771753991</v>
      </c>
      <c r="F788" t="n">
        <v>4.766179147946792</v>
      </c>
      <c r="G788" t="n">
        <v>0.09762202753441802</v>
      </c>
      <c r="H788" t="n">
        <v>0.1076345431789737</v>
      </c>
      <c r="I788" t="n">
        <v>0.8758716875871687</v>
      </c>
      <c r="J788" t="n">
        <v>0.2572769658027905</v>
      </c>
      <c r="K788" t="n">
        <v>0.6677157174036119</v>
      </c>
      <c r="L788" t="b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26.68970266448802</v>
      </c>
      <c r="S788" t="n">
        <v>12.81446540880502</v>
      </c>
      <c r="T788" t="n">
        <v>0.3537735849056515</v>
      </c>
      <c r="U788" t="n">
        <v>0.8772663877266388</v>
      </c>
      <c r="V788" t="n">
        <v>0.9093444909344491</v>
      </c>
      <c r="W788" t="n">
        <v>0.8410041841004184</v>
      </c>
      <c r="X788" t="n">
        <v>0.1963992771753991</v>
      </c>
      <c r="Y788" t="n">
        <v>4.766179147946791</v>
      </c>
      <c r="Z788" t="n">
        <v>0.2572769658027905</v>
      </c>
      <c r="AA788" t="n">
        <v>-5.551115123125783e-17</v>
      </c>
    </row>
    <row r="789">
      <c r="A789" t="inlineStr">
        <is>
          <t>2026-08-12</t>
        </is>
      </c>
      <c r="B789" t="inlineStr">
        <is>
          <t>CW</t>
        </is>
      </c>
      <c r="C789" t="inlineStr">
        <is>
          <t>09:18</t>
        </is>
      </c>
      <c r="D789" t="n">
        <v>11.79908879784174</v>
      </c>
      <c r="E789" t="n">
        <v>0.2846925960626912</v>
      </c>
      <c r="F789" t="n">
        <v>6.265347244698587</v>
      </c>
      <c r="G789" t="n">
        <v>0.490613266583229</v>
      </c>
      <c r="H789" t="n">
        <v>0.3053817271589487</v>
      </c>
      <c r="I789" t="n">
        <v>0.1571362157136216</v>
      </c>
      <c r="J789" t="n">
        <v>0.3498252406395954</v>
      </c>
      <c r="K789" t="n">
        <v>0.6677157174036119</v>
      </c>
      <c r="L789" t="b">
        <v>0</v>
      </c>
      <c r="N789" t="n">
        <v>0</v>
      </c>
      <c r="O789" t="n">
        <v>0</v>
      </c>
      <c r="P789" t="n">
        <v>0</v>
      </c>
      <c r="Q789" t="n">
        <v>0</v>
      </c>
      <c r="R789" t="n">
        <v>5.766859372476614</v>
      </c>
      <c r="S789" t="n">
        <v>1.173497021122946</v>
      </c>
      <c r="T789" t="n">
        <v>0.180538003249684</v>
      </c>
      <c r="U789" t="n">
        <v>0.202231520223152</v>
      </c>
      <c r="V789" t="n">
        <v>0.06136680613668061</v>
      </c>
      <c r="W789" t="n">
        <v>0.2078103207810321</v>
      </c>
      <c r="X789" t="n">
        <v>0.2846925960626912</v>
      </c>
      <c r="Y789" t="n">
        <v>6.265347244698589</v>
      </c>
      <c r="Z789" t="n">
        <v>0.3498252406395954</v>
      </c>
      <c r="AA789" t="n">
        <v>0</v>
      </c>
    </row>
    <row r="790">
      <c r="A790" t="inlineStr">
        <is>
          <t>2026-08-13</t>
        </is>
      </c>
      <c r="B790" t="inlineStr">
        <is>
          <t>CW</t>
        </is>
      </c>
      <c r="C790" t="inlineStr">
        <is>
          <t>09:17</t>
        </is>
      </c>
      <c r="D790" t="n">
        <v>21.87494170871367</v>
      </c>
      <c r="E790" t="n">
        <v>0.261340808500158</v>
      </c>
      <c r="F790" t="n">
        <v>7.191004948123672</v>
      </c>
      <c r="G790" t="n">
        <v>0.3391739674593242</v>
      </c>
      <c r="H790" t="n">
        <v>0.44180225281602</v>
      </c>
      <c r="I790" t="n">
        <v>0.3337982333798233</v>
      </c>
      <c r="J790" t="n">
        <v>0.3791501347861024</v>
      </c>
      <c r="K790" t="n">
        <v>0.6677157174036119</v>
      </c>
      <c r="L790" t="b">
        <v>0</v>
      </c>
      <c r="N790" t="n">
        <v>0</v>
      </c>
      <c r="O790" t="n">
        <v>0</v>
      </c>
      <c r="P790" t="n">
        <v>0</v>
      </c>
      <c r="Q790" t="n">
        <v>0</v>
      </c>
      <c r="R790" t="n">
        <v>5.859671120835955</v>
      </c>
      <c r="S790" t="n">
        <v>1.695624869164752</v>
      </c>
      <c r="T790" t="n">
        <v>0.2512036843207069</v>
      </c>
      <c r="U790" t="n">
        <v>0.2161785216178522</v>
      </c>
      <c r="V790" t="n">
        <v>0.1896792189679219</v>
      </c>
      <c r="W790" t="n">
        <v>0.595536959553696</v>
      </c>
      <c r="X790" t="n">
        <v>0.261340808500158</v>
      </c>
      <c r="Y790" t="n">
        <v>7.191004948123671</v>
      </c>
      <c r="Z790" t="n">
        <v>0.3791501347861024</v>
      </c>
      <c r="AA790" t="n">
        <v>0</v>
      </c>
    </row>
    <row r="791">
      <c r="A791" t="inlineStr">
        <is>
          <t>2026-08-19</t>
        </is>
      </c>
      <c r="B791" t="inlineStr">
        <is>
          <t>CW</t>
        </is>
      </c>
      <c r="C791" t="inlineStr">
        <is>
          <t>09:18</t>
        </is>
      </c>
      <c r="D791" t="n">
        <v>21.53694623520858</v>
      </c>
      <c r="E791" t="n">
        <v>0.2685585108173117</v>
      </c>
      <c r="F791" t="n">
        <v>4.837072194565258</v>
      </c>
      <c r="G791" t="n">
        <v>0.3854818523153942</v>
      </c>
      <c r="H791" t="n">
        <v>0.11639549436796</v>
      </c>
      <c r="I791" t="n">
        <v>0.2357043235704324</v>
      </c>
      <c r="J791" t="n">
        <v>0.2478918033874282</v>
      </c>
      <c r="K791" t="n">
        <v>0.6677157174036119</v>
      </c>
      <c r="L791" t="b">
        <v>0</v>
      </c>
      <c r="N791" t="n">
        <v>0</v>
      </c>
      <c r="O791" t="n">
        <v>0</v>
      </c>
      <c r="P791" t="n">
        <v>0</v>
      </c>
      <c r="Q791" t="n">
        <v>0</v>
      </c>
      <c r="R791" t="n">
        <v>4.886006972911345</v>
      </c>
      <c r="S791" t="n">
        <v>1.18908382066275</v>
      </c>
      <c r="T791" t="n">
        <v>0.233918128654963</v>
      </c>
      <c r="U791" t="n">
        <v>0.1241283124128312</v>
      </c>
      <c r="V791" t="n">
        <v>0.06555090655509066</v>
      </c>
      <c r="W791" t="n">
        <v>0.5174337517433751</v>
      </c>
      <c r="X791" t="n">
        <v>0.2685585108173117</v>
      </c>
      <c r="Y791" t="n">
        <v>4.837072194565257</v>
      </c>
      <c r="Z791" t="n">
        <v>0.2478918033874282</v>
      </c>
      <c r="AA791" t="n">
        <v>-2.775557561562891e-17</v>
      </c>
    </row>
    <row r="792">
      <c r="A792" t="inlineStr">
        <is>
          <t>2026-08-27</t>
        </is>
      </c>
      <c r="B792" t="inlineStr">
        <is>
          <t>CW</t>
        </is>
      </c>
      <c r="C792" t="inlineStr">
        <is>
          <t>09:18</t>
        </is>
      </c>
      <c r="D792" t="n">
        <v>-16.77775286860386</v>
      </c>
      <c r="E792" t="n">
        <v>0.272319089632657</v>
      </c>
      <c r="F792" t="n">
        <v>7.092904100511342</v>
      </c>
      <c r="G792" t="n">
        <v>0.4067584480600751</v>
      </c>
      <c r="H792" t="n">
        <v>0.4280350438047559</v>
      </c>
      <c r="I792" t="n">
        <v>0.5081357508135751</v>
      </c>
      <c r="J792" t="n">
        <v>0.4355445469086475</v>
      </c>
      <c r="K792" t="n">
        <v>0.6677157174036119</v>
      </c>
      <c r="L792" t="b">
        <v>0</v>
      </c>
      <c r="N792" t="n">
        <v>0</v>
      </c>
      <c r="O792" t="n">
        <v>0</v>
      </c>
      <c r="P792" t="n">
        <v>1</v>
      </c>
      <c r="Q792" t="n">
        <v>16.77775286860386</v>
      </c>
      <c r="R792" t="n">
        <v>13.50722513002733</v>
      </c>
      <c r="S792" t="n">
        <v>1.78485287023638</v>
      </c>
      <c r="T792" t="n">
        <v>0.265315967197304</v>
      </c>
      <c r="U792" t="n">
        <v>0.6624825662482566</v>
      </c>
      <c r="V792" t="n">
        <v>0.2092050209205021</v>
      </c>
      <c r="W792" t="n">
        <v>0.6527196652719666</v>
      </c>
      <c r="X792" t="n">
        <v>0.272319089632657</v>
      </c>
      <c r="Y792" t="n">
        <v>7.09290410051134</v>
      </c>
      <c r="Z792" t="n">
        <v>0.4355445469086475</v>
      </c>
      <c r="AA792" t="n">
        <v>-5.551115123125783e-17</v>
      </c>
    </row>
    <row r="793">
      <c r="A793" t="inlineStr">
        <is>
          <t>2026-09-15</t>
        </is>
      </c>
      <c r="B793" t="inlineStr">
        <is>
          <t>NW</t>
        </is>
      </c>
      <c r="C793" t="inlineStr">
        <is>
          <t>NW</t>
        </is>
      </c>
      <c r="D793" t="n">
        <v>-36.94946143890376</v>
      </c>
      <c r="E793" t="n">
        <v>0.3988121928324032</v>
      </c>
      <c r="F793" t="n">
        <v>13.00851991273143</v>
      </c>
      <c r="G793" t="n">
        <v>0.9386733416770964</v>
      </c>
      <c r="H793" t="n">
        <v>0.9524405506883604</v>
      </c>
      <c r="I793" t="n">
        <v>0.5</v>
      </c>
      <c r="J793" t="n">
        <v>0.8564455569461827</v>
      </c>
      <c r="K793" t="n">
        <v>0.6677157174036119</v>
      </c>
      <c r="L793" t="b">
        <v>1</v>
      </c>
      <c r="M793" t="inlineStr">
        <is>
          <t>top_quartile_risk</t>
        </is>
      </c>
      <c r="N793" t="n">
        <v>16.77775286860378</v>
      </c>
      <c r="O793" t="n">
        <v>1</v>
      </c>
      <c r="P793" t="n">
        <v>1</v>
      </c>
      <c r="Q793" t="n">
        <v>36.94946143890376</v>
      </c>
      <c r="U793" t="n">
        <v>0.5</v>
      </c>
      <c r="V793" t="n">
        <v>0.5</v>
      </c>
      <c r="W793" t="n">
        <v>0.5</v>
      </c>
      <c r="X793" t="n">
        <v>0.3988121928324032</v>
      </c>
      <c r="Y793" t="n">
        <v>13.00851991273144</v>
      </c>
      <c r="Z793" t="n">
        <v>0.8564455569461827</v>
      </c>
      <c r="AA793" t="n">
        <v>0</v>
      </c>
    </row>
    <row r="794">
      <c r="A794" t="inlineStr">
        <is>
          <t>2026-09-29</t>
        </is>
      </c>
      <c r="B794" t="inlineStr">
        <is>
          <t>CW</t>
        </is>
      </c>
      <c r="C794" t="inlineStr">
        <is>
          <t>09:18</t>
        </is>
      </c>
      <c r="D794" t="n">
        <v>3.437739063663284</v>
      </c>
      <c r="E794" t="n">
        <v>0.313717983181064</v>
      </c>
      <c r="F794" t="n">
        <v>6.990216213646455</v>
      </c>
      <c r="G794" t="n">
        <v>0.6357947434292867</v>
      </c>
      <c r="H794" t="n">
        <v>0.4155193992490613</v>
      </c>
      <c r="I794" t="n">
        <v>0.2412831241283124</v>
      </c>
      <c r="J794" t="n">
        <v>0.4687822818970017</v>
      </c>
      <c r="K794" t="n">
        <v>0.6677157174036119</v>
      </c>
      <c r="L794" t="b">
        <v>0</v>
      </c>
      <c r="N794" t="n">
        <v>53.72721430750789</v>
      </c>
      <c r="O794" t="n">
        <v>2</v>
      </c>
      <c r="P794" t="n">
        <v>0</v>
      </c>
      <c r="Q794" t="n">
        <v>0</v>
      </c>
      <c r="R794" t="n">
        <v>4.401505314817667</v>
      </c>
      <c r="S794" t="n">
        <v>1.555977229601505</v>
      </c>
      <c r="T794" t="n">
        <v>0.2277039848197375</v>
      </c>
      <c r="U794" t="n">
        <v>0.09205020920502092</v>
      </c>
      <c r="V794" t="n">
        <v>0.1478382147838215</v>
      </c>
      <c r="W794" t="n">
        <v>0.4839609483960948</v>
      </c>
      <c r="X794" t="n">
        <v>0.313717983181064</v>
      </c>
      <c r="Y794" t="n">
        <v>6.990216213646453</v>
      </c>
      <c r="Z794" t="n">
        <v>0.4687822818970017</v>
      </c>
      <c r="AA794" t="n">
        <v>0</v>
      </c>
    </row>
    <row r="795">
      <c r="A795" t="inlineStr">
        <is>
          <t>2026-10-01</t>
        </is>
      </c>
      <c r="B795" t="inlineStr">
        <is>
          <t>CW</t>
        </is>
      </c>
      <c r="C795" t="inlineStr">
        <is>
          <t>09:20+</t>
        </is>
      </c>
      <c r="D795" t="n">
        <v>-29.95175916183154</v>
      </c>
      <c r="E795" t="n">
        <v>0.3281454291512768</v>
      </c>
      <c r="F795" t="n">
        <v>10.10676740137095</v>
      </c>
      <c r="G795" t="n">
        <v>0.723404255319149</v>
      </c>
      <c r="H795" t="n">
        <v>0.8022528160200251</v>
      </c>
      <c r="I795" t="n">
        <v>0.4714086471408647</v>
      </c>
      <c r="J795" t="n">
        <v>0.7045445579638426</v>
      </c>
      <c r="K795" t="n">
        <v>0.6677157174036119</v>
      </c>
      <c r="L795" t="b">
        <v>1</v>
      </c>
      <c r="M795" t="inlineStr">
        <is>
          <t>top_quartile_risk</t>
        </is>
      </c>
      <c r="N795" t="n">
        <v>50.28947524384421</v>
      </c>
      <c r="O795" t="n">
        <v>0</v>
      </c>
      <c r="P795" t="n">
        <v>1</v>
      </c>
      <c r="Q795" t="n">
        <v>29.95175916183154</v>
      </c>
      <c r="R795" t="n">
        <v>12.45830486677717</v>
      </c>
      <c r="S795" t="n">
        <v>4.137447405329597</v>
      </c>
      <c r="T795" t="n">
        <v>0.1753155680224503</v>
      </c>
      <c r="U795" t="n">
        <v>0.6150627615062761</v>
      </c>
      <c r="V795" t="n">
        <v>0.6080892608089261</v>
      </c>
      <c r="W795" t="n">
        <v>0.1910739191073919</v>
      </c>
      <c r="X795" t="n">
        <v>0.3281454291512768</v>
      </c>
      <c r="Y795" t="n">
        <v>10.10676740137095</v>
      </c>
      <c r="Z795" t="n">
        <v>0.7045445579638426</v>
      </c>
      <c r="AA795" t="n">
        <v>0</v>
      </c>
    </row>
    <row r="796">
      <c r="A796" t="inlineStr">
        <is>
          <t>2026-10-05</t>
        </is>
      </c>
      <c r="B796" t="inlineStr">
        <is>
          <t>NW</t>
        </is>
      </c>
      <c r="C796" t="inlineStr">
        <is>
          <t>NW</t>
        </is>
      </c>
      <c r="D796" t="n">
        <v>-40.74530334445125</v>
      </c>
      <c r="E796" t="n">
        <v>0.3406912051312552</v>
      </c>
      <c r="F796" t="n">
        <v>10.215191491582</v>
      </c>
      <c r="G796" t="n">
        <v>0.7872340425531915</v>
      </c>
      <c r="H796" t="n">
        <v>0.8135168961201502</v>
      </c>
      <c r="I796" t="n">
        <v>0.5</v>
      </c>
      <c r="J796" t="n">
        <v>0.7403003754693367</v>
      </c>
      <c r="K796" t="n">
        <v>0.6677157174036119</v>
      </c>
      <c r="L796" t="b">
        <v>1</v>
      </c>
      <c r="M796" t="inlineStr">
        <is>
          <t>top_quartile_risk</t>
        </is>
      </c>
      <c r="N796" t="n">
        <v>80.24123440567564</v>
      </c>
      <c r="O796" t="n">
        <v>1</v>
      </c>
      <c r="P796" t="n">
        <v>1</v>
      </c>
      <c r="Q796" t="n">
        <v>40.74530334445125</v>
      </c>
      <c r="U796" t="n">
        <v>0.5</v>
      </c>
      <c r="V796" t="n">
        <v>0.5</v>
      </c>
      <c r="W796" t="n">
        <v>0.5</v>
      </c>
      <c r="X796" t="n">
        <v>0.3406912051312552</v>
      </c>
      <c r="Y796" t="n">
        <v>10.215191491582</v>
      </c>
      <c r="Z796" t="n">
        <v>0.7403003754693367</v>
      </c>
      <c r="AA796" t="n">
        <v>0</v>
      </c>
    </row>
    <row r="797">
      <c r="A797" t="inlineStr">
        <is>
          <t>2026-10-06</t>
        </is>
      </c>
      <c r="B797" t="inlineStr">
        <is>
          <t>CW</t>
        </is>
      </c>
      <c r="C797" t="inlineStr">
        <is>
          <t>09:18</t>
        </is>
      </c>
      <c r="D797" t="n">
        <v>38.74354143053595</v>
      </c>
      <c r="E797" t="n">
        <v>0.255284499629449</v>
      </c>
      <c r="F797" t="n">
        <v>4.205891123905687</v>
      </c>
      <c r="G797" t="n">
        <v>0.2966207759699624</v>
      </c>
      <c r="H797" t="n">
        <v>0.06508135168961202</v>
      </c>
      <c r="I797" t="n">
        <v>0.399814039981404</v>
      </c>
      <c r="J797" t="n">
        <v>0.2246436590601106</v>
      </c>
      <c r="K797" t="n">
        <v>0.6677157174036119</v>
      </c>
      <c r="L797" t="b">
        <v>0</v>
      </c>
      <c r="N797" t="n">
        <v>120.9865377501264</v>
      </c>
      <c r="O797" t="n">
        <v>2</v>
      </c>
      <c r="P797" t="n">
        <v>0</v>
      </c>
      <c r="Q797" t="n">
        <v>0</v>
      </c>
      <c r="R797" t="n">
        <v>5.421841390115874</v>
      </c>
      <c r="S797" t="n">
        <v>3.620426829268293</v>
      </c>
      <c r="T797" t="n">
        <v>0.2286585365853637</v>
      </c>
      <c r="U797" t="n">
        <v>0.1631799163179916</v>
      </c>
      <c r="V797" t="n">
        <v>0.5453277545327755</v>
      </c>
      <c r="W797" t="n">
        <v>0.4909344490934449</v>
      </c>
      <c r="X797" t="n">
        <v>0.255284499629449</v>
      </c>
      <c r="Y797" t="n">
        <v>4.205891123905688</v>
      </c>
      <c r="Z797" t="n">
        <v>0.2246436590601106</v>
      </c>
      <c r="AA797" t="n">
        <v>0</v>
      </c>
    </row>
    <row r="798">
      <c r="A798" t="inlineStr">
        <is>
          <t>2026-10-08</t>
        </is>
      </c>
      <c r="B798" t="inlineStr">
        <is>
          <t>CW</t>
        </is>
      </c>
      <c r="C798" t="inlineStr">
        <is>
          <t>09:16</t>
        </is>
      </c>
      <c r="D798" t="n">
        <v>-33.69561466059695</v>
      </c>
      <c r="E798" t="n">
        <v>0.2240639464605023</v>
      </c>
      <c r="F798" t="n">
        <v>5.163326595913445</v>
      </c>
      <c r="G798" t="n">
        <v>0.1551939924906133</v>
      </c>
      <c r="H798" t="n">
        <v>0.1589486858573217</v>
      </c>
      <c r="I798" t="n">
        <v>0.5258019525801952</v>
      </c>
      <c r="J798" t="n">
        <v>0.230817461855213</v>
      </c>
      <c r="K798" t="n">
        <v>0.6677157174036119</v>
      </c>
      <c r="L798" t="b">
        <v>0</v>
      </c>
      <c r="N798" t="n">
        <v>82.24299631959002</v>
      </c>
      <c r="O798" t="n">
        <v>0</v>
      </c>
      <c r="P798" t="n">
        <v>1</v>
      </c>
      <c r="Q798" t="n">
        <v>33.69561466059695</v>
      </c>
      <c r="R798" t="n">
        <v>22.76943835385362</v>
      </c>
      <c r="S798" t="n">
        <v>3.546869344914952</v>
      </c>
      <c r="T798" t="n">
        <v>0.180962721679334</v>
      </c>
      <c r="U798" t="n">
        <v>0.8326359832635983</v>
      </c>
      <c r="V798" t="n">
        <v>0.5327754532775453</v>
      </c>
      <c r="W798" t="n">
        <v>0.2119944211994421</v>
      </c>
      <c r="X798" t="n">
        <v>0.2240639464605024</v>
      </c>
      <c r="Y798" t="n">
        <v>5.163326595913444</v>
      </c>
      <c r="Z798" t="n">
        <v>0.230817461855213</v>
      </c>
      <c r="AA798" t="n">
        <v>0</v>
      </c>
    </row>
    <row r="799">
      <c r="A799" t="inlineStr">
        <is>
          <t>2026-10-12</t>
        </is>
      </c>
      <c r="B799" t="inlineStr">
        <is>
          <t>CW</t>
        </is>
      </c>
      <c r="C799" t="inlineStr">
        <is>
          <t>09:20+</t>
        </is>
      </c>
      <c r="D799" t="n">
        <v>43.95841324067013</v>
      </c>
      <c r="E799" t="n">
        <v>0.3361523336104131</v>
      </c>
      <c r="F799" t="n">
        <v>9.976613825344737</v>
      </c>
      <c r="G799" t="n">
        <v>0.7622027534418022</v>
      </c>
      <c r="H799" t="n">
        <v>0.7872340425531915</v>
      </c>
      <c r="I799" t="n">
        <v>0.4337517433751743</v>
      </c>
      <c r="J799" t="n">
        <v>0.7065250670730324</v>
      </c>
      <c r="K799" t="n">
        <v>0.6677157174036119</v>
      </c>
      <c r="L799" t="b">
        <v>1</v>
      </c>
      <c r="M799" t="inlineStr">
        <is>
          <t>top_quartile_risk</t>
        </is>
      </c>
      <c r="N799" t="n">
        <v>115.9386109801871</v>
      </c>
      <c r="O799" t="n">
        <v>1</v>
      </c>
      <c r="P799" t="n">
        <v>0</v>
      </c>
      <c r="Q799" t="n">
        <v>0</v>
      </c>
      <c r="R799" t="n">
        <v>9.789109503928078</v>
      </c>
      <c r="S799" t="n">
        <v>2.297702297702309</v>
      </c>
      <c r="T799" t="n">
        <v>0.2247752247752262</v>
      </c>
      <c r="U799" t="n">
        <v>0.4937238493723849</v>
      </c>
      <c r="V799" t="n">
        <v>0.3389121338912134</v>
      </c>
      <c r="W799" t="n">
        <v>0.4686192468619247</v>
      </c>
      <c r="X799" t="n">
        <v>0.3361523336104131</v>
      </c>
      <c r="Y799" t="n">
        <v>9.976613825344737</v>
      </c>
      <c r="Z799" t="n">
        <v>0.7065250670730324</v>
      </c>
      <c r="AA799" t="n">
        <v>0</v>
      </c>
    </row>
    <row r="800">
      <c r="A800" t="inlineStr">
        <is>
          <t>2026-10-13</t>
        </is>
      </c>
      <c r="B800" t="inlineStr">
        <is>
          <t>CW</t>
        </is>
      </c>
      <c r="C800" t="inlineStr">
        <is>
          <t>09:17</t>
        </is>
      </c>
      <c r="D800" t="n">
        <v>10.8348972628641</v>
      </c>
      <c r="E800" t="n">
        <v>0.2618370583880513</v>
      </c>
      <c r="F800" t="n">
        <v>6.435425737736564</v>
      </c>
      <c r="G800" t="n">
        <v>0.344180225281602</v>
      </c>
      <c r="H800" t="n">
        <v>0.3291614518147685</v>
      </c>
      <c r="I800" t="n">
        <v>0.5</v>
      </c>
      <c r="J800" t="n">
        <v>0.3693366708385482</v>
      </c>
      <c r="K800" t="n">
        <v>0.6677157174036119</v>
      </c>
      <c r="L800" t="b">
        <v>1</v>
      </c>
      <c r="M800" t="inlineStr">
        <is>
          <t>missing_CW_entry_features</t>
        </is>
      </c>
      <c r="N800" t="n">
        <v>71.98019773951637</v>
      </c>
      <c r="O800" t="n">
        <v>0</v>
      </c>
      <c r="P800" t="n">
        <v>0</v>
      </c>
      <c r="Q800" t="n">
        <v>0</v>
      </c>
      <c r="U800" t="n">
        <v>0.5</v>
      </c>
      <c r="V800" t="n">
        <v>0.5</v>
      </c>
      <c r="W800" t="n">
        <v>0.5</v>
      </c>
      <c r="X800" t="n">
        <v>0.2618370583880513</v>
      </c>
      <c r="Y800" t="n">
        <v>6.435425737736566</v>
      </c>
      <c r="Z800" t="n">
        <v>0.3693366708385482</v>
      </c>
      <c r="AA800" t="n">
        <v>-5.551115123125783e-17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 t="inlineStr">
        <is>
          <t># Exact risk calculations and iteration reporting</t>
        </is>
      </c>
    </row>
    <row r="3"/>
    <row r="4">
      <c r="A4" t="inlineStr">
        <is>
          <t>These formulas describe the saved implementations in `sizing_drawdown_risk.py`</t>
        </is>
      </c>
    </row>
    <row r="5">
      <c r="A5" t="inlineStr">
        <is>
          <t>and `higher_tax_sizing.py`. They document research estimates, not a calibrated</t>
        </is>
      </c>
    </row>
    <row r="6">
      <c r="A6" t="inlineStr">
        <is>
          <t>probability guarantee or an adopted live policy. No models are refitted by the</t>
        </is>
      </c>
    </row>
    <row r="7">
      <c r="A7" t="inlineStr">
        <is>
          <t>report builder.</t>
        </is>
      </c>
    </row>
    <row r="8"/>
    <row r="9">
      <c r="A9" t="inlineStr">
        <is>
          <t>## Inputs and transformations</t>
        </is>
      </c>
    </row>
    <row r="10"/>
    <row r="11">
      <c r="A11" t="inlineStr">
        <is>
          <t>Each trade has a predictor vector x: IV/RV measures, the original LUT inputs,</t>
        </is>
      </c>
    </row>
    <row r="12">
      <c r="A12" t="inlineStr">
        <is>
          <t>entry-window readings, calendar/leg indicators and previous flat-book drawdown</t>
        </is>
      </c>
    </row>
    <row r="13">
      <c r="A13" t="inlineStr">
        <is>
          <t>and loss streak. The coefficient sheet lists every included feature. Outcome-</t>
        </is>
      </c>
    </row>
    <row r="14">
      <c r="A14" t="inlineStr">
        <is>
          <t>fitted S1/S2 columns ending `_fullfit` are excluded from both risk regressions.</t>
        </is>
      </c>
    </row>
    <row r="15"/>
    <row r="16">
      <c r="A16" t="inlineStr">
        <is>
          <t>In the original full-history study, continuous variables are filled using the</t>
        </is>
      </c>
    </row>
    <row r="17">
      <c r="A17" t="inlineStr">
        <is>
          <t>full-sample median, standardized using full-sample mean and population standard</t>
        </is>
      </c>
    </row>
    <row r="18">
      <c r="A18" t="inlineStr">
        <is>
          <t>deviation, then clipped to [-3,3]. CW indicators remain 0/1. Previous drawdown</t>
        </is>
      </c>
    </row>
    <row r="19">
      <c r="A19" t="inlineStr">
        <is>
          <t>is clipped to [0,3] after dividing by 75; previous loss streak similarly by 3.</t>
        </is>
      </c>
    </row>
    <row r="20">
      <c r="A20" t="inlineStr">
        <is>
          <t>Saved `Model_inputs` are the exact transformed regressors. In the later annual</t>
        </is>
      </c>
    </row>
    <row r="21">
      <c r="A21" t="inlineStr">
        <is>
          <t>study, every raw column is imputed/standardized/clipped using the prior-year</t>
        </is>
      </c>
    </row>
    <row r="22">
      <c r="A22" t="inlineStr">
        <is>
          <t>training set, including indicator and stress columns. Its saved fold JSON files</t>
        </is>
      </c>
    </row>
    <row r="23">
      <c r="A23" t="inlineStr">
        <is>
          <t>contain medians, means, standard deviations, coefficients and references.</t>
        </is>
      </c>
    </row>
    <row r="24"/>
    <row r="25">
      <c r="A25" t="inlineStr">
        <is>
          <t>## Loss probability</t>
        </is>
      </c>
    </row>
    <row r="26"/>
    <row r="27">
      <c r="A27" t="inlineStr">
        <is>
          <t>Training label: y_i = 1 if the base trade's net PnL_i &lt; 0, otherwise 0.</t>
        </is>
      </c>
    </row>
    <row r="28"/>
    <row r="29">
      <c r="A29" t="inlineStr">
        <is>
          <t xml:space="preserve">    z_i = beta_0 + sum_j beta_j * x_ij</t>
        </is>
      </c>
    </row>
    <row r="30">
      <c r="A30" t="inlineStr">
        <is>
          <t xml:space="preserve">    p_i = 1 / (1 + exp(-clip(z_i,-25,25)))</t>
        </is>
      </c>
    </row>
    <row r="31"/>
    <row r="32">
      <c r="A32" t="inlineStr">
        <is>
          <t>The logistic objective is summed negative log likelihood plus</t>
        </is>
      </c>
    </row>
    <row r="33">
      <c r="A33" t="inlineStr">
        <is>
          <t>`(20/2)*sum_j beta_j^2`, excluding the intercept from the penalty. The code uses</t>
        </is>
      </c>
    </row>
    <row r="34">
      <c r="A34" t="inlineStr">
        <is>
          <t>Newton/IRLS updates, at most 60 iterations, stopping when step norm&lt;1e-8;</t>
        </is>
      </c>
    </row>
    <row r="35">
      <c r="A35" t="inlineStr">
        <is>
          <t>curvature is floored at 1e-6. Clipped logits provide numerical stability.</t>
        </is>
      </c>
    </row>
    <row r="36">
      <c r="A36" t="inlineStr">
        <is>
          <t>These are model estimates; no separate probability calibration was performed.</t>
        </is>
      </c>
    </row>
    <row r="37"/>
    <row r="38">
      <c r="A38" t="inlineStr">
        <is>
          <t>## Expected downside</t>
        </is>
      </c>
    </row>
    <row r="39"/>
    <row r="40">
      <c r="A40" t="inlineStr">
        <is>
          <t xml:space="preserve">    target_i = max(-net_PnL_i,0)</t>
        </is>
      </c>
    </row>
    <row r="41">
      <c r="A41" t="inlineStr">
        <is>
          <t xml:space="preserve">    gamma = (X_centered' X_centered + 50*I)^(-1)</t>
        </is>
      </c>
    </row>
    <row r="42">
      <c r="A42" t="inlineStr">
        <is>
          <t xml:space="preserve">            X_centered' (target - mean(target))</t>
        </is>
      </c>
    </row>
    <row r="43">
      <c r="A43" t="inlineStr">
        <is>
          <t xml:space="preserve">    gamma_0 = mean(target) - mean(X)' gamma</t>
        </is>
      </c>
    </row>
    <row r="44">
      <c r="A44" t="inlineStr">
        <is>
          <t xml:space="preserve">    downside_i = max(gamma_0 + x_i' gamma,0)</t>
        </is>
      </c>
    </row>
    <row r="45"/>
    <row r="46">
      <c r="A46" t="inlineStr">
        <is>
          <t>This is ridge regression with an unpenalized intercept, equivalent to minimizing</t>
        </is>
      </c>
    </row>
    <row r="47">
      <c r="A47" t="inlineStr">
        <is>
          <t>`sum_i(target_i-gamma_0-x_i'gamma)^2 + 50*sum_j gamma_j^2`.</t>
        </is>
      </c>
    </row>
    <row r="48">
      <c r="A48" t="inlineStr">
        <is>
          <t>It estimates the unconditional negative part of PnL, with winners contributing</t>
        </is>
      </c>
    </row>
    <row r="49">
      <c r="A49" t="inlineStr">
        <is>
          <t>zero. It is neither a conditional-loss forecast nor VaR/expected shortfall.</t>
        </is>
      </c>
    </row>
    <row r="50">
      <c r="A50" t="inlineStr">
        <is>
          <t>Its unit is the saved backtest's normalized PnL unit.</t>
        </is>
      </c>
    </row>
    <row r="51"/>
    <row r="52">
      <c r="A52" t="inlineStr">
        <is>
          <t>## Instability and exact ranks</t>
        </is>
      </c>
    </row>
    <row r="53"/>
    <row r="54">
      <c r="A54" t="inlineStr">
        <is>
          <t>For the original approximately60-second window ending at the entry second:</t>
        </is>
      </c>
    </row>
    <row r="55"/>
    <row r="56">
      <c r="A56" t="inlineStr">
        <is>
          <t xml:space="preserve">    underlying_range_bps = 10000*(max(U)-min(U))/U_at_entry</t>
        </is>
      </c>
    </row>
    <row r="57">
      <c r="A57" t="inlineStr">
        <is>
          <t xml:space="preserve">    straddle_range_pct = 100*(max(CE_LTP+PE_LTP)-min(CE_LTP+PE_LTP))/straddle_at_entry</t>
        </is>
      </c>
    </row>
    <row r="58">
      <c r="A58" t="inlineStr">
        <is>
          <t xml:space="preserve">    spread_pct = 100*((CE_ask-CE_bid)+(PE_ask-PE_bid))/straddle_at_entry</t>
        </is>
      </c>
    </row>
    <row r="59">
      <c r="A59" t="inlineStr">
        <is>
          <t xml:space="preserve">    instability = (rank_U + rank_straddle + rank_spread)/3</t>
        </is>
      </c>
    </row>
    <row r="60"/>
    <row r="61">
      <c r="A61" t="inlineStr">
        <is>
          <t>Each instability reference includes only valid CW readings. Missing readings</t>
        </is>
      </c>
    </row>
    <row r="62">
      <c r="A62" t="inlineStr">
        <is>
          <t>and NW readings receive neutral rank 0.5. Any missing CW instability reading</t>
        </is>
      </c>
    </row>
    <row r="63">
      <c r="A63" t="inlineStr">
        <is>
          <t>also independently forces the dicey flag. The legacy extractor uses second</t>
        </is>
      </c>
    </row>
    <row r="64">
      <c r="A64" t="inlineStr">
        <is>
          <t>buckets and includes the entry second: this is not the strictly-before-entry</t>
        </is>
      </c>
    </row>
    <row r="65">
      <c r="A65" t="inlineStr">
        <is>
          <t>extractor introduced in the later tick-entry experiment. Do not silently swap</t>
        </is>
      </c>
    </row>
    <row r="66">
      <c r="A66" t="inlineStr">
        <is>
          <t>the fresh tick features into an archived risk model.</t>
        </is>
      </c>
    </row>
    <row r="67"/>
    <row r="68">
      <c r="A68" t="inlineStr">
        <is>
          <t>The original rank is pandas average tied rank divided by N, equivalent to</t>
        </is>
      </c>
    </row>
    <row r="69">
      <c r="A69" t="inlineStr">
        <is>
          <t>`RANK.AVG(value,reference,1)/COUNT(reference)` in Excel. Precisely, if L reference</t>
        </is>
      </c>
    </row>
    <row r="70">
      <c r="A70" t="inlineStr">
        <is>
          <t>values are less than v and E equal v:</t>
        </is>
      </c>
    </row>
    <row r="71"/>
    <row r="72">
      <c r="A72" t="inlineStr">
        <is>
          <t xml:space="preserve">    rank(v) = (L + (E+1)/2)/N   when E&gt;0</t>
        </is>
      </c>
    </row>
    <row r="73">
      <c r="A73" t="inlineStr">
        <is>
          <t xml:space="preserve">              L/N             when E=0 (annual scoring of a new value)</t>
        </is>
      </c>
    </row>
    <row r="74"/>
    <row r="75">
      <c r="A75" t="inlineStr">
        <is>
          <t>Thus a constant sample ranks at (N+1)/(2N), slightly above0.5. This differs</t>
        </is>
      </c>
    </row>
    <row r="76">
      <c r="A76" t="inlineStr">
        <is>
          <t>from the mid-CDF percentile of the later premium-percentile experiment.</t>
        </is>
      </c>
    </row>
    <row r="77">
      <c r="A77" t="inlineStr">
        <is>
          <t>Some legacy raw readings differ only beyond Excel's 15 significant digits.</t>
        </is>
      </c>
    </row>
    <row r="78">
      <c r="A78" t="inlineStr">
        <is>
          <t>`Risk_Rank_Keys` therefore stores exact dense-order integer keys derived from</t>
        </is>
      </c>
    </row>
    <row r="79">
      <c r="A79" t="inlineStr">
        <is>
          <t>the original Python readings, together with 17-digit raw text. The executable</t>
        </is>
      </c>
    </row>
    <row r="80">
      <c r="A80" t="inlineStr">
        <is>
          <t>Excel instability ranks use these keys to preserve the archived order and ties.</t>
        </is>
      </c>
    </row>
    <row r="81">
      <c r="A81" t="inlineStr">
        <is>
          <t>They remain equivalent to ranking the original raw double-precision readings.</t>
        </is>
      </c>
    </row>
    <row r="82">
      <c r="A82" t="inlineStr">
        <is>
          <t>Regenerate the keys with the builder when changing raw inputs; they are frozen</t>
        </is>
      </c>
    </row>
    <row r="83">
      <c r="A83" t="inlineStr">
        <is>
          <t>archive inputs, not automatically updated by editing a displayed raw value.</t>
        </is>
      </c>
    </row>
    <row r="84">
      <c r="A84" t="inlineStr">
        <is>
          <t>Probability and downside ranks compare calculated numbers directly using</t>
        </is>
      </c>
    </row>
    <row r="85">
      <c r="A85" t="inlineStr">
        <is>
          <t>SUMPRODUCT; COUNTIF with concatenated numeric criteria can round comparisons.</t>
        </is>
      </c>
    </row>
    <row r="86">
      <c r="A86" t="inlineStr">
        <is>
          <t>The annual version uses only prior-year references; new values below/above</t>
        </is>
      </c>
    </row>
    <row r="87">
      <c r="A87" t="inlineStr">
        <is>
          <t>all reference values rank 0/1. It never ranks using the future scoring year.</t>
        </is>
      </c>
    </row>
    <row r="88"/>
    <row r="89">
      <c r="A89" t="inlineStr">
        <is>
          <t>## Combined score, dicey rule and size</t>
        </is>
      </c>
    </row>
    <row r="90"/>
    <row r="91">
      <c r="A91" t="inlineStr">
        <is>
          <t xml:space="preserve">    risk_i = 0.4*rank(loss_probability_i)</t>
        </is>
      </c>
    </row>
    <row r="92">
      <c r="A92" t="inlineStr">
        <is>
          <t xml:space="preserve">           + 0.4*rank(expected_downside_i)</t>
        </is>
      </c>
    </row>
    <row r="93">
      <c r="A93" t="inlineStr">
        <is>
          <t xml:space="preserve">           + 0.2*instability_i</t>
        </is>
      </c>
    </row>
    <row r="94">
      <c r="A94" t="inlineStr">
        <is>
          <t xml:space="preserve">    threshold = 75th percentile of training risk scores (linear interpolation)</t>
        </is>
      </c>
    </row>
    <row r="95">
      <c r="A95" t="inlineStr">
        <is>
          <t xml:space="preserve">    dicey_i = (risk_i &gt;= threshold) OR missing_CW_instability_feature</t>
        </is>
      </c>
    </row>
    <row r="96"/>
    <row r="97">
      <c r="A97" t="inlineStr">
        <is>
          <t>The 40/40/20 weights are a fixed research design choice, not weights learned</t>
        </is>
      </c>
    </row>
    <row r="98">
      <c r="A98" t="inlineStr">
        <is>
          <t>from data. The score is a relative risk index, not a loss probability.</t>
        </is>
      </c>
    </row>
    <row r="99"/>
    <row r="100">
      <c r="A100" t="inlineStr">
        <is>
          <t>The original full-history threshold is 0.6677157174036119, with 201/799 dicey</t>
        </is>
      </c>
    </row>
    <row r="101">
      <c r="A101" t="inlineStr">
        <is>
          <t>entries. Its regressions, reference ranks, thresholds and mean-one sizing</t>
        </is>
      </c>
    </row>
    <row r="102">
      <c r="A102" t="inlineStr">
        <is>
          <t>normalization use the complete sample, so the results are IN SAMPLE.</t>
        </is>
      </c>
    </row>
    <row r="103">
      <c r="A103" t="inlineStr">
        <is>
          <t>Later annual thresholds vary by fold; 2021 is warmup, scored at size1.</t>
        </is>
      </c>
    </row>
    <row r="104"/>
    <row r="105">
      <c r="A105" t="inlineStr">
        <is>
          <t>The DD optimization constrains every flagged trade to its candidate ceiling</t>
        </is>
      </c>
    </row>
    <row r="106">
      <c r="A106" t="inlineStr">
        <is>
          <t>0.90/0.85/0.75. A bounded projection `size=clip(raw_size+offset,lower,upper)`</t>
        </is>
      </c>
    </row>
    <row r="107">
      <c r="A107" t="inlineStr">
        <is>
          <t>chooses the offset so the historical arithmetic mean equals1; it cannot undo</t>
        </is>
      </c>
    </row>
    <row r="108">
      <c r="A108" t="inlineStr">
        <is>
          <t>the risk ceiling. That historical balancing is not causal future balancing.</t>
        </is>
      </c>
    </row>
    <row r="109">
      <c r="A109" t="inlineStr">
        <is>
          <t>The later high-tax overlay uses size 0.85 on dicey trades; otherwise 1.05/1.10</t>
        </is>
      </c>
    </row>
    <row r="110">
      <c r="A110" t="inlineStr">
        <is>
          <t>for qualifying higher-tax conviction, otherwise 1. Risk cuts override boosts.</t>
        </is>
      </c>
    </row>
    <row r="111">
      <c r="A111" t="inlineStr">
        <is>
          <t>Original LUT taxes (13,5,2,2,6) remain entry hurdles, not deductions from PnL.</t>
        </is>
      </c>
    </row>
    <row r="112"/>
    <row r="113">
      <c r="A113" t="inlineStr">
        <is>
          <t>## Required reporting for each iteration</t>
        </is>
      </c>
    </row>
    <row r="114"/>
    <row r="115">
      <c r="A115" t="inlineStr">
        <is>
          <t>`build_research_ledger.py` rebuilds the master workbook from a versioned registry</t>
        </is>
      </c>
    </row>
    <row r="116">
      <c r="A116" t="inlineStr">
        <is>
          <t>and saved artifacts. Every iteration has its own policy map, daily results,</t>
        </is>
      </c>
    </row>
    <row r="117">
      <c r="A117" t="inlineStr">
        <is>
          <t>trade separation, calendar quarterly/yearly results, summary and saved source</t>
        </is>
      </c>
    </row>
    <row r="118">
      <c r="A118" t="inlineStr">
        <is>
          <t>candidate tables. Reports also provide month, financial-year and leg/stage</t>
        </is>
      </c>
    </row>
    <row r="119">
      <c r="A119" t="inlineStr">
        <is>
          <t>breakdowns. Period DD resets to zero at each period start; daily global DD</t>
        </is>
      </c>
    </row>
    <row r="120">
      <c r="A120" t="inlineStr">
        <is>
          <t>retains the preceding equity peak. Trade counts use execution/size flags, not</t>
        </is>
      </c>
    </row>
    <row r="121">
      <c r="A121" t="inlineStr">
        <is>
          <t>nonzero PnL. Profit factor is gross positive net-day PnL divided by absolute</t>
        </is>
      </c>
    </row>
    <row r="122">
      <c r="A122" t="inlineStr">
        <is>
          <t>negative net-day PnL; no annualized return or Sharpe is invented without capital.</t>
        </is>
      </c>
    </row>
    <row r="123"/>
    <row r="124">
      <c r="A124" t="inlineStr">
        <is>
          <t>All modern candidate daily arrays are retained. Some older workbooks saved only</t>
        </is>
      </c>
    </row>
    <row r="125">
      <c r="A125" t="inlineStr">
        <is>
          <t>the selected daily sizing, rounded to3 decimals, or only summary comparisons.</t>
        </is>
      </c>
    </row>
    <row r="126">
      <c r="A126" t="inlineStr">
        <is>
          <t>Those coverage/precision limits are explicit; unsaved candidate daily histories</t>
        </is>
      </c>
    </row>
    <row r="127">
      <c r="A127" t="inlineStr">
        <is>
          <t>are not invented. Their original candidate tables remain available separately.</t>
        </is>
      </c>
    </row>
    <row r="128">
      <c r="A128" t="inlineStr">
        <is>
          <t>Legacy and modern date ranges differ; compare only matching periods/books.</t>
        </is>
      </c>
    </row>
    <row r="129"/>
    <row r="130">
      <c r="A130" t="inlineStr">
        <is>
          <t>Future research iterations must be registered and the ledger rebuilt before</t>
        </is>
      </c>
    </row>
    <row r="131">
      <c r="A131" t="inlineStr">
        <is>
          <t>being described as reported. Keep archived source workbooks unchanged and label</t>
        </is>
      </c>
    </row>
    <row r="132">
      <c r="A132" t="inlineStr">
        <is>
          <t>training protocol, warmup/test periods, source precision and causal limitations.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2026-10-19T11:44:58Z</dcterms:created>
  <dcterms:modified xsi:type="dcterms:W3CDTF">2026-10-19T11:44:59Z</dcterms:modified>
</cp:coreProperties>
</file>